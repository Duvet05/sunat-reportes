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sunatperu.sharepoint.com/sites/i-ni/7U7000/Productividad/2024/12. Diciembre/"/>
    </mc:Choice>
  </mc:AlternateContent>
  <xr:revisionPtr revIDLastSave="2313" documentId="13_ncr:1_{A86C1AA8-A67C-4834-943C-F2D8BD6BE1CB}" xr6:coauthVersionLast="47" xr6:coauthVersionMax="47" xr10:uidLastSave="{3136D364-F209-4019-A939-956C9218F3AF}"/>
  <bookViews>
    <workbookView xWindow="-110" yWindow="-110" windowWidth="19420" windowHeight="10420" xr2:uid="{2EFA1358-0385-4213-83A5-14E931E4CB47}"/>
  </bookViews>
  <sheets>
    <sheet name="GAFA" sheetId="1" r:id="rId1"/>
  </sheets>
  <definedNames>
    <definedName name="_xlnm._FilterDatabase" localSheetId="0" hidden="1">GAFA!$E$80:$G$80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" i="1" l="1"/>
  <c r="M7" i="1"/>
  <c r="M8" i="1"/>
  <c r="M9" i="1"/>
  <c r="M10" i="1"/>
  <c r="M11" i="1"/>
  <c r="M12" i="1"/>
  <c r="M13" i="1"/>
  <c r="M14" i="1"/>
  <c r="M15" i="1"/>
  <c r="M16" i="1"/>
  <c r="M17" i="1"/>
  <c r="O6" i="1"/>
  <c r="O7" i="1"/>
  <c r="O8" i="1"/>
  <c r="O9" i="1"/>
  <c r="O10" i="1"/>
  <c r="O11" i="1"/>
  <c r="O12" i="1"/>
  <c r="O13" i="1"/>
  <c r="O14" i="1"/>
  <c r="O15" i="1"/>
  <c r="O16" i="1"/>
  <c r="O17" i="1"/>
  <c r="Z11" i="1"/>
  <c r="Z12" i="1"/>
  <c r="Z13" i="1"/>
  <c r="Z14" i="1"/>
  <c r="Z15" i="1"/>
  <c r="Z16" i="1"/>
  <c r="Z17" i="1"/>
  <c r="T18" i="1"/>
  <c r="S18" i="1"/>
  <c r="R18" i="1"/>
  <c r="Y10" i="1"/>
  <c r="X10" i="1"/>
  <c r="W10" i="1"/>
  <c r="Z10" i="1" s="1"/>
  <c r="Y9" i="1"/>
  <c r="X9" i="1"/>
  <c r="W9" i="1"/>
  <c r="Z9" i="1" s="1"/>
  <c r="Y8" i="1"/>
  <c r="X8" i="1"/>
  <c r="W8" i="1"/>
  <c r="Z8" i="1" s="1"/>
  <c r="Y7" i="1"/>
  <c r="Y18" i="1" s="1"/>
  <c r="X7" i="1"/>
  <c r="W7" i="1"/>
  <c r="Z7" i="1" s="1"/>
  <c r="X6" i="1"/>
  <c r="X18" i="1" s="1"/>
  <c r="W6" i="1"/>
  <c r="N154" i="1"/>
  <c r="K154" i="1"/>
  <c r="J154" i="1"/>
  <c r="K143" i="1"/>
  <c r="J143" i="1"/>
  <c r="L141" i="1"/>
  <c r="L143" i="1" s="1"/>
  <c r="N165" i="1"/>
  <c r="J172" i="1"/>
  <c r="P137" i="1"/>
  <c r="O137" i="1"/>
  <c r="N137" i="1"/>
  <c r="L137" i="1"/>
  <c r="K137" i="1"/>
  <c r="J137" i="1"/>
  <c r="Q137" i="1"/>
  <c r="Q136" i="1"/>
  <c r="Q135" i="1"/>
  <c r="Q138" i="1" s="1"/>
  <c r="E140" i="1"/>
  <c r="E60" i="1"/>
  <c r="E15" i="1"/>
  <c r="F60" i="1" s="1"/>
  <c r="E8" i="1"/>
  <c r="D8" i="1"/>
  <c r="D15" i="1"/>
  <c r="F57" i="1"/>
  <c r="F56" i="1"/>
  <c r="F110" i="1"/>
  <c r="F103" i="1"/>
  <c r="F117" i="1" s="1"/>
  <c r="D140" i="1"/>
  <c r="AB6" i="1"/>
  <c r="AB7" i="1"/>
  <c r="AB8" i="1"/>
  <c r="AB9" i="1"/>
  <c r="N18" i="1"/>
  <c r="L18" i="1"/>
  <c r="K18" i="1"/>
  <c r="J18" i="1"/>
  <c r="O18" i="1" l="1"/>
  <c r="W18" i="1"/>
  <c r="Z6" i="1"/>
  <c r="Z18" i="1" s="1"/>
  <c r="AB18" i="1"/>
</calcChain>
</file>

<file path=xl/sharedStrings.xml><?xml version="1.0" encoding="utf-8"?>
<sst xmlns="http://schemas.openxmlformats.org/spreadsheetml/2006/main" count="347" uniqueCount="194">
  <si>
    <t>COMITÉ INI</t>
  </si>
  <si>
    <t>STOCK  AL</t>
  </si>
  <si>
    <t>AVANCE DEL AÑO 2025</t>
  </si>
  <si>
    <t>GAFA</t>
  </si>
  <si>
    <t>ETAPA</t>
  </si>
  <si>
    <t>DCCI</t>
  </si>
  <si>
    <t>DCCII</t>
  </si>
  <si>
    <t>DCP</t>
  </si>
  <si>
    <r>
      <rPr>
        <b/>
        <sz val="12"/>
        <color rgb="FF000000"/>
        <rFont val="Calibri"/>
      </rPr>
      <t xml:space="preserve">PRODUCTIVIDAD FONDO POR AREA (reporte </t>
    </r>
    <r>
      <rPr>
        <b/>
        <sz val="12"/>
        <color rgb="FF00B050"/>
        <rFont val="Calibri"/>
      </rPr>
      <t xml:space="preserve">manual reporte por mes/ </t>
    </r>
    <r>
      <rPr>
        <b/>
        <sz val="12"/>
        <color rgb="FFFF0000"/>
        <rFont val="Calibri"/>
      </rPr>
      <t>sigeri 5 may)</t>
    </r>
  </si>
  <si>
    <r>
      <rPr>
        <b/>
        <sz val="12"/>
        <color rgb="FF000000"/>
        <rFont val="Calibri"/>
      </rPr>
      <t xml:space="preserve">FONDO POR ORIGEN </t>
    </r>
    <r>
      <rPr>
        <b/>
        <sz val="12"/>
        <color rgb="FFFF0000"/>
        <rFont val="Calibri"/>
      </rPr>
      <t>(Reporte sigeri 5 may)</t>
    </r>
  </si>
  <si>
    <r>
      <rPr>
        <b/>
        <sz val="12"/>
        <color rgb="FF000000"/>
        <rFont val="Calibri"/>
        <scheme val="minor"/>
      </rPr>
      <t xml:space="preserve">FONDO + ADMISIBILIDAD POR ORIGEN </t>
    </r>
    <r>
      <rPr>
        <b/>
        <sz val="12"/>
        <color rgb="FFFF0000"/>
        <rFont val="Calibri"/>
        <scheme val="minor"/>
      </rPr>
      <t>(reporte 5 may)</t>
    </r>
  </si>
  <si>
    <t>FONDO</t>
  </si>
  <si>
    <t>MES</t>
  </si>
  <si>
    <t>DAP (IAMC; OTROS; INCA)</t>
  </si>
  <si>
    <t>Columna2</t>
  </si>
  <si>
    <t>IAMC</t>
  </si>
  <si>
    <t>OTROS</t>
  </si>
  <si>
    <t>INCA</t>
  </si>
  <si>
    <t>TOTAL</t>
  </si>
  <si>
    <t>ADMISIBILIDAD</t>
  </si>
  <si>
    <t>ENERO</t>
  </si>
  <si>
    <t>INGRESADO</t>
  </si>
  <si>
    <t>FEBRERO</t>
  </si>
  <si>
    <t>MARZO</t>
  </si>
  <si>
    <t>ABRIL</t>
  </si>
  <si>
    <t>MAYO</t>
  </si>
  <si>
    <t>PRODUCTIVIDAD</t>
  </si>
  <si>
    <t>JUNIO</t>
  </si>
  <si>
    <t>mar-25</t>
  </si>
  <si>
    <t>DAP</t>
  </si>
  <si>
    <t>JULIO</t>
  </si>
  <si>
    <t>Reclamos resueltos</t>
  </si>
  <si>
    <t>AGOSTO</t>
  </si>
  <si>
    <t>Resolutor</t>
  </si>
  <si>
    <t>15.40</t>
  </si>
  <si>
    <t>SEPTIEMBRE</t>
  </si>
  <si>
    <t>Producción Promedio</t>
  </si>
  <si>
    <t>16.03</t>
  </si>
  <si>
    <t>OCTUBRE</t>
  </si>
  <si>
    <t xml:space="preserve">(*) DCP en el mayo_2025 se resolvió reclamos por el monto de 19.5 millones de soles, las empreas hab cancelado a la fecha </t>
  </si>
  <si>
    <t>NOVIEMBRE</t>
  </si>
  <si>
    <t>DICIEMBRE</t>
  </si>
  <si>
    <t>LABORES ADICIONALES</t>
  </si>
  <si>
    <t>UUOO</t>
  </si>
  <si>
    <t>Actividades</t>
  </si>
  <si>
    <t>Producto</t>
  </si>
  <si>
    <t>PROGRAMACION</t>
  </si>
  <si>
    <t xml:space="preserve">PROGRAMADO </t>
  </si>
  <si>
    <t>EJECUTADO</t>
  </si>
  <si>
    <t>STOCK VENCIDOS</t>
  </si>
  <si>
    <t>VENCIDO +9 MESES</t>
  </si>
  <si>
    <t>9 MESES</t>
  </si>
  <si>
    <t>8 MESES</t>
  </si>
  <si>
    <t>7 MESES</t>
  </si>
  <si>
    <t>(*)</t>
  </si>
  <si>
    <t>(*) DCP Caso reingresado al haberse dejado fraccionamiento especial.</t>
  </si>
  <si>
    <t>NO GESTIONABLE Y REINGRESADOS</t>
  </si>
  <si>
    <t>NO GESTIONABLE</t>
  </si>
  <si>
    <t xml:space="preserve">REINGRESADOS </t>
  </si>
  <si>
    <t>PRODUCTIVIDAD POR SUPERVISIÓN</t>
  </si>
  <si>
    <t>Supervisión</t>
  </si>
  <si>
    <t>Nombre y apellido</t>
  </si>
  <si>
    <t>Resolución aplicada</t>
  </si>
  <si>
    <t>Resolutor efectivo</t>
  </si>
  <si>
    <t>Producción promedio</t>
  </si>
  <si>
    <t>Complejidad</t>
  </si>
  <si>
    <t>7U7101</t>
  </si>
  <si>
    <t>Allison Castro</t>
  </si>
  <si>
    <t>5.1</t>
  </si>
  <si>
    <t>15.49</t>
  </si>
  <si>
    <t>7U7102</t>
  </si>
  <si>
    <t>Teresita Quezada</t>
  </si>
  <si>
    <t>4.8</t>
  </si>
  <si>
    <t>15.83</t>
  </si>
  <si>
    <t>7U7103</t>
  </si>
  <si>
    <t>Angelita Santillan</t>
  </si>
  <si>
    <t>5.5</t>
  </si>
  <si>
    <t>16.72</t>
  </si>
  <si>
    <t>7U7201</t>
  </si>
  <si>
    <t>Yessenia Salcedo</t>
  </si>
  <si>
    <t>7U7202</t>
  </si>
  <si>
    <t>Alberto Munive</t>
  </si>
  <si>
    <t>7U7301</t>
  </si>
  <si>
    <t xml:space="preserve">Cynthia Sánchez Ferrer </t>
  </si>
  <si>
    <t>MUY ALTA 3
ALTA 9
MEDIANA 10</t>
  </si>
  <si>
    <t>PROYECTADO Y NO APLICADO</t>
  </si>
  <si>
    <t xml:space="preserve">Resolución proyectada </t>
  </si>
  <si>
    <r>
      <t>Resolución</t>
    </r>
    <r>
      <rPr>
        <b/>
        <u/>
        <sz val="12"/>
        <color rgb="FFFFFFFF"/>
        <rFont val="Calibri"/>
        <scheme val="minor"/>
      </rPr>
      <t xml:space="preserve"> NO </t>
    </r>
    <r>
      <rPr>
        <b/>
        <sz val="12"/>
        <color rgb="FFFFFFFF"/>
        <rFont val="Calibri"/>
        <scheme val="minor"/>
      </rPr>
      <t>aplicada</t>
    </r>
    <r>
      <rPr>
        <b/>
        <u/>
        <sz val="12"/>
        <color rgb="FFFFFFFF"/>
        <rFont val="Calibri"/>
        <scheme val="minor"/>
      </rPr>
      <t xml:space="preserve"> </t>
    </r>
  </si>
  <si>
    <t>Motivo</t>
  </si>
  <si>
    <t xml:space="preserve">05 Resolutor no levantó las observaciones. </t>
  </si>
  <si>
    <t>-</t>
  </si>
  <si>
    <t>Consulta a División de Clasificación Arancelaria-</t>
  </si>
  <si>
    <r>
      <t>Resolución</t>
    </r>
    <r>
      <rPr>
        <b/>
        <u/>
        <sz val="12"/>
        <color rgb="FFFFFFFF"/>
        <rFont val="Calibri"/>
        <scheme val="minor"/>
      </rPr>
      <t xml:space="preserve"> </t>
    </r>
    <r>
      <rPr>
        <b/>
        <sz val="12"/>
        <color rgb="FFFFFFFF"/>
        <rFont val="Calibri"/>
        <scheme val="minor"/>
      </rPr>
      <t>aplicada</t>
    </r>
    <r>
      <rPr>
        <b/>
        <u/>
        <sz val="12"/>
        <color rgb="FFFFFFFF"/>
        <rFont val="Calibri"/>
        <scheme val="minor"/>
      </rPr>
      <t xml:space="preserve"> </t>
    </r>
  </si>
  <si>
    <t xml:space="preserve">      Motivo</t>
  </si>
  <si>
    <t>Alta complejidad</t>
  </si>
  <si>
    <t>AlbertoMunive</t>
  </si>
  <si>
    <t>Caso especial requiere segunda revisión</t>
  </si>
  <si>
    <t>Cynthia Sánchez Ferrer</t>
  </si>
  <si>
    <t>7U7100 CONTROL CONCURRENTE I</t>
  </si>
  <si>
    <t>Supervisor / Resolutor</t>
  </si>
  <si>
    <t>Cantidad de Resoluciones</t>
  </si>
  <si>
    <t>ALLISON ERIKA, CASTRO LAGOS</t>
  </si>
  <si>
    <t>ANA MARIA, DIAZ JURADO</t>
  </si>
  <si>
    <t>CAROLINA MARCELA, CAVERO CARRION</t>
  </si>
  <si>
    <t>CELSO FELIX, SANCHEZ GARRIDO</t>
  </si>
  <si>
    <t>CESAR VICTOR, LINARES ALCANTARA</t>
  </si>
  <si>
    <t>EDGAR FERNANDO, COSIO JARA</t>
  </si>
  <si>
    <t>VICTORIA AGUSTINA, SANTA CRUZ MARTINEZ</t>
  </si>
  <si>
    <t>GLADYS ANGELITA, SANTILLAN VALDIVIA</t>
  </si>
  <si>
    <t>ANDRES EDUARDO, ANGULO FARFAN</t>
  </si>
  <si>
    <t>AZHIR YUSSEF, SANDOVAL GUEVARA</t>
  </si>
  <si>
    <t>JORGE LUIS, SANCHEZ TORRES</t>
  </si>
  <si>
    <t>JULIO RAMIRO, CASTAÑEDA CALDERON</t>
  </si>
  <si>
    <t>LUIS ALBERTO, CORDOVA MEZA</t>
  </si>
  <si>
    <t>MARITZA, MOLLINEDO CATUNTA</t>
  </si>
  <si>
    <t>TERESITA MILAGROS, QUEZADA VILLAR</t>
  </si>
  <si>
    <t>HUGO ALBERTO, JIMENEZ SUCLLA</t>
  </si>
  <si>
    <t>JAVIER GUSTAVO, OYARSE CRUZ</t>
  </si>
  <si>
    <t>MARIA LUISA, CHIRE TUNQUE</t>
  </si>
  <si>
    <t>WILLIAN ARNALDO, GODOY ESCALANTE</t>
  </si>
  <si>
    <t>ZAIRA, CARBAJAL JARA</t>
  </si>
  <si>
    <t>Total general</t>
  </si>
  <si>
    <t>7U7201 CONTROL CONCURRENTE II</t>
  </si>
  <si>
    <t>YESSENIA SALCEDO DIAZ</t>
  </si>
  <si>
    <t>7342-JUAN CUYA VELARDE</t>
  </si>
  <si>
    <t>4644-CARLOS MALAGA PORTOCARRERO</t>
  </si>
  <si>
    <t>AO21-RENIERD RIOS GOMEZ</t>
  </si>
  <si>
    <t>7211-ROBERTO RIVAROLA HIDALGO</t>
  </si>
  <si>
    <t>7624-POUL VALDIVIA CHARCA</t>
  </si>
  <si>
    <t>5844-RICHARD VELA NUÑEZ</t>
  </si>
  <si>
    <t>7U7202 CONTROL CONCURRENTE II</t>
  </si>
  <si>
    <t>ALBERTO MUNIVE BISETTI</t>
  </si>
  <si>
    <t>2423-CECILIA ACOSTA SALAZAR</t>
  </si>
  <si>
    <t>7326-LYDIA ARESTEGUI PEREYRA</t>
  </si>
  <si>
    <t>AT75-VICTORIA FLORES ALVITEZ</t>
  </si>
  <si>
    <t>7151-LOURDES PRETEL NOBLECILLA</t>
  </si>
  <si>
    <t>5749-WILDER ULLOA ASCENCIO</t>
  </si>
  <si>
    <t xml:space="preserve">4569-JOSE LINAREZ AMACIFUEN </t>
  </si>
  <si>
    <t>TOTAL DCCII</t>
  </si>
  <si>
    <t>7U7301 CONTROL POSTERIOR</t>
  </si>
  <si>
    <t>CYNTHIA SANCHEZ FERRER</t>
  </si>
  <si>
    <t>2694-GUSTAVO BERNUY NUÑEZ</t>
  </si>
  <si>
    <t>4700-CARLOS MAURO SAMPEN</t>
  </si>
  <si>
    <t>7660-MARCO FOURNIER CASTILLO</t>
  </si>
  <si>
    <t>7148-JESÚS GARCIA RODRIGUEZ</t>
  </si>
  <si>
    <t xml:space="preserve"> (*)</t>
  </si>
  <si>
    <t>4594-CARLOS LOPEZ CORNELIO</t>
  </si>
  <si>
    <t xml:space="preserve">4990-CECILIA PANTOJA URIZAR GARFIAS </t>
  </si>
  <si>
    <t>7575- EVELYN PACHECO TENA</t>
  </si>
  <si>
    <t>TOTAL DCP</t>
  </si>
  <si>
    <t>(*) El Sr. Jesús García Rodriguez, estuvo de vacaciones 6 días y 10 días dentro de grupo de demandas.</t>
  </si>
  <si>
    <t>RESULTADOS DE RECLAMO</t>
  </si>
  <si>
    <t>CONCLUSIONES JUDICIALES</t>
  </si>
  <si>
    <t>ESTADO</t>
  </si>
  <si>
    <t>C</t>
  </si>
  <si>
    <t>Total</t>
  </si>
  <si>
    <t>PROFESIONAL</t>
  </si>
  <si>
    <t>Acción de Amparo</t>
  </si>
  <si>
    <t>Conclusión</t>
  </si>
  <si>
    <t>Conclusión - Cumplimiento</t>
  </si>
  <si>
    <t>Demanda</t>
  </si>
  <si>
    <t>Medida Cautelar</t>
  </si>
  <si>
    <t>Solicitud</t>
  </si>
  <si>
    <t>INFUNDADO</t>
  </si>
  <si>
    <t>CARLA VILCAPAZA</t>
  </si>
  <si>
    <t> </t>
  </si>
  <si>
    <t>FUNDADO</t>
  </si>
  <si>
    <t>JESUS GARCIA</t>
  </si>
  <si>
    <t>NULIDAD</t>
  </si>
  <si>
    <t>SASHA ARAOZ</t>
  </si>
  <si>
    <t>DESISTIMIENTO</t>
  </si>
  <si>
    <t>FUNDADO EN PARTE</t>
  </si>
  <si>
    <t>CARECE DE OBJETO</t>
  </si>
  <si>
    <t>POR RESULTADO DE DEMANDA</t>
  </si>
  <si>
    <t>RESUELTA A FAVOR DE</t>
  </si>
  <si>
    <t>Resultado</t>
  </si>
  <si>
    <t>Demandante</t>
  </si>
  <si>
    <t>SUNAT</t>
  </si>
  <si>
    <t>A FAVOR DE</t>
  </si>
  <si>
    <t xml:space="preserve">EN CONTRA DE </t>
  </si>
  <si>
    <t>ITOP REPORTADOS-FEBRERO</t>
  </si>
  <si>
    <t>TEMAS</t>
  </si>
  <si>
    <t>OTRAS</t>
  </si>
  <si>
    <t>AJUSTE DE VALOR - OMC</t>
  </si>
  <si>
    <t>MULTA LEY 27444</t>
  </si>
  <si>
    <t>N° ITOP</t>
  </si>
  <si>
    <t> ASUNTO</t>
  </si>
  <si>
    <t>MULTA _LGA</t>
  </si>
  <si>
    <t>Conclusión s/ Cumplimiento</t>
  </si>
  <si>
    <t>Conclusión c/ Cumplimiento</t>
  </si>
  <si>
    <t>Memo</t>
  </si>
  <si>
    <t>Carla Vilcapaza</t>
  </si>
  <si>
    <t>Jesús García</t>
  </si>
  <si>
    <t>Sasha Araoz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</si>
</sst>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-* #,##0_-;\-* #,##0_-;_-* &quot;-&quot;??_-;_-@_-"/>
    <numFmt numFmtId="165" formatCode="_-* #,##0.0_-;\-* #,##0.0_-;_-* &quot;-&quot;??_-;_-@_-"/>
    <numFmt numFmtId="166" formatCode="[$-F800]dddd\,\ mmmm\ dd\,\ yyyy"/>
    <numFmt numFmtId="167" formatCode="0.0000000"/>
  </numFmts>
  <fonts count="39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scheme val="minor"/>
    </font>
    <font>
      <b/>
      <sz val="12"/>
      <color theme="1"/>
      <name val="Calibri"/>
      <scheme val="minor"/>
    </font>
    <font>
      <b/>
      <sz val="12"/>
      <color theme="0"/>
      <name val="Calibri"/>
      <scheme val="minor"/>
    </font>
    <font>
      <b/>
      <sz val="12"/>
      <color rgb="FF000000"/>
      <name val="Calibri"/>
      <scheme val="minor"/>
    </font>
    <font>
      <b/>
      <sz val="12"/>
      <color rgb="FFFF0000"/>
      <name val="Calibri"/>
      <scheme val="minor"/>
    </font>
    <font>
      <b/>
      <sz val="12"/>
      <color theme="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scheme val="minor"/>
    </font>
    <font>
      <sz val="12"/>
      <color rgb="FF000000"/>
      <name val="Calibri"/>
      <family val="2"/>
      <scheme val="minor"/>
    </font>
    <font>
      <sz val="12"/>
      <color theme="0"/>
      <name val="Calibri"/>
      <scheme val="minor"/>
    </font>
    <font>
      <b/>
      <sz val="12"/>
      <color rgb="FFFFFFFF"/>
      <name val="Calibri"/>
      <scheme val="minor"/>
    </font>
    <font>
      <b/>
      <u/>
      <sz val="12"/>
      <color rgb="FFFFFFFF"/>
      <name val="Calibri"/>
      <scheme val="minor"/>
    </font>
    <font>
      <sz val="12"/>
      <name val="Calibri"/>
      <scheme val="minor"/>
    </font>
    <font>
      <sz val="12"/>
      <name val="Calibri"/>
      <family val="2"/>
    </font>
    <font>
      <sz val="12"/>
      <color rgb="FFFF0000"/>
      <name val="Calibri"/>
      <scheme val="minor"/>
    </font>
    <font>
      <sz val="12"/>
      <color theme="1"/>
      <name val="Calibri"/>
      <family val="2"/>
      <scheme val="minor"/>
    </font>
    <font>
      <b/>
      <sz val="12"/>
      <color rgb="FF3F3F3F"/>
      <name val="Calibri"/>
      <scheme val="minor"/>
    </font>
    <font>
      <b/>
      <sz val="12"/>
      <color rgb="FF3F3F3F"/>
      <name val="Calibri"/>
      <family val="2"/>
      <scheme val="minor"/>
    </font>
    <font>
      <b/>
      <i/>
      <sz val="10"/>
      <color rgb="FF000000"/>
      <name val="Calibri"/>
      <scheme val="minor"/>
    </font>
    <font>
      <b/>
      <sz val="12"/>
      <color rgb="FF000000"/>
      <name val="Calibri"/>
    </font>
    <font>
      <b/>
      <sz val="12"/>
      <color rgb="FF00B050"/>
      <name val="Calibri"/>
    </font>
    <font>
      <b/>
      <sz val="12"/>
      <color rgb="FFFF0000"/>
      <name val="Calibri"/>
    </font>
    <font>
      <b/>
      <sz val="12"/>
      <color theme="1"/>
      <name val="Calibri"/>
    </font>
    <font>
      <b/>
      <sz val="10"/>
      <color theme="0"/>
      <name val="Calibri"/>
      <scheme val="minor"/>
    </font>
    <font>
      <b/>
      <sz val="11"/>
      <color rgb="FF000000"/>
      <name val="Calibri"/>
      <family val="2"/>
    </font>
    <font>
      <sz val="12"/>
      <color rgb="FFFF0000"/>
      <name val="Calibri"/>
      <family val="2"/>
    </font>
    <font>
      <b/>
      <sz val="12"/>
      <color rgb="FFFF0000"/>
      <name val="Calibri"/>
      <family val="2"/>
    </font>
    <font>
      <sz val="11"/>
      <color rgb="FFFF0000"/>
      <name val="Calibri"/>
      <family val="2"/>
    </font>
    <font>
      <sz val="12"/>
      <color rgb="FFFFFFFF"/>
      <name val="Calibri"/>
      <family val="2"/>
    </font>
    <font>
      <b/>
      <sz val="12"/>
      <name val="Calibri"/>
      <family val="2"/>
    </font>
    <font>
      <b/>
      <sz val="13"/>
      <color rgb="FF000000"/>
      <name val="Calibri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BDD6EE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E8CB"/>
        <bgColor indexed="64"/>
      </patternFill>
    </fill>
    <fill>
      <patternFill patternType="solid">
        <fgColor rgb="FFFFF4E7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BF1E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EEAF6"/>
        <bgColor rgb="FF000000"/>
      </patternFill>
    </fill>
    <fill>
      <patternFill patternType="solid">
        <fgColor rgb="FFBDD6EE"/>
        <bgColor rgb="FF000000"/>
      </patternFill>
    </fill>
    <fill>
      <patternFill patternType="solid">
        <fgColor rgb="FFF2F2F2"/>
      </patternFill>
    </fill>
    <fill>
      <patternFill patternType="solid">
        <fgColor rgb="FFFFE8CB"/>
        <bgColor rgb="FF000000"/>
      </patternFill>
    </fill>
    <fill>
      <patternFill patternType="solid">
        <fgColor rgb="FFFFF4E7"/>
        <bgColor rgb="FF000000"/>
      </patternFill>
    </fill>
    <fill>
      <patternFill patternType="solid">
        <fgColor rgb="FFFFE599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C5E0B3"/>
        <bgColor rgb="FF000000"/>
      </patternFill>
    </fill>
    <fill>
      <patternFill patternType="solid">
        <fgColor rgb="FFD9E1F2"/>
        <bgColor rgb="FFD9E1F2"/>
      </patternFill>
    </fill>
    <fill>
      <patternFill patternType="solid">
        <fgColor rgb="FF8EA9DB"/>
        <bgColor rgb="FFD9E1F2"/>
      </patternFill>
    </fill>
    <fill>
      <patternFill patternType="solid">
        <fgColor rgb="FF8EA9DB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6933C"/>
        <bgColor rgb="FF76933C"/>
      </patternFill>
    </fill>
    <fill>
      <patternFill patternType="solid">
        <fgColor rgb="FFC4D79B"/>
        <bgColor rgb="FFC4D79B"/>
      </patternFill>
    </fill>
  </fills>
  <borders count="57">
    <border>
      <left/>
      <right/>
      <top/>
      <bottom/>
      <diagonal/>
    </border>
    <border>
      <left style="medium">
        <color rgb="FF5B9BD5"/>
      </left>
      <right/>
      <top style="medium">
        <color rgb="FF5B9BD5"/>
      </top>
      <bottom style="medium">
        <color rgb="FF5B9BD5"/>
      </bottom>
      <diagonal/>
    </border>
    <border>
      <left style="medium">
        <color rgb="FF9CC2E5"/>
      </left>
      <right style="medium">
        <color rgb="FF9CC2E5"/>
      </right>
      <top style="medium">
        <color rgb="FF5B9BD5"/>
      </top>
      <bottom style="medium">
        <color rgb="FF9CC2E5"/>
      </bottom>
      <diagonal/>
    </border>
    <border>
      <left style="medium">
        <color rgb="FF9CC2E5"/>
      </left>
      <right style="medium">
        <color rgb="FF9CC2E5"/>
      </right>
      <top style="medium">
        <color rgb="FF9CC2E5"/>
      </top>
      <bottom style="medium">
        <color rgb="FF9CC2E5"/>
      </bottom>
      <diagonal/>
    </border>
    <border>
      <left style="medium">
        <color theme="8" tint="0.39994506668294322"/>
      </left>
      <right style="medium">
        <color rgb="FF8EAADB"/>
      </right>
      <top style="medium">
        <color theme="8" tint="0.39994506668294322"/>
      </top>
      <bottom style="medium">
        <color theme="8" tint="0.39994506668294322"/>
      </bottom>
      <diagonal/>
    </border>
    <border>
      <left/>
      <right style="medium">
        <color theme="8" tint="0.39994506668294322"/>
      </right>
      <top/>
      <bottom style="medium">
        <color theme="8" tint="0.39994506668294322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indexed="64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70AD47"/>
      </left>
      <right style="medium">
        <color rgb="FF70AD47"/>
      </right>
      <top style="medium">
        <color rgb="FF70AD47"/>
      </top>
      <bottom style="medium">
        <color rgb="FF70AD47"/>
      </bottom>
      <diagonal/>
    </border>
    <border>
      <left style="medium">
        <color rgb="FF70AD47"/>
      </left>
      <right style="medium">
        <color rgb="FF70AD47"/>
      </right>
      <top style="medium">
        <color rgb="FF70AD47"/>
      </top>
      <bottom/>
      <diagonal/>
    </border>
    <border>
      <left style="medium">
        <color rgb="FF70AD47"/>
      </left>
      <right style="medium">
        <color rgb="FF70AD47"/>
      </right>
      <top/>
      <bottom style="medium">
        <color rgb="FF70AD4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9CC2E5"/>
      </left>
      <right style="medium">
        <color rgb="FF9CC2E5"/>
      </right>
      <top/>
      <bottom style="medium">
        <color rgb="FF9CC2E5"/>
      </bottom>
      <diagonal/>
    </border>
    <border>
      <left/>
      <right style="medium">
        <color rgb="FF9BC2E6"/>
      </right>
      <top style="medium">
        <color rgb="FF9BC2E6"/>
      </top>
      <bottom style="medium">
        <color rgb="FF9BC2E6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/>
      <right style="medium">
        <color rgb="FF9BC2E6"/>
      </right>
      <top/>
      <bottom style="medium">
        <color rgb="FF9BC2E6"/>
      </bottom>
      <diagonal/>
    </border>
    <border>
      <left/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/>
      <right style="medium">
        <color rgb="FFFFFFFF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5B9BD5"/>
      </left>
      <right/>
      <top/>
      <bottom style="medium">
        <color rgb="FF5B9BD5"/>
      </bottom>
      <diagonal/>
    </border>
    <border>
      <left style="medium">
        <color rgb="FF9CC2E5"/>
      </left>
      <right style="medium">
        <color rgb="FF9CC2E5"/>
      </right>
      <top style="medium">
        <color rgb="FF9CC2E5"/>
      </top>
      <bottom/>
      <diagonal/>
    </border>
    <border>
      <left style="medium">
        <color rgb="FF9CC2E5"/>
      </left>
      <right style="medium">
        <color rgb="FF9CC2E5"/>
      </right>
      <top/>
      <bottom/>
      <diagonal/>
    </border>
    <border>
      <left/>
      <right/>
      <top style="thin">
        <color theme="4"/>
      </top>
      <bottom/>
      <diagonal/>
    </border>
    <border>
      <left style="medium">
        <color rgb="FF9CC2E5"/>
      </left>
      <right style="medium">
        <color rgb="FF9CC2E5"/>
      </right>
      <top style="medium">
        <color rgb="FF5B9BD5"/>
      </top>
      <bottom/>
      <diagonal/>
    </border>
    <border>
      <left style="medium">
        <color rgb="FF9CC2E5"/>
      </left>
      <right/>
      <top style="medium">
        <color rgb="FF9CC2E5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8EA9DB"/>
      </bottom>
      <diagonal/>
    </border>
    <border>
      <left/>
      <right/>
      <top style="thin">
        <color rgb="FF8EA9DB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rgb="FFEBF1DE"/>
      </bottom>
      <diagonal/>
    </border>
    <border>
      <left style="thin">
        <color indexed="64"/>
      </left>
      <right style="thin">
        <color indexed="64"/>
      </right>
      <top style="double">
        <color rgb="FF76933C"/>
      </top>
      <bottom style="thin">
        <color indexed="64"/>
      </bottom>
      <diagonal/>
    </border>
  </borders>
  <cellStyleXfs count="2">
    <xf numFmtId="0" fontId="0" fillId="0" borderId="0"/>
    <xf numFmtId="0" fontId="1" fillId="16" borderId="22" applyNumberFormat="0" applyAlignment="0" applyProtection="0"/>
  </cellStyleXfs>
  <cellXfs count="258">
    <xf numFmtId="0" fontId="0" fillId="0" borderId="0" xfId="0"/>
    <xf numFmtId="0" fontId="4" fillId="0" borderId="40" xfId="0" applyFont="1" applyBorder="1"/>
    <xf numFmtId="0" fontId="3" fillId="22" borderId="40" xfId="0" applyFont="1" applyFill="1" applyBorder="1"/>
    <xf numFmtId="0" fontId="3" fillId="22" borderId="41" xfId="0" applyFont="1" applyFill="1" applyBorder="1" applyAlignment="1">
      <alignment horizontal="center"/>
    </xf>
    <xf numFmtId="0" fontId="3" fillId="0" borderId="45" xfId="0" applyFont="1" applyBorder="1"/>
    <xf numFmtId="0" fontId="4" fillId="0" borderId="45" xfId="0" applyFont="1" applyBorder="1" applyAlignment="1">
      <alignment horizontal="center"/>
    </xf>
    <xf numFmtId="0" fontId="3" fillId="22" borderId="45" xfId="0" applyFont="1" applyFill="1" applyBorder="1" applyAlignment="1">
      <alignment horizontal="center"/>
    </xf>
    <xf numFmtId="0" fontId="3" fillId="23" borderId="45" xfId="0" applyFont="1" applyFill="1" applyBorder="1" applyAlignment="1">
      <alignment horizontal="left" wrapText="1"/>
    </xf>
    <xf numFmtId="0" fontId="5" fillId="0" borderId="0" xfId="0" applyFont="1"/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Continuous"/>
    </xf>
    <xf numFmtId="0" fontId="6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Continuous"/>
    </xf>
    <xf numFmtId="0" fontId="6" fillId="0" borderId="0" xfId="0" applyFont="1" applyAlignment="1">
      <alignment horizontal="center"/>
    </xf>
    <xf numFmtId="0" fontId="7" fillId="0" borderId="29" xfId="0" applyFont="1" applyBorder="1" applyAlignment="1">
      <alignment vertical="center" wrapText="1" readingOrder="1"/>
    </xf>
    <xf numFmtId="0" fontId="7" fillId="0" borderId="29" xfId="0" applyFont="1" applyBorder="1" applyAlignment="1">
      <alignment horizontal="center" vertical="center" wrapText="1" readingOrder="1"/>
    </xf>
    <xf numFmtId="0" fontId="8" fillId="0" borderId="2" xfId="0" applyFont="1" applyBorder="1" applyAlignment="1">
      <alignment horizontal="left" vertical="center" wrapText="1" readingOrder="1"/>
    </xf>
    <xf numFmtId="0" fontId="8" fillId="0" borderId="2" xfId="0" applyFont="1" applyBorder="1" applyAlignment="1">
      <alignment horizontal="center" wrapText="1" readingOrder="1"/>
    </xf>
    <xf numFmtId="0" fontId="7" fillId="0" borderId="12" xfId="0" applyFont="1" applyBorder="1" applyAlignment="1">
      <alignment horizontal="center" vertical="center" wrapText="1" readingOrder="1"/>
    </xf>
    <xf numFmtId="0" fontId="7" fillId="0" borderId="1" xfId="0" applyFont="1" applyBorder="1" applyAlignment="1">
      <alignment horizontal="center" vertical="center" wrapText="1" readingOrder="1"/>
    </xf>
    <xf numFmtId="0" fontId="7" fillId="0" borderId="0" xfId="0" applyFont="1" applyAlignment="1">
      <alignment horizontal="center" vertical="center" wrapText="1" readingOrder="1"/>
    </xf>
    <xf numFmtId="0" fontId="10" fillId="0" borderId="12" xfId="0" applyFont="1" applyBorder="1" applyAlignment="1">
      <alignment horizontal="center" vertical="center" wrapText="1" readingOrder="1"/>
    </xf>
    <xf numFmtId="0" fontId="10" fillId="0" borderId="1" xfId="0" applyFont="1" applyBorder="1" applyAlignment="1">
      <alignment horizontal="center" vertical="center" wrapText="1" readingOrder="1"/>
    </xf>
    <xf numFmtId="0" fontId="10" fillId="28" borderId="1" xfId="0" applyFont="1" applyFill="1" applyBorder="1" applyAlignment="1">
      <alignment horizontal="center" vertical="center" wrapText="1" readingOrder="1"/>
    </xf>
    <xf numFmtId="0" fontId="8" fillId="0" borderId="3" xfId="0" applyFont="1" applyBorder="1" applyAlignment="1">
      <alignment horizontal="left" vertical="center" wrapText="1" readingOrder="1"/>
    </xf>
    <xf numFmtId="0" fontId="8" fillId="0" borderId="19" xfId="0" applyFont="1" applyBorder="1" applyAlignment="1">
      <alignment horizontal="center" wrapText="1" readingOrder="1"/>
    </xf>
    <xf numFmtId="0" fontId="8" fillId="0" borderId="4" xfId="0" applyFont="1" applyBorder="1" applyAlignment="1">
      <alignment horizontal="left" vertical="center" wrapText="1"/>
    </xf>
    <xf numFmtId="1" fontId="8" fillId="0" borderId="20" xfId="0" applyNumberFormat="1" applyFont="1" applyBorder="1" applyAlignment="1">
      <alignment horizontal="center" wrapText="1" indent="1"/>
    </xf>
    <xf numFmtId="0" fontId="11" fillId="0" borderId="4" xfId="0" applyFont="1" applyBorder="1" applyAlignment="1">
      <alignment horizontal="left" vertical="center" wrapText="1"/>
    </xf>
    <xf numFmtId="1" fontId="11" fillId="0" borderId="24" xfId="0" applyNumberFormat="1" applyFont="1" applyBorder="1" applyAlignment="1">
      <alignment horizontal="center" wrapText="1"/>
    </xf>
    <xf numFmtId="1" fontId="11" fillId="0" borderId="20" xfId="0" applyNumberFormat="1" applyFont="1" applyBorder="1" applyAlignment="1">
      <alignment horizontal="center" wrapText="1" indent="1"/>
    </xf>
    <xf numFmtId="1" fontId="5" fillId="0" borderId="0" xfId="0" applyNumberFormat="1" applyFont="1"/>
    <xf numFmtId="0" fontId="8" fillId="0" borderId="30" xfId="0" applyFont="1" applyBorder="1" applyAlignment="1">
      <alignment horizontal="left" vertical="center" wrapText="1" readingOrder="1"/>
    </xf>
    <xf numFmtId="0" fontId="8" fillId="0" borderId="31" xfId="0" applyFont="1" applyBorder="1" applyAlignment="1">
      <alignment horizontal="center" wrapText="1" readingOrder="1"/>
    </xf>
    <xf numFmtId="166" fontId="7" fillId="0" borderId="5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vertical="center" wrapText="1"/>
    </xf>
    <xf numFmtId="164" fontId="8" fillId="0" borderId="20" xfId="0" applyNumberFormat="1" applyFont="1" applyBorder="1" applyAlignment="1">
      <alignment horizontal="center" wrapText="1" indent="1"/>
    </xf>
    <xf numFmtId="164" fontId="8" fillId="0" borderId="0" xfId="0" applyNumberFormat="1" applyFont="1" applyAlignment="1">
      <alignment horizontal="center" wrapText="1" indent="1"/>
    </xf>
    <xf numFmtId="165" fontId="8" fillId="0" borderId="20" xfId="0" applyNumberFormat="1" applyFont="1" applyBorder="1" applyAlignment="1">
      <alignment horizontal="center" wrapText="1" indent="1"/>
    </xf>
    <xf numFmtId="2" fontId="8" fillId="0" borderId="24" xfId="0" applyNumberFormat="1" applyFont="1" applyBorder="1" applyAlignment="1">
      <alignment horizontal="center" wrapText="1"/>
    </xf>
    <xf numFmtId="2" fontId="8" fillId="0" borderId="0" xfId="0" applyNumberFormat="1" applyFont="1" applyAlignment="1">
      <alignment horizontal="center" wrapText="1"/>
    </xf>
    <xf numFmtId="0" fontId="8" fillId="0" borderId="0" xfId="0" applyFont="1" applyAlignment="1">
      <alignment horizontal="left" vertical="center" wrapText="1"/>
    </xf>
    <xf numFmtId="0" fontId="6" fillId="0" borderId="0" xfId="0" applyFont="1" applyAlignment="1">
      <alignment wrapText="1"/>
    </xf>
    <xf numFmtId="0" fontId="9" fillId="0" borderId="0" xfId="0" applyFont="1"/>
    <xf numFmtId="0" fontId="8" fillId="0" borderId="4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164" fontId="12" fillId="0" borderId="20" xfId="0" applyNumberFormat="1" applyFont="1" applyBorder="1" applyAlignment="1">
      <alignment horizontal="center" wrapText="1" indent="1"/>
    </xf>
    <xf numFmtId="165" fontId="12" fillId="0" borderId="20" xfId="0" applyNumberFormat="1" applyFont="1" applyBorder="1" applyAlignment="1">
      <alignment horizontal="center" wrapText="1" indent="1"/>
    </xf>
    <xf numFmtId="2" fontId="12" fillId="0" borderId="24" xfId="0" applyNumberFormat="1" applyFont="1" applyBorder="1" applyAlignment="1">
      <alignment horizontal="center" wrapText="1"/>
    </xf>
    <xf numFmtId="0" fontId="8" fillId="0" borderId="0" xfId="0" applyFont="1" applyAlignment="1">
      <alignment horizontal="left" vertical="center" wrapText="1" readingOrder="1"/>
    </xf>
    <xf numFmtId="0" fontId="12" fillId="0" borderId="0" xfId="0" applyFont="1" applyAlignment="1">
      <alignment horizontal="center" vertical="center" wrapText="1" readingOrder="1"/>
    </xf>
    <xf numFmtId="0" fontId="14" fillId="0" borderId="0" xfId="0" applyFont="1" applyAlignment="1">
      <alignment horizontal="center" vertical="center"/>
    </xf>
    <xf numFmtId="0" fontId="14" fillId="0" borderId="0" xfId="0" applyFont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 readingOrder="1"/>
    </xf>
    <xf numFmtId="0" fontId="8" fillId="0" borderId="0" xfId="0" applyFont="1" applyAlignment="1">
      <alignment horizontal="center"/>
    </xf>
    <xf numFmtId="0" fontId="15" fillId="0" borderId="0" xfId="0" applyFont="1" applyAlignment="1">
      <alignment horizontal="center" vertical="center" wrapText="1" readingOrder="1"/>
    </xf>
    <xf numFmtId="0" fontId="7" fillId="0" borderId="32" xfId="0" applyFont="1" applyBorder="1" applyAlignment="1">
      <alignment horizontal="center" vertical="center" wrapText="1" readingOrder="1"/>
    </xf>
    <xf numFmtId="0" fontId="7" fillId="0" borderId="33" xfId="0" applyFont="1" applyBorder="1" applyAlignment="1">
      <alignment horizontal="left" vertical="center" wrapText="1" readingOrder="1"/>
    </xf>
    <xf numFmtId="0" fontId="7" fillId="0" borderId="34" xfId="0" applyFont="1" applyBorder="1" applyAlignment="1">
      <alignment horizontal="left" vertical="center" wrapText="1" readingOrder="1"/>
    </xf>
    <xf numFmtId="0" fontId="12" fillId="0" borderId="0" xfId="0" applyFont="1" applyAlignment="1">
      <alignment horizontal="left" vertical="center" wrapText="1" readingOrder="1"/>
    </xf>
    <xf numFmtId="0" fontId="12" fillId="0" borderId="0" xfId="0" applyFont="1" applyAlignment="1">
      <alignment horizontal="center" wrapText="1" readingOrder="1"/>
    </xf>
    <xf numFmtId="0" fontId="15" fillId="2" borderId="6" xfId="0" applyFont="1" applyFill="1" applyBorder="1" applyAlignment="1">
      <alignment horizontal="center" vertical="center" wrapText="1" readingOrder="1"/>
    </xf>
    <xf numFmtId="0" fontId="15" fillId="2" borderId="7" xfId="0" applyFont="1" applyFill="1" applyBorder="1" applyAlignment="1">
      <alignment horizontal="center" vertical="center" wrapText="1" readingOrder="1"/>
    </xf>
    <xf numFmtId="0" fontId="15" fillId="2" borderId="9" xfId="0" applyFont="1" applyFill="1" applyBorder="1" applyAlignment="1">
      <alignment horizontal="center" vertical="center" wrapText="1" readingOrder="1"/>
    </xf>
    <xf numFmtId="0" fontId="15" fillId="2" borderId="0" xfId="0" applyFont="1" applyFill="1" applyAlignment="1">
      <alignment horizontal="center" vertical="center" wrapText="1" readingOrder="1"/>
    </xf>
    <xf numFmtId="0" fontId="15" fillId="2" borderId="8" xfId="0" applyFont="1" applyFill="1" applyBorder="1" applyAlignment="1">
      <alignment horizontal="center" vertical="center" wrapText="1" readingOrder="1"/>
    </xf>
    <xf numFmtId="0" fontId="8" fillId="15" borderId="8" xfId="0" applyFont="1" applyFill="1" applyBorder="1" applyAlignment="1">
      <alignment horizontal="center" vertical="center" wrapText="1" readingOrder="1"/>
    </xf>
    <xf numFmtId="1" fontId="8" fillId="15" borderId="8" xfId="0" applyNumberFormat="1" applyFont="1" applyFill="1" applyBorder="1" applyAlignment="1">
      <alignment horizontal="center" vertical="center" wrapText="1" readingOrder="1"/>
    </xf>
    <xf numFmtId="0" fontId="12" fillId="15" borderId="9" xfId="0" applyFont="1" applyFill="1" applyBorder="1" applyAlignment="1">
      <alignment horizontal="center" wrapText="1" readingOrder="1"/>
    </xf>
    <xf numFmtId="0" fontId="12" fillId="15" borderId="0" xfId="0" applyFont="1" applyFill="1" applyAlignment="1">
      <alignment horizontal="center" wrapText="1" readingOrder="1"/>
    </xf>
    <xf numFmtId="0" fontId="8" fillId="14" borderId="21" xfId="0" applyFont="1" applyFill="1" applyBorder="1" applyAlignment="1">
      <alignment horizontal="center" vertical="center" wrapText="1" readingOrder="1"/>
    </xf>
    <xf numFmtId="0" fontId="8" fillId="14" borderId="23" xfId="0" applyFont="1" applyFill="1" applyBorder="1" applyAlignment="1">
      <alignment horizontal="center" vertical="center" wrapText="1" readingOrder="1"/>
    </xf>
    <xf numFmtId="0" fontId="12" fillId="14" borderId="23" xfId="0" applyFont="1" applyFill="1" applyBorder="1" applyAlignment="1">
      <alignment horizontal="center" wrapText="1" readingOrder="1"/>
    </xf>
    <xf numFmtId="0" fontId="12" fillId="14" borderId="0" xfId="0" applyFont="1" applyFill="1" applyAlignment="1">
      <alignment horizontal="center" wrapText="1" readingOrder="1"/>
    </xf>
    <xf numFmtId="0" fontId="8" fillId="15" borderId="21" xfId="0" applyFont="1" applyFill="1" applyBorder="1" applyAlignment="1">
      <alignment horizontal="center" vertical="center" wrapText="1" readingOrder="1"/>
    </xf>
    <xf numFmtId="0" fontId="8" fillId="15" borderId="23" xfId="0" applyFont="1" applyFill="1" applyBorder="1" applyAlignment="1">
      <alignment horizontal="center" vertical="center" wrapText="1" readingOrder="1"/>
    </xf>
    <xf numFmtId="0" fontId="12" fillId="15" borderId="23" xfId="0" applyFont="1" applyFill="1" applyBorder="1" applyAlignment="1">
      <alignment horizontal="center" wrapText="1" readingOrder="1"/>
    </xf>
    <xf numFmtId="2" fontId="5" fillId="0" borderId="0" xfId="0" applyNumberFormat="1" applyFont="1"/>
    <xf numFmtId="0" fontId="5" fillId="0" borderId="0" xfId="0" applyFont="1" applyAlignment="1">
      <alignment horizontal="center" vertical="center"/>
    </xf>
    <xf numFmtId="0" fontId="15" fillId="5" borderId="13" xfId="0" applyFont="1" applyFill="1" applyBorder="1" applyAlignment="1">
      <alignment horizontal="center" vertical="center" wrapText="1" readingOrder="1"/>
    </xf>
    <xf numFmtId="0" fontId="15" fillId="5" borderId="0" xfId="0" applyFont="1" applyFill="1" applyAlignment="1">
      <alignment horizontal="center" vertical="center" wrapText="1" readingOrder="1"/>
    </xf>
    <xf numFmtId="0" fontId="15" fillId="5" borderId="14" xfId="0" applyFont="1" applyFill="1" applyBorder="1" applyAlignment="1">
      <alignment horizontal="center" vertical="center" wrapText="1" readingOrder="1"/>
    </xf>
    <xf numFmtId="0" fontId="8" fillId="6" borderId="14" xfId="0" applyFont="1" applyFill="1" applyBorder="1" applyAlignment="1">
      <alignment horizontal="center" vertical="center" wrapText="1" readingOrder="1"/>
    </xf>
    <xf numFmtId="1" fontId="8" fillId="17" borderId="14" xfId="0" applyNumberFormat="1" applyFont="1" applyFill="1" applyBorder="1" applyAlignment="1">
      <alignment horizontal="center" vertical="center" wrapText="1" readingOrder="1"/>
    </xf>
    <xf numFmtId="2" fontId="8" fillId="17" borderId="25" xfId="0" applyNumberFormat="1" applyFont="1" applyFill="1" applyBorder="1" applyAlignment="1">
      <alignment horizontal="center" vertical="center" wrapText="1" readingOrder="1"/>
    </xf>
    <xf numFmtId="0" fontId="12" fillId="17" borderId="25" xfId="0" applyFont="1" applyFill="1" applyBorder="1" applyAlignment="1">
      <alignment horizontal="center" vertical="center" wrapText="1" readingOrder="1"/>
    </xf>
    <xf numFmtId="0" fontId="12" fillId="17" borderId="0" xfId="0" applyFont="1" applyFill="1" applyAlignment="1">
      <alignment horizontal="center" vertical="center" wrapText="1" readingOrder="1"/>
    </xf>
    <xf numFmtId="0" fontId="15" fillId="5" borderId="10" xfId="0" applyFont="1" applyFill="1" applyBorder="1" applyAlignment="1">
      <alignment horizontal="center" vertical="center" wrapText="1" readingOrder="1"/>
    </xf>
    <xf numFmtId="0" fontId="8" fillId="7" borderId="10" xfId="0" applyFont="1" applyFill="1" applyBorder="1" applyAlignment="1">
      <alignment horizontal="center" vertical="center" wrapText="1" readingOrder="1"/>
    </xf>
    <xf numFmtId="0" fontId="8" fillId="18" borderId="11" xfId="0" applyFont="1" applyFill="1" applyBorder="1" applyAlignment="1">
      <alignment horizontal="center" vertical="center" wrapText="1" readingOrder="1"/>
    </xf>
    <xf numFmtId="2" fontId="8" fillId="18" borderId="27" xfId="0" applyNumberFormat="1" applyFont="1" applyFill="1" applyBorder="1" applyAlignment="1">
      <alignment horizontal="center" vertical="center" wrapText="1" readingOrder="1"/>
    </xf>
    <xf numFmtId="2" fontId="8" fillId="18" borderId="26" xfId="0" applyNumberFormat="1" applyFont="1" applyFill="1" applyBorder="1" applyAlignment="1">
      <alignment horizontal="center" vertical="center" wrapText="1" readingOrder="1"/>
    </xf>
    <xf numFmtId="0" fontId="12" fillId="18" borderId="27" xfId="0" applyFont="1" applyFill="1" applyBorder="1" applyAlignment="1">
      <alignment horizontal="center" vertical="center" wrapText="1" readingOrder="1"/>
    </xf>
    <xf numFmtId="0" fontId="12" fillId="18" borderId="0" xfId="0" applyFont="1" applyFill="1" applyAlignment="1">
      <alignment horizontal="center" vertical="center" wrapText="1" readingOrder="1"/>
    </xf>
    <xf numFmtId="0" fontId="15" fillId="8" borderId="6" xfId="0" applyFont="1" applyFill="1" applyBorder="1" applyAlignment="1">
      <alignment horizontal="center" vertical="center" wrapText="1" readingOrder="1"/>
    </xf>
    <xf numFmtId="0" fontId="15" fillId="8" borderId="7" xfId="0" applyFont="1" applyFill="1" applyBorder="1" applyAlignment="1">
      <alignment horizontal="center" vertical="center" wrapText="1" readingOrder="1"/>
    </xf>
    <xf numFmtId="0" fontId="15" fillId="8" borderId="9" xfId="0" applyFont="1" applyFill="1" applyBorder="1" applyAlignment="1">
      <alignment horizontal="center" vertical="center" wrapText="1" readingOrder="1"/>
    </xf>
    <xf numFmtId="0" fontId="15" fillId="8" borderId="0" xfId="0" applyFont="1" applyFill="1" applyAlignment="1">
      <alignment horizontal="center" vertical="center" wrapText="1" readingOrder="1"/>
    </xf>
    <xf numFmtId="0" fontId="15" fillId="8" borderId="10" xfId="0" applyFont="1" applyFill="1" applyBorder="1" applyAlignment="1">
      <alignment horizontal="center" vertical="center" wrapText="1" readingOrder="1"/>
    </xf>
    <xf numFmtId="0" fontId="8" fillId="9" borderId="11" xfId="0" applyFont="1" applyFill="1" applyBorder="1" applyAlignment="1">
      <alignment horizontal="center" vertical="center" wrapText="1" readingOrder="1"/>
    </xf>
    <xf numFmtId="0" fontId="8" fillId="21" borderId="11" xfId="0" applyFont="1" applyFill="1" applyBorder="1" applyAlignment="1">
      <alignment horizontal="center" vertical="center" wrapText="1" readingOrder="1"/>
    </xf>
    <xf numFmtId="43" fontId="8" fillId="21" borderId="27" xfId="0" applyNumberFormat="1" applyFont="1" applyFill="1" applyBorder="1" applyAlignment="1">
      <alignment horizontal="left" vertical="center" wrapText="1" readingOrder="1"/>
    </xf>
    <xf numFmtId="0" fontId="12" fillId="21" borderId="0" xfId="0" applyFont="1" applyFill="1" applyAlignment="1">
      <alignment horizontal="center" vertical="center" wrapText="1" readingOrder="1"/>
    </xf>
    <xf numFmtId="0" fontId="5" fillId="0" borderId="0" xfId="0" applyFont="1" applyAlignment="1">
      <alignment wrapText="1"/>
    </xf>
    <xf numFmtId="0" fontId="12" fillId="4" borderId="8" xfId="0" applyFont="1" applyFill="1" applyBorder="1" applyAlignment="1">
      <alignment horizontal="left" vertical="center" wrapText="1" readingOrder="1"/>
    </xf>
    <xf numFmtId="0" fontId="12" fillId="15" borderId="9" xfId="0" applyFont="1" applyFill="1" applyBorder="1" applyAlignment="1">
      <alignment wrapText="1" readingOrder="1"/>
    </xf>
    <xf numFmtId="0" fontId="12" fillId="15" borderId="0" xfId="0" applyFont="1" applyFill="1" applyAlignment="1">
      <alignment wrapText="1" readingOrder="1"/>
    </xf>
    <xf numFmtId="0" fontId="12" fillId="3" borderId="8" xfId="0" applyFont="1" applyFill="1" applyBorder="1" applyAlignment="1">
      <alignment horizontal="left" vertical="center" wrapText="1" readingOrder="1"/>
    </xf>
    <xf numFmtId="0" fontId="12" fillId="14" borderId="23" xfId="0" applyFont="1" applyFill="1" applyBorder="1" applyAlignment="1">
      <alignment wrapText="1" readingOrder="1"/>
    </xf>
    <xf numFmtId="0" fontId="12" fillId="14" borderId="0" xfId="0" applyFont="1" applyFill="1" applyAlignment="1">
      <alignment wrapText="1" readingOrder="1"/>
    </xf>
    <xf numFmtId="0" fontId="12" fillId="15" borderId="23" xfId="0" quotePrefix="1" applyFont="1" applyFill="1" applyBorder="1" applyAlignment="1">
      <alignment wrapText="1" readingOrder="1"/>
    </xf>
    <xf numFmtId="0" fontId="12" fillId="15" borderId="23" xfId="0" applyFont="1" applyFill="1" applyBorder="1" applyAlignment="1">
      <alignment wrapText="1" readingOrder="1"/>
    </xf>
    <xf numFmtId="0" fontId="15" fillId="5" borderId="6" xfId="0" applyFont="1" applyFill="1" applyBorder="1" applyAlignment="1">
      <alignment horizontal="center" vertical="center" wrapText="1" readingOrder="1"/>
    </xf>
    <xf numFmtId="0" fontId="15" fillId="5" borderId="7" xfId="0" applyFont="1" applyFill="1" applyBorder="1" applyAlignment="1">
      <alignment horizontal="center" vertical="center" wrapText="1" readingOrder="1"/>
    </xf>
    <xf numFmtId="0" fontId="15" fillId="5" borderId="9" xfId="0" applyFont="1" applyFill="1" applyBorder="1" applyAlignment="1">
      <alignment horizontal="center" vertical="center" wrapText="1" readingOrder="1"/>
    </xf>
    <xf numFmtId="0" fontId="15" fillId="5" borderId="8" xfId="0" applyFont="1" applyFill="1" applyBorder="1" applyAlignment="1">
      <alignment horizontal="center" vertical="center" wrapText="1" readingOrder="1"/>
    </xf>
    <xf numFmtId="0" fontId="12" fillId="10" borderId="8" xfId="0" applyFont="1" applyFill="1" applyBorder="1" applyAlignment="1">
      <alignment horizontal="left" vertical="center" wrapText="1" readingOrder="1"/>
    </xf>
    <xf numFmtId="0" fontId="12" fillId="19" borderId="8" xfId="0" applyFont="1" applyFill="1" applyBorder="1" applyAlignment="1">
      <alignment horizontal="center" vertical="center" wrapText="1" readingOrder="1"/>
    </xf>
    <xf numFmtId="0" fontId="12" fillId="19" borderId="9" xfId="0" applyFont="1" applyFill="1" applyBorder="1" applyAlignment="1">
      <alignment horizontal="center" vertical="center" wrapText="1" readingOrder="1"/>
    </xf>
    <xf numFmtId="0" fontId="12" fillId="10" borderId="8" xfId="0" applyFont="1" applyFill="1" applyBorder="1" applyAlignment="1">
      <alignment horizontal="center" vertical="center" wrapText="1" readingOrder="1"/>
    </xf>
    <xf numFmtId="0" fontId="12" fillId="10" borderId="0" xfId="0" applyFont="1" applyFill="1" applyAlignment="1">
      <alignment horizontal="center" vertical="center" wrapText="1" readingOrder="1"/>
    </xf>
    <xf numFmtId="0" fontId="12" fillId="11" borderId="8" xfId="0" applyFont="1" applyFill="1" applyBorder="1" applyAlignment="1">
      <alignment horizontal="left" vertical="center" wrapText="1" readingOrder="1"/>
    </xf>
    <xf numFmtId="0" fontId="12" fillId="20" borderId="21" xfId="0" applyFont="1" applyFill="1" applyBorder="1" applyAlignment="1">
      <alignment horizontal="center" vertical="center" wrapText="1" readingOrder="1"/>
    </xf>
    <xf numFmtId="0" fontId="12" fillId="20" borderId="23" xfId="0" applyFont="1" applyFill="1" applyBorder="1" applyAlignment="1">
      <alignment horizontal="center" vertical="center" wrapText="1" readingOrder="1"/>
    </xf>
    <xf numFmtId="0" fontId="12" fillId="11" borderId="8" xfId="0" applyFont="1" applyFill="1" applyBorder="1" applyAlignment="1">
      <alignment horizontal="center" vertical="center" wrapText="1" readingOrder="1"/>
    </xf>
    <xf numFmtId="0" fontId="12" fillId="11" borderId="0" xfId="0" applyFont="1" applyFill="1" applyAlignment="1">
      <alignment horizontal="center" vertical="center" wrapText="1" readingOrder="1"/>
    </xf>
    <xf numFmtId="0" fontId="15" fillId="8" borderId="8" xfId="0" applyFont="1" applyFill="1" applyBorder="1" applyAlignment="1">
      <alignment horizontal="center" vertical="center" wrapText="1" readingOrder="1"/>
    </xf>
    <xf numFmtId="0" fontId="12" fillId="9" borderId="8" xfId="0" applyFont="1" applyFill="1" applyBorder="1" applyAlignment="1">
      <alignment horizontal="left" vertical="top" wrapText="1" readingOrder="1"/>
    </xf>
    <xf numFmtId="0" fontId="12" fillId="21" borderId="8" xfId="0" applyFont="1" applyFill="1" applyBorder="1" applyAlignment="1">
      <alignment vertical="top" wrapText="1" readingOrder="1"/>
    </xf>
    <xf numFmtId="0" fontId="12" fillId="21" borderId="9" xfId="0" applyFont="1" applyFill="1" applyBorder="1" applyAlignment="1">
      <alignment vertical="top" wrapText="1" readingOrder="1"/>
    </xf>
    <xf numFmtId="0" fontId="17" fillId="21" borderId="9" xfId="0" applyFont="1" applyFill="1" applyBorder="1" applyAlignment="1">
      <alignment vertical="top" wrapText="1"/>
    </xf>
    <xf numFmtId="0" fontId="17" fillId="21" borderId="9" xfId="0" applyFont="1" applyFill="1" applyBorder="1" applyAlignment="1">
      <alignment wrapText="1"/>
    </xf>
    <xf numFmtId="0" fontId="17" fillId="21" borderId="0" xfId="0" applyFont="1" applyFill="1" applyAlignment="1">
      <alignment wrapText="1"/>
    </xf>
    <xf numFmtId="49" fontId="6" fillId="13" borderId="35" xfId="0" applyNumberFormat="1" applyFont="1" applyFill="1" applyBorder="1" applyAlignment="1">
      <alignment horizontal="left" vertical="center" wrapText="1"/>
    </xf>
    <xf numFmtId="49" fontId="6" fillId="13" borderId="0" xfId="0" applyNumberFormat="1" applyFont="1" applyFill="1" applyAlignment="1">
      <alignment horizontal="left" vertical="center" wrapText="1"/>
    </xf>
    <xf numFmtId="0" fontId="5" fillId="0" borderId="35" xfId="0" applyFont="1" applyBorder="1"/>
    <xf numFmtId="0" fontId="5" fillId="0" borderId="0" xfId="0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right" vertical="center"/>
    </xf>
    <xf numFmtId="49" fontId="6" fillId="13" borderId="0" xfId="0" applyNumberFormat="1" applyFont="1" applyFill="1" applyAlignment="1">
      <alignment horizontal="left" vertical="center"/>
    </xf>
    <xf numFmtId="49" fontId="6" fillId="0" borderId="35" xfId="0" applyNumberFormat="1" applyFont="1" applyBorder="1" applyAlignment="1">
      <alignment horizontal="center" vertical="center" wrapText="1"/>
    </xf>
    <xf numFmtId="0" fontId="5" fillId="0" borderId="36" xfId="0" applyFont="1" applyBorder="1" applyAlignment="1">
      <alignment horizontal="center" vertical="center"/>
    </xf>
    <xf numFmtId="0" fontId="6" fillId="13" borderId="0" xfId="0" applyFont="1" applyFill="1" applyAlignment="1">
      <alignment horizontal="left" vertical="center"/>
    </xf>
    <xf numFmtId="0" fontId="5" fillId="13" borderId="35" xfId="0" applyFont="1" applyFill="1" applyBorder="1"/>
    <xf numFmtId="0" fontId="5" fillId="13" borderId="36" xfId="0" applyFont="1" applyFill="1" applyBorder="1" applyAlignment="1">
      <alignment horizontal="center" vertical="center"/>
    </xf>
    <xf numFmtId="49" fontId="6" fillId="0" borderId="0" xfId="0" applyNumberFormat="1" applyFont="1" applyAlignment="1">
      <alignment horizontal="left" vertical="center" wrapText="1"/>
    </xf>
    <xf numFmtId="49" fontId="6" fillId="13" borderId="35" xfId="0" applyNumberFormat="1" applyFont="1" applyFill="1" applyBorder="1" applyAlignment="1">
      <alignment vertical="center" wrapText="1"/>
    </xf>
    <xf numFmtId="49" fontId="6" fillId="13" borderId="0" xfId="0" applyNumberFormat="1" applyFont="1" applyFill="1" applyAlignment="1">
      <alignment horizontal="right" vertical="center"/>
    </xf>
    <xf numFmtId="49" fontId="6" fillId="0" borderId="0" xfId="0" applyNumberFormat="1" applyFont="1" applyAlignment="1">
      <alignment vertical="center" wrapText="1"/>
    </xf>
    <xf numFmtId="0" fontId="12" fillId="0" borderId="0" xfId="0" applyFont="1"/>
    <xf numFmtId="0" fontId="5" fillId="13" borderId="37" xfId="0" applyFont="1" applyFill="1" applyBorder="1"/>
    <xf numFmtId="49" fontId="6" fillId="13" borderId="28" xfId="0" applyNumberFormat="1" applyFont="1" applyFill="1" applyBorder="1" applyAlignment="1">
      <alignment horizontal="left" vertical="center" wrapText="1"/>
    </xf>
    <xf numFmtId="49" fontId="6" fillId="13" borderId="28" xfId="0" applyNumberFormat="1" applyFont="1" applyFill="1" applyBorder="1" applyAlignment="1">
      <alignment horizontal="left" vertical="center"/>
    </xf>
    <xf numFmtId="0" fontId="12" fillId="0" borderId="0" xfId="0" applyFont="1" applyAlignment="1">
      <alignment horizontal="center"/>
    </xf>
    <xf numFmtId="0" fontId="7" fillId="0" borderId="0" xfId="1" applyFont="1" applyFill="1" applyBorder="1" applyAlignment="1">
      <alignment vertical="center" wrapText="1"/>
    </xf>
    <xf numFmtId="0" fontId="7" fillId="0" borderId="0" xfId="1" applyFont="1" applyFill="1" applyBorder="1" applyAlignment="1">
      <alignment horizontal="center" vertical="center" wrapText="1"/>
    </xf>
    <xf numFmtId="0" fontId="3" fillId="23" borderId="18" xfId="0" applyFont="1" applyFill="1" applyBorder="1"/>
    <xf numFmtId="0" fontId="3" fillId="23" borderId="43" xfId="0" applyFont="1" applyFill="1" applyBorder="1" applyAlignment="1">
      <alignment horizontal="center" wrapText="1"/>
    </xf>
    <xf numFmtId="0" fontId="20" fillId="0" borderId="0" xfId="0" applyFont="1"/>
    <xf numFmtId="0" fontId="21" fillId="0" borderId="0" xfId="1" applyFont="1" applyFill="1" applyBorder="1" applyAlignment="1">
      <alignment horizontal="left" vertical="center"/>
    </xf>
    <xf numFmtId="0" fontId="21" fillId="0" borderId="0" xfId="1" applyFont="1" applyFill="1" applyBorder="1" applyAlignment="1">
      <alignment horizontal="center" vertical="center"/>
    </xf>
    <xf numFmtId="0" fontId="21" fillId="0" borderId="0" xfId="0" applyFont="1" applyAlignment="1">
      <alignment horizontal="center"/>
    </xf>
    <xf numFmtId="0" fontId="21" fillId="0" borderId="0" xfId="0" applyFont="1" applyAlignment="1">
      <alignment horizontal="center" vertical="center"/>
    </xf>
    <xf numFmtId="0" fontId="22" fillId="0" borderId="42" xfId="1" applyFont="1" applyFill="1" applyBorder="1" applyAlignment="1">
      <alignment horizontal="left" vertical="center"/>
    </xf>
    <xf numFmtId="0" fontId="22" fillId="0" borderId="0" xfId="1" applyFont="1" applyFill="1" applyBorder="1" applyAlignment="1">
      <alignment horizontal="center" vertical="center"/>
    </xf>
    <xf numFmtId="0" fontId="3" fillId="24" borderId="0" xfId="0" applyFont="1" applyFill="1"/>
    <xf numFmtId="0" fontId="4" fillId="0" borderId="0" xfId="0" applyFont="1" applyAlignment="1">
      <alignment horizontal="center"/>
    </xf>
    <xf numFmtId="0" fontId="3" fillId="23" borderId="41" xfId="0" applyFont="1" applyFill="1" applyBorder="1" applyAlignment="1">
      <alignment horizontal="center"/>
    </xf>
    <xf numFmtId="0" fontId="3" fillId="23" borderId="43" xfId="0" applyFont="1" applyFill="1" applyBorder="1" applyAlignment="1">
      <alignment horizontal="center"/>
    </xf>
    <xf numFmtId="0" fontId="3" fillId="25" borderId="0" xfId="0" applyFont="1" applyFill="1" applyAlignment="1">
      <alignment horizontal="left"/>
    </xf>
    <xf numFmtId="0" fontId="3" fillId="23" borderId="43" xfId="0" applyFont="1" applyFill="1" applyBorder="1"/>
    <xf numFmtId="0" fontId="8" fillId="12" borderId="18" xfId="0" applyFont="1" applyFill="1" applyBorder="1" applyAlignment="1">
      <alignment horizontal="left" vertical="center" wrapText="1" readingOrder="1"/>
    </xf>
    <xf numFmtId="0" fontId="8" fillId="12" borderId="18" xfId="0" applyFont="1" applyFill="1" applyBorder="1" applyAlignment="1">
      <alignment horizontal="center" vertical="center" wrapText="1" readingOrder="1"/>
    </xf>
    <xf numFmtId="0" fontId="8" fillId="0" borderId="17" xfId="0" applyFont="1" applyBorder="1" applyAlignment="1">
      <alignment horizontal="left" vertical="center" wrapText="1" readingOrder="1"/>
    </xf>
    <xf numFmtId="0" fontId="8" fillId="0" borderId="17" xfId="0" applyFont="1" applyBorder="1" applyAlignment="1">
      <alignment horizontal="center" vertical="center" wrapText="1" readingOrder="1"/>
    </xf>
    <xf numFmtId="0" fontId="8" fillId="12" borderId="16" xfId="0" applyFont="1" applyFill="1" applyBorder="1" applyAlignment="1">
      <alignment vertical="center" wrapText="1" readingOrder="1"/>
    </xf>
    <xf numFmtId="0" fontId="12" fillId="12" borderId="16" xfId="0" applyFont="1" applyFill="1" applyBorder="1" applyAlignment="1">
      <alignment horizontal="center" vertical="center" wrapText="1" readingOrder="1"/>
    </xf>
    <xf numFmtId="0" fontId="5" fillId="0" borderId="45" xfId="0" applyFont="1" applyBorder="1"/>
    <xf numFmtId="0" fontId="5" fillId="0" borderId="45" xfId="0" applyFont="1" applyBorder="1" applyAlignment="1">
      <alignment horizontal="center"/>
    </xf>
    <xf numFmtId="0" fontId="8" fillId="0" borderId="16" xfId="0" applyFont="1" applyBorder="1" applyAlignment="1">
      <alignment vertical="center" wrapText="1" readingOrder="1"/>
    </xf>
    <xf numFmtId="0" fontId="8" fillId="0" borderId="16" xfId="0" applyFont="1" applyBorder="1" applyAlignment="1">
      <alignment horizontal="center" vertical="center" wrapText="1" readingOrder="1"/>
    </xf>
    <xf numFmtId="0" fontId="12" fillId="12" borderId="15" xfId="0" applyFont="1" applyFill="1" applyBorder="1" applyAlignment="1">
      <alignment horizontal="left" vertical="top" wrapText="1" readingOrder="1"/>
    </xf>
    <xf numFmtId="0" fontId="8" fillId="12" borderId="15" xfId="0" applyFont="1" applyFill="1" applyBorder="1" applyAlignment="1">
      <alignment horizontal="left" vertical="center" wrapText="1" readingOrder="1"/>
    </xf>
    <xf numFmtId="0" fontId="12" fillId="12" borderId="15" xfId="0" applyFont="1" applyFill="1" applyBorder="1" applyAlignment="1">
      <alignment horizontal="center" vertical="center" wrapText="1" readingOrder="1"/>
    </xf>
    <xf numFmtId="0" fontId="5" fillId="0" borderId="48" xfId="0" applyFont="1" applyBorder="1" applyAlignment="1">
      <alignment horizontal="center"/>
    </xf>
    <xf numFmtId="0" fontId="5" fillId="0" borderId="48" xfId="0" applyFont="1" applyBorder="1"/>
    <xf numFmtId="0" fontId="8" fillId="0" borderId="15" xfId="0" applyFont="1" applyBorder="1" applyAlignment="1">
      <alignment horizontal="left" vertical="center" wrapText="1" readingOrder="1"/>
    </xf>
    <xf numFmtId="0" fontId="3" fillId="22" borderId="40" xfId="0" applyFont="1" applyFill="1" applyBorder="1" applyAlignment="1">
      <alignment horizontal="center"/>
    </xf>
    <xf numFmtId="0" fontId="3" fillId="22" borderId="41" xfId="0" applyFont="1" applyFill="1" applyBorder="1"/>
    <xf numFmtId="2" fontId="6" fillId="0" borderId="0" xfId="0" applyNumberFormat="1" applyFont="1"/>
    <xf numFmtId="0" fontId="23" fillId="0" borderId="0" xfId="0" applyFont="1" applyAlignment="1">
      <alignment horizontal="left" vertical="center"/>
    </xf>
    <xf numFmtId="164" fontId="12" fillId="0" borderId="20" xfId="0" applyNumberFormat="1" applyFont="1" applyBorder="1" applyAlignment="1">
      <alignment horizontal="left" vertical="center" wrapText="1" indent="1"/>
    </xf>
    <xf numFmtId="164" fontId="13" fillId="0" borderId="20" xfId="0" applyNumberFormat="1" applyFont="1" applyBorder="1" applyAlignment="1">
      <alignment horizontal="left" vertical="center" wrapText="1" indent="1"/>
    </xf>
    <xf numFmtId="0" fontId="7" fillId="29" borderId="1" xfId="0" applyFont="1" applyFill="1" applyBorder="1" applyAlignment="1">
      <alignment horizontal="center" vertical="center" wrapText="1" readingOrder="1"/>
    </xf>
    <xf numFmtId="0" fontId="27" fillId="0" borderId="0" xfId="0" applyFont="1"/>
    <xf numFmtId="0" fontId="28" fillId="28" borderId="0" xfId="0" applyFont="1" applyFill="1" applyAlignment="1">
      <alignment horizontal="center" vertical="center" wrapText="1" readingOrder="1"/>
    </xf>
    <xf numFmtId="0" fontId="27" fillId="0" borderId="0" xfId="0" applyFont="1" applyAlignment="1">
      <alignment horizontal="left"/>
    </xf>
    <xf numFmtId="0" fontId="2" fillId="0" borderId="0" xfId="0" applyFont="1" applyAlignment="1">
      <alignment horizontal="center" wrapText="1"/>
    </xf>
    <xf numFmtId="1" fontId="21" fillId="0" borderId="0" xfId="0" applyNumberFormat="1" applyFont="1" applyAlignment="1">
      <alignment horizontal="center"/>
    </xf>
    <xf numFmtId="0" fontId="8" fillId="13" borderId="0" xfId="0" applyFont="1" applyFill="1" applyAlignment="1">
      <alignment horizontal="center" vertical="center"/>
    </xf>
    <xf numFmtId="2" fontId="8" fillId="21" borderId="27" xfId="0" applyNumberFormat="1" applyFont="1" applyFill="1" applyBorder="1" applyAlignment="1">
      <alignment horizontal="center" vertical="center" wrapText="1" readingOrder="1"/>
    </xf>
    <xf numFmtId="0" fontId="12" fillId="21" borderId="27" xfId="0" applyFont="1" applyFill="1" applyBorder="1" applyAlignment="1">
      <alignment horizontal="left" vertical="center" wrapText="1" readingOrder="1"/>
    </xf>
    <xf numFmtId="0" fontId="6" fillId="13" borderId="38" xfId="0" applyFont="1" applyFill="1" applyBorder="1" applyAlignment="1">
      <alignment horizontal="center" vertical="center"/>
    </xf>
    <xf numFmtId="0" fontId="2" fillId="0" borderId="0" xfId="0" applyFont="1"/>
    <xf numFmtId="0" fontId="30" fillId="0" borderId="41" xfId="0" applyFont="1" applyBorder="1" applyAlignment="1">
      <alignment horizontal="center"/>
    </xf>
    <xf numFmtId="0" fontId="31" fillId="22" borderId="41" xfId="0" applyFont="1" applyFill="1" applyBorder="1" applyAlignment="1">
      <alignment horizontal="center"/>
    </xf>
    <xf numFmtId="0" fontId="30" fillId="0" borderId="45" xfId="0" applyFont="1" applyBorder="1" applyAlignment="1">
      <alignment horizontal="center"/>
    </xf>
    <xf numFmtId="0" fontId="31" fillId="22" borderId="45" xfId="0" applyFont="1" applyFill="1" applyBorder="1" applyAlignment="1">
      <alignment horizontal="center"/>
    </xf>
    <xf numFmtId="0" fontId="29" fillId="0" borderId="0" xfId="0" applyFont="1"/>
    <xf numFmtId="0" fontId="29" fillId="0" borderId="49" xfId="0" applyFont="1" applyBorder="1"/>
    <xf numFmtId="0" fontId="29" fillId="0" borderId="49" xfId="0" applyFont="1" applyBorder="1" applyAlignment="1">
      <alignment wrapText="1"/>
    </xf>
    <xf numFmtId="0" fontId="29" fillId="0" borderId="50" xfId="0" applyFont="1" applyBorder="1"/>
    <xf numFmtId="0" fontId="30" fillId="0" borderId="40" xfId="0" applyFont="1" applyBorder="1"/>
    <xf numFmtId="0" fontId="31" fillId="22" borderId="40" xfId="0" applyFont="1" applyFill="1" applyBorder="1"/>
    <xf numFmtId="0" fontId="5" fillId="0" borderId="51" xfId="0" applyFont="1" applyBorder="1" applyAlignment="1">
      <alignment horizontal="center"/>
    </xf>
    <xf numFmtId="0" fontId="5" fillId="0" borderId="53" xfId="0" applyFont="1" applyBorder="1" applyAlignment="1">
      <alignment horizontal="center"/>
    </xf>
    <xf numFmtId="0" fontId="3" fillId="23" borderId="54" xfId="0" applyFont="1" applyFill="1" applyBorder="1" applyAlignment="1">
      <alignment horizontal="center"/>
    </xf>
    <xf numFmtId="0" fontId="30" fillId="0" borderId="45" xfId="0" applyFont="1" applyBorder="1" applyAlignment="1">
      <alignment horizontal="left"/>
    </xf>
    <xf numFmtId="0" fontId="30" fillId="0" borderId="46" xfId="0" applyFont="1" applyBorder="1" applyAlignment="1">
      <alignment horizontal="center"/>
    </xf>
    <xf numFmtId="0" fontId="30" fillId="0" borderId="46" xfId="0" applyFont="1" applyBorder="1"/>
    <xf numFmtId="0" fontId="32" fillId="0" borderId="45" xfId="0" applyFont="1" applyBorder="1"/>
    <xf numFmtId="0" fontId="30" fillId="0" borderId="51" xfId="0" applyFont="1" applyBorder="1" applyAlignment="1">
      <alignment horizontal="center"/>
    </xf>
    <xf numFmtId="0" fontId="30" fillId="0" borderId="45" xfId="0" applyFont="1" applyBorder="1"/>
    <xf numFmtId="0" fontId="19" fillId="0" borderId="45" xfId="0" applyFont="1" applyBorder="1" applyAlignment="1">
      <alignment horizontal="left"/>
    </xf>
    <xf numFmtId="0" fontId="19" fillId="0" borderId="52" xfId="0" applyFont="1" applyBorder="1" applyAlignment="1">
      <alignment horizontal="center"/>
    </xf>
    <xf numFmtId="0" fontId="19" fillId="0" borderId="47" xfId="0" applyFont="1" applyBorder="1" applyAlignment="1">
      <alignment horizontal="center"/>
    </xf>
    <xf numFmtId="0" fontId="19" fillId="0" borderId="47" xfId="0" applyFont="1" applyBorder="1"/>
    <xf numFmtId="0" fontId="31" fillId="22" borderId="41" xfId="0" applyFont="1" applyFill="1" applyBorder="1"/>
    <xf numFmtId="167" fontId="8" fillId="15" borderId="9" xfId="0" applyNumberFormat="1" applyFont="1" applyFill="1" applyBorder="1" applyAlignment="1">
      <alignment horizontal="center" vertical="center" wrapText="1" readingOrder="1"/>
    </xf>
    <xf numFmtId="0" fontId="12" fillId="15" borderId="9" xfId="0" applyFont="1" applyFill="1" applyBorder="1" applyAlignment="1">
      <alignment horizontal="left" vertical="top" wrapText="1" readingOrder="1"/>
    </xf>
    <xf numFmtId="0" fontId="33" fillId="30" borderId="55" xfId="0" applyFont="1" applyFill="1" applyBorder="1"/>
    <xf numFmtId="0" fontId="34" fillId="31" borderId="18" xfId="0" applyFont="1" applyFill="1" applyBorder="1"/>
    <xf numFmtId="0" fontId="4" fillId="0" borderId="18" xfId="0" applyFont="1" applyBorder="1"/>
    <xf numFmtId="0" fontId="18" fillId="0" borderId="18" xfId="0" applyFont="1" applyBorder="1"/>
    <xf numFmtId="49" fontId="6" fillId="25" borderId="35" xfId="0" applyNumberFormat="1" applyFont="1" applyFill="1" applyBorder="1" applyAlignment="1">
      <alignment horizontal="left" vertical="center" wrapText="1"/>
    </xf>
    <xf numFmtId="49" fontId="6" fillId="25" borderId="0" xfId="0" applyNumberFormat="1" applyFont="1" applyFill="1" applyAlignment="1">
      <alignment horizontal="left" vertical="center" wrapText="1"/>
    </xf>
    <xf numFmtId="0" fontId="3" fillId="0" borderId="56" xfId="0" applyFont="1" applyBorder="1"/>
    <xf numFmtId="0" fontId="35" fillId="0" borderId="39" xfId="0" applyFont="1" applyBorder="1"/>
    <xf numFmtId="0" fontId="33" fillId="30" borderId="55" xfId="0" applyFont="1" applyFill="1" applyBorder="1" applyAlignment="1">
      <alignment horizontal="center"/>
    </xf>
    <xf numFmtId="0" fontId="5" fillId="26" borderId="0" xfId="0" applyFont="1" applyFill="1" applyAlignment="1">
      <alignment horizontal="center"/>
    </xf>
    <xf numFmtId="0" fontId="3" fillId="23" borderId="0" xfId="0" applyFont="1" applyFill="1" applyAlignment="1">
      <alignment horizontal="center"/>
    </xf>
    <xf numFmtId="0" fontId="30" fillId="0" borderId="0" xfId="0" applyFont="1" applyAlignment="1">
      <alignment horizontal="center"/>
    </xf>
    <xf numFmtId="0" fontId="31" fillId="22" borderId="0" xfId="0" applyFont="1" applyFill="1" applyAlignment="1">
      <alignment horizontal="center"/>
    </xf>
    <xf numFmtId="0" fontId="3" fillId="23" borderId="41" xfId="0" applyFont="1" applyFill="1" applyBorder="1"/>
    <xf numFmtId="1" fontId="12" fillId="0" borderId="24" xfId="0" applyNumberFormat="1" applyFont="1" applyBorder="1" applyAlignment="1">
      <alignment horizontal="center" wrapText="1"/>
    </xf>
    <xf numFmtId="1" fontId="36" fillId="0" borderId="24" xfId="0" applyNumberFormat="1" applyFont="1" applyBorder="1" applyAlignment="1">
      <alignment horizontal="center" wrapText="1"/>
    </xf>
    <xf numFmtId="0" fontId="10" fillId="0" borderId="0" xfId="0" applyFont="1" applyAlignment="1">
      <alignment horizontal="center" vertical="center" wrapText="1" readingOrder="1"/>
    </xf>
    <xf numFmtId="1" fontId="37" fillId="0" borderId="24" xfId="0" applyNumberFormat="1" applyFont="1" applyBorder="1" applyAlignment="1">
      <alignment horizontal="center" wrapText="1"/>
    </xf>
    <xf numFmtId="1" fontId="38" fillId="0" borderId="24" xfId="0" applyNumberFormat="1" applyFont="1" applyBorder="1" applyAlignment="1">
      <alignment horizontal="center" wrapText="1"/>
    </xf>
    <xf numFmtId="1" fontId="38" fillId="0" borderId="20" xfId="0" applyNumberFormat="1" applyFont="1" applyBorder="1" applyAlignment="1">
      <alignment horizontal="center" wrapText="1" indent="1"/>
    </xf>
    <xf numFmtId="1" fontId="37" fillId="0" borderId="20" xfId="0" applyNumberFormat="1" applyFont="1" applyBorder="1" applyAlignment="1">
      <alignment horizontal="center" wrapText="1" indent="1"/>
    </xf>
    <xf numFmtId="1" fontId="8" fillId="0" borderId="24" xfId="0" applyNumberFormat="1" applyFont="1" applyBorder="1" applyAlignment="1">
      <alignment horizontal="center" wrapText="1"/>
    </xf>
    <xf numFmtId="0" fontId="3" fillId="24" borderId="44" xfId="0" applyFont="1" applyFill="1" applyBorder="1" applyAlignment="1">
      <alignment horizontal="center"/>
    </xf>
    <xf numFmtId="0" fontId="3" fillId="24" borderId="43" xfId="0" applyFont="1" applyFill="1" applyBorder="1" applyAlignment="1">
      <alignment horizontal="center"/>
    </xf>
    <xf numFmtId="0" fontId="5" fillId="26" borderId="0" xfId="0" applyFont="1" applyFill="1" applyAlignment="1">
      <alignment horizontal="center"/>
    </xf>
    <xf numFmtId="0" fontId="5" fillId="27" borderId="0" xfId="0" applyFont="1" applyFill="1" applyAlignment="1">
      <alignment horizontal="center"/>
    </xf>
  </cellXfs>
  <cellStyles count="2">
    <cellStyle name="Normal" xfId="0" builtinId="0"/>
    <cellStyle name="Output" xfId="1" builtinId="21"/>
  </cellStyles>
  <dxfs count="7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numFmt numFmtId="1" formatCode="0"/>
      <fill>
        <patternFill patternType="none"/>
      </fill>
      <alignment horizontal="center" vertical="bottom" textRotation="0" wrapText="1" indent="1" justifyLastLine="0" shrinkToFit="0" readingOrder="0"/>
      <border diagonalUp="0" diagonalDown="0">
        <left/>
        <right style="medium">
          <color rgb="FF9BC2E6"/>
        </right>
        <top style="medium">
          <color rgb="FF9BC2E6"/>
        </top>
        <bottom style="medium">
          <color rgb="FF9BC2E6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numFmt numFmtId="1" formatCode="0"/>
      <fill>
        <patternFill patternType="none"/>
      </fill>
      <alignment horizontal="center" vertical="bottom" textRotation="0" wrapText="1" indent="1" justifyLastLine="0" shrinkToFit="0" readingOrder="0"/>
      <border diagonalUp="0" diagonalDown="0">
        <left/>
        <right style="medium">
          <color rgb="FF9BC2E6"/>
        </right>
        <top style="medium">
          <color rgb="FF9BC2E6"/>
        </top>
        <bottom style="medium">
          <color rgb="FF9BC2E6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numFmt numFmtId="1" formatCode="0"/>
      <fill>
        <patternFill patternType="none"/>
      </fill>
      <alignment horizontal="center" vertical="bottom" textRotation="0" wrapText="1" indent="1" justifyLastLine="0" shrinkToFit="0" readingOrder="0"/>
      <border diagonalUp="0" diagonalDown="0">
        <left/>
        <right style="medium">
          <color rgb="FF9BC2E6"/>
        </right>
        <top style="medium">
          <color rgb="FF9BC2E6"/>
        </top>
        <bottom style="medium">
          <color rgb="FF9BC2E6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numFmt numFmtId="1" formatCode="0"/>
      <fill>
        <patternFill patternType="none"/>
      </fill>
      <alignment horizontal="center" vertical="bottom" textRotation="0" wrapText="1" indent="1" justifyLastLine="0" shrinkToFit="0" readingOrder="0"/>
      <border diagonalUp="0" diagonalDown="0">
        <left/>
        <right style="medium">
          <color rgb="FF9BC2E6"/>
        </right>
        <top style="medium">
          <color rgb="FF9BC2E6"/>
        </top>
        <bottom style="medium">
          <color rgb="FF9BC2E6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none"/>
      </fill>
      <alignment horizontal="left" vertical="center" textRotation="0" wrapText="1" relativeIndent="-1" justifyLastLine="0" shrinkToFit="0" readingOrder="0"/>
      <border diagonalUp="0" diagonalDown="0">
        <left style="medium">
          <color theme="8" tint="0.39994506668294322"/>
        </left>
        <right style="medium">
          <color rgb="FF8EAADB"/>
        </right>
        <top style="medium">
          <color theme="8" tint="0.39994506668294322"/>
        </top>
        <bottom style="medium">
          <color theme="8" tint="0.399945066682943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none"/>
      </fill>
      <alignment horizontal="center" vertical="bottom" textRotation="0" wrapText="1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none">
          <fgColor indexed="64"/>
          <bgColor rgb="FF5B9BD5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numFmt numFmtId="1" formatCode="0"/>
      <fill>
        <patternFill patternType="none"/>
      </fill>
      <alignment horizontal="center" vertical="bottom" textRotation="0" wrapText="1" indent="1" justifyLastLine="0" shrinkToFit="0" readingOrder="0"/>
      <border diagonalUp="0" diagonalDown="0">
        <left/>
        <right style="medium">
          <color rgb="FF9BC2E6"/>
        </right>
        <top style="medium">
          <color rgb="FF9BC2E6"/>
        </top>
        <bottom style="medium">
          <color rgb="FF9BC2E6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numFmt numFmtId="1" formatCode="0"/>
      <fill>
        <patternFill patternType="none"/>
      </fill>
      <alignment horizontal="center" vertical="bottom" textRotation="0" wrapText="1" indent="1" justifyLastLine="0" shrinkToFit="0" readingOrder="0"/>
      <border diagonalUp="0" diagonalDown="0">
        <left/>
        <right style="medium">
          <color rgb="FF9BC2E6"/>
        </right>
        <top style="medium">
          <color rgb="FF9BC2E6"/>
        </top>
        <bottom style="medium">
          <color rgb="FF9BC2E6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numFmt numFmtId="1" formatCode="0"/>
      <fill>
        <patternFill patternType="none"/>
      </fill>
      <alignment horizontal="center" vertical="bottom" textRotation="0" wrapText="1" indent="1" justifyLastLine="0" shrinkToFit="0" readingOrder="0"/>
      <border diagonalUp="0" diagonalDown="0">
        <left/>
        <right style="medium">
          <color rgb="FF9BC2E6"/>
        </right>
        <top style="medium">
          <color rgb="FF9BC2E6"/>
        </top>
        <bottom style="medium">
          <color rgb="FF9BC2E6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none"/>
      </fill>
      <alignment horizontal="left" vertical="center" textRotation="0" wrapText="1" relativeIndent="-1" justifyLastLine="0" shrinkToFit="0" readingOrder="0"/>
      <border diagonalUp="0" diagonalDown="0">
        <left style="medium">
          <color theme="8" tint="0.39994506668294322"/>
        </left>
        <right style="medium">
          <color rgb="FF8EAADB"/>
        </right>
        <top style="medium">
          <color theme="8" tint="0.39994506668294322"/>
        </top>
        <bottom style="medium">
          <color theme="8" tint="0.399945066682943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none"/>
      </fill>
      <alignment horizontal="center" vertical="bottom" textRotation="0" wrapText="1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none">
          <fgColor indexed="64"/>
          <bgColor rgb="FF5B9BD5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3F3F3F"/>
        <name val="Calibri"/>
        <scheme val="minor"/>
      </font>
      <fill>
        <patternFill patternType="none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3F3F3F"/>
        <name val="Calibri"/>
        <scheme val="minor"/>
      </font>
      <fill>
        <patternFill patternType="none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3F3F3F"/>
        <name val="Calibri"/>
        <scheme val="minor"/>
      </font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3F3F3F"/>
        <name val="Calibri"/>
        <scheme val="minor"/>
      </font>
      <fill>
        <patternFill patternType="none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3F3F3F"/>
        <name val="Calibri"/>
        <scheme val="minor"/>
      </font>
      <fill>
        <patternFill patternType="none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border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3F3F3F"/>
        <name val="Calibri"/>
        <scheme val="minor"/>
      </font>
      <fill>
        <patternFill patternType="none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none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1"/>
    </dxf>
    <dxf>
      <font>
        <b val="0"/>
        <sz val="12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border outline="0">
        <left style="thin">
          <color theme="4"/>
        </left>
        <right style="medium">
          <color rgb="FF9CC2E5"/>
        </right>
      </border>
    </dxf>
    <dxf>
      <font>
        <sz val="12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1"/>
      <border diagonalUp="0" diagonalDown="0">
        <left style="medium">
          <color rgb="FF9CC2E5"/>
        </left>
        <right style="medium">
          <color rgb="FF9CC2E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none">
          <fgColor indexed="64"/>
          <bgColor rgb="FFDEEAF6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none">
          <fgColor indexed="64"/>
          <bgColor rgb="FFDEEAF6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none">
          <fgColor indexed="64"/>
          <bgColor rgb="FFDEEAF6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none">
          <fgColor indexed="64"/>
          <bgColor rgb="FFDEEAF6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border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none">
          <fgColor indexed="64"/>
          <bgColor rgb="FFDEEAF6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libri"/>
        <scheme val="minor"/>
      </font>
      <fill>
        <patternFill patternType="none">
          <fgColor indexed="64"/>
          <bgColor rgb="FF5B9BD5"/>
        </patternFill>
      </fill>
      <alignment horizontal="center" vertical="center" textRotation="0" wrapText="1" indent="0" justifyLastLine="0" shrinkToFit="0" readingOrder="1"/>
      <border diagonalUp="0" diagonalDown="0">
        <left style="medium">
          <color rgb="FF000000"/>
        </left>
        <right style="medium">
          <color rgb="FF000000"/>
        </right>
        <top/>
        <bottom/>
      </border>
    </dxf>
    <dxf>
      <font>
        <sz val="12"/>
        <name val="Calibri"/>
        <scheme val="minor"/>
      </font>
      <fill>
        <patternFill patternType="none"/>
      </fill>
    </dxf>
    <dxf>
      <font>
        <sz val="12"/>
        <name val="Calibri"/>
        <scheme val="minor"/>
      </font>
      <fill>
        <patternFill patternType="none"/>
      </fill>
    </dxf>
    <dxf>
      <font>
        <sz val="12"/>
        <name val="Calibri"/>
        <scheme val="minor"/>
      </font>
      <fill>
        <patternFill patternType="none"/>
      </fill>
    </dxf>
    <dxf>
      <font>
        <b/>
        <sz val="12"/>
        <name val="Calibri"/>
        <scheme val="minor"/>
      </font>
      <fill>
        <patternFill patternType="none"/>
      </fill>
    </dxf>
    <dxf>
      <border outline="0">
        <bottom style="medium">
          <color rgb="FF5B9BD5"/>
        </bottom>
      </border>
    </dxf>
    <dxf>
      <border outline="0">
        <top style="medium">
          <color rgb="FF5B9BD5"/>
        </top>
        <bottom style="medium">
          <color rgb="FF9CC2E5"/>
        </bottom>
      </border>
    </dxf>
    <dxf>
      <font>
        <sz val="12"/>
        <name val="Calibri"/>
        <scheme val="minor"/>
      </font>
      <fill>
        <patternFill patternType="none"/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none">
          <fgColor indexed="64"/>
          <bgColor rgb="FF5B9BD5"/>
        </patternFill>
      </fill>
      <alignment horizontal="center" vertical="center" textRotation="0" wrapText="1" indent="0" justifyLastLine="0" shrinkToFit="0" readingOrder="1"/>
    </dxf>
    <dxf>
      <font>
        <sz val="12"/>
        <name val="Calibri"/>
        <scheme val="minor"/>
      </font>
      <fill>
        <patternFill patternType="none"/>
      </fill>
    </dxf>
    <dxf>
      <font>
        <sz val="12"/>
        <name val="Calibri"/>
        <scheme val="minor"/>
      </font>
      <fill>
        <patternFill patternType="none"/>
      </fill>
    </dxf>
    <dxf>
      <font>
        <sz val="12"/>
        <name val="Calibri"/>
        <scheme val="minor"/>
      </font>
      <fill>
        <patternFill patternType="none"/>
      </fill>
    </dxf>
    <dxf>
      <font>
        <sz val="12"/>
        <name val="Calibri"/>
        <scheme val="minor"/>
      </font>
      <fill>
        <patternFill patternType="none"/>
      </fill>
    </dxf>
    <dxf>
      <font>
        <sz val="12"/>
        <name val="Calibri"/>
        <scheme val="minor"/>
      </font>
      <fill>
        <patternFill patternType="none"/>
      </fill>
    </dxf>
    <dxf>
      <font>
        <sz val="12"/>
        <name val="Calibri"/>
        <scheme val="minor"/>
      </font>
      <fill>
        <patternFill patternType="none"/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none">
          <fgColor indexed="64"/>
          <bgColor rgb="FF5B9BD5"/>
        </patternFill>
      </fill>
      <alignment horizontal="center" vertical="center" textRotation="0" wrapText="1" indent="0" justifyLastLine="0" shrinkToFit="0" readingOrder="1"/>
    </dxf>
    <dxf>
      <font>
        <b/>
        <sz val="12"/>
        <name val="Calibri"/>
        <scheme val="minor"/>
      </font>
      <fill>
        <patternFill patternType="none"/>
      </fill>
    </dxf>
    <dxf>
      <font>
        <b/>
        <sz val="12"/>
        <name val="Calibri"/>
        <scheme val="minor"/>
      </font>
      <numFmt numFmtId="2" formatCode="0.00"/>
      <fill>
        <patternFill patternType="none"/>
      </fill>
    </dxf>
    <dxf>
      <font>
        <b/>
        <sz val="12"/>
        <name val="Calibri"/>
        <scheme val="minor"/>
      </font>
      <fill>
        <patternFill patternType="none"/>
      </fill>
    </dxf>
    <dxf>
      <font>
        <b/>
        <sz val="12"/>
        <name val="Calibri"/>
        <scheme val="minor"/>
      </font>
      <fill>
        <patternFill patternType="none"/>
      </fill>
    </dxf>
    <dxf>
      <font>
        <b/>
        <sz val="12"/>
        <name val="Calibri"/>
        <scheme val="minor"/>
      </font>
      <fill>
        <patternFill patternType="none"/>
      </fill>
    </dxf>
    <dxf>
      <font>
        <sz val="12"/>
        <name val="Calibri"/>
        <scheme val="minor"/>
      </font>
      <fill>
        <patternFill patternType="none"/>
      </fill>
    </dxf>
    <dxf>
      <font>
        <sz val="12"/>
        <name val="Calibri"/>
        <scheme val="minor"/>
      </font>
      <fill>
        <patternFill patternType="none"/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none">
          <fgColor indexed="64"/>
          <bgColor rgb="FF5B9BD5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numFmt numFmtId="0" formatCode="General"/>
      <fill>
        <patternFill patternType="none"/>
      </fill>
      <alignment horizontal="center" vertical="bottom" textRotation="0" wrapText="0" indent="0" justifyLastLine="0" shrinkToFit="0" readingOrder="0"/>
      <border diagonalUp="0" diagonalDown="0">
        <left style="medium">
          <color rgb="FF9BC2E6"/>
        </left>
        <right style="medium">
          <color rgb="FF9BC2E6"/>
        </right>
        <top style="medium">
          <color rgb="FF9BC2E6"/>
        </top>
        <bottom style="medium">
          <color rgb="FF9BC2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" formatCode="0"/>
      <fill>
        <patternFill patternType="none"/>
      </fill>
      <alignment horizontal="center" vertical="bottom" textRotation="0" wrapText="1" indent="1" justifyLastLine="0" shrinkToFit="0" readingOrder="0"/>
      <border diagonalUp="0" diagonalDown="0" outline="0">
        <left/>
        <right/>
        <top style="medium">
          <color rgb="FF9BC2E6"/>
        </top>
        <bottom style="medium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numFmt numFmtId="1" formatCode="0"/>
      <alignment horizontal="center" vertical="bottom" textRotation="0" wrapText="1" indent="0" justifyLastLine="0" shrinkToFit="0" readingOrder="0"/>
      <border diagonalUp="0" diagonalDown="0">
        <left/>
        <right/>
        <top/>
        <bottom style="medium">
          <color rgb="FF9BC2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numFmt numFmtId="1" formatCode="0"/>
      <fill>
        <patternFill patternType="none"/>
      </fill>
      <alignment horizontal="center" vertical="bottom" textRotation="0" wrapText="1" indent="1" justifyLastLine="0" shrinkToFit="0" readingOrder="0"/>
      <border diagonalUp="0" diagonalDown="0" outline="0">
        <left/>
        <right style="medium">
          <color rgb="FF9BC2E6"/>
        </right>
        <top style="medium">
          <color rgb="FF9BC2E6"/>
        </top>
        <bottom style="medium">
          <color rgb="FF9BC2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numFmt numFmtId="1" formatCode="0"/>
      <fill>
        <patternFill patternType="none"/>
      </fill>
      <alignment horizontal="center" vertical="bottom" textRotation="0" wrapText="1" indent="1" justifyLastLine="0" shrinkToFit="0" readingOrder="0"/>
      <border diagonalUp="0" diagonalDown="0" outline="0">
        <left/>
        <right/>
        <top style="medium">
          <color rgb="FF9BC2E6"/>
        </top>
        <bottom style="medium">
          <color rgb="FF9BC2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numFmt numFmtId="1" formatCode="0"/>
      <fill>
        <patternFill patternType="none"/>
      </fill>
      <alignment horizontal="center" vertical="bottom" textRotation="0" wrapText="1" indent="1" justifyLastLine="0" shrinkToFit="0" readingOrder="0"/>
      <border diagonalUp="0" diagonalDown="0" outline="0">
        <left/>
        <right/>
        <top style="medium">
          <color rgb="FF9BC2E6"/>
        </top>
        <bottom style="medium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none"/>
      </fill>
      <alignment horizontal="left" vertical="center" textRotation="0" wrapText="1" indent="0" justifyLastLine="0" shrinkToFit="0" readingOrder="0"/>
      <border diagonalUp="0" diagonalDown="0" outline="0">
        <left style="medium">
          <color theme="8" tint="0.39994506668294322"/>
        </left>
        <right/>
        <top style="medium">
          <color theme="8" tint="0.39994506668294322"/>
        </top>
        <bottom style="medium">
          <color theme="8" tint="0.399945066682943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none"/>
      </fill>
      <alignment horizontal="center" vertical="bottom" textRotation="0" wrapText="1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none">
          <fgColor indexed="64"/>
          <bgColor rgb="FF5B9BD5"/>
        </patternFill>
      </fill>
      <alignment horizontal="center" vertical="center" textRotation="0" wrapText="1" indent="0" justifyLastLine="0" shrinkToFit="0" readingOrder="1"/>
    </dxf>
    <dxf>
      <font>
        <sz val="12"/>
        <name val="Calibri"/>
        <scheme val="minor"/>
      </font>
      <fill>
        <patternFill patternType="none"/>
      </fill>
    </dxf>
    <dxf>
      <font>
        <sz val="12"/>
        <color rgb="FF000000"/>
        <name val="Calibri"/>
        <scheme val="minor"/>
      </font>
      <fill>
        <patternFill patternType="none"/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none">
          <fgColor indexed="64"/>
          <bgColor rgb="FF5B9BD5"/>
        </patternFill>
      </fill>
      <alignment horizontal="center" vertical="center" textRotation="0" wrapText="1" indent="0" justifyLastLine="0" shrinkToFit="0" readingOrder="0"/>
    </dxf>
    <dxf>
      <border outline="0">
        <bottom style="medium">
          <color indexed="64"/>
        </bottom>
      </border>
    </dxf>
    <dxf>
      <font>
        <sz val="12"/>
        <name val="Calibri"/>
        <scheme val="minor"/>
      </font>
      <fill>
        <patternFill patternType="none"/>
      </fill>
    </dxf>
    <dxf>
      <font>
        <sz val="12"/>
        <color theme="0"/>
        <name val="Calibri"/>
        <scheme val="minor"/>
      </font>
      <fill>
        <patternFill patternType="none">
          <fgColor indexed="64"/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A29EFC3-58A2-4431-8B0F-60680F58676D}" name="Tabla2" displayName="Tabla2" ref="B27:D31" totalsRowShown="0" headerRowDxfId="72" dataDxfId="71" tableBorderDxfId="70">
  <autoFilter ref="B27:D31" xr:uid="{4A29EFC3-58A2-4431-8B0F-60680F58676D}"/>
  <tableColumns count="3">
    <tableColumn id="1" xr3:uid="{3999BB60-4785-4A8A-8BB8-25B1BCAE28BC}" name="UUOO" dataDxfId="69"/>
    <tableColumn id="2" xr3:uid="{F732DAB3-91EE-4831-A922-809480FA0AA3}" name="PROGRAMADO " dataDxfId="68"/>
    <tableColumn id="3" xr3:uid="{49934A55-18D3-4DBE-8E1A-477105D80918}" name="EJECUTADO" dataDxfId="67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DE5AEA9-0306-4705-8550-1C84D6F1DD1D}" name="Tabla3" displayName="Tabla3" ref="I5:O17" totalsRowShown="0" headerRowDxfId="66" dataDxfId="65">
  <autoFilter ref="I5:O17" xr:uid="{8DE5AEA9-0306-4705-8550-1C84D6F1DD1D}"/>
  <tableColumns count="7">
    <tableColumn id="1" xr3:uid="{A8B67B39-A76C-4B0A-9940-0CF6DB77F238}" name="MES" dataDxfId="64"/>
    <tableColumn id="2" xr3:uid="{0C9FA77E-281F-4B67-A7B4-5C9A65F787C3}" name="DCCI" dataDxfId="63"/>
    <tableColumn id="3" xr3:uid="{1EDE01F5-832F-41C2-87CE-175EA4D0A8D1}" name="DCCII" dataDxfId="62"/>
    <tableColumn id="4" xr3:uid="{7601FBF6-6631-4626-9472-08771CED701C}" name="DCP" dataDxfId="61"/>
    <tableColumn id="7" xr3:uid="{5BD926BC-8C54-4A69-A1F2-8453508872E2}" name="GAFA" dataDxfId="60">
      <calculatedColumnFormula>SUM(Tabla3[[#This Row],[DCCI]:[DCP]])</calculatedColumnFormula>
    </tableColumn>
    <tableColumn id="5" xr3:uid="{561BD000-B6FE-4A96-9219-94F581586DBA}" name="DAP (IAMC; OTROS; INCA)" dataDxfId="59"/>
    <tableColumn id="6" xr3:uid="{FB3CF953-C277-419F-B864-F6619187589A}" name="Columna2" dataDxfId="58">
      <calculatedColumnFormula>SUM(Tabla3[[#This Row],[GAFA]:[DAP (IAMC; OTROS; INCA)]])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199DC9E-253E-4136-BA99-066C28790A31}" name="Tabla5" displayName="Tabla5" ref="B12:G16" totalsRowShown="0" headerRowDxfId="57" dataDxfId="56">
  <autoFilter ref="B12:G16" xr:uid="{1199DC9E-253E-4136-BA99-066C28790A31}"/>
  <tableColumns count="6">
    <tableColumn id="1" xr3:uid="{798B870D-556A-4FA8-861A-76B455457037}" name="mar-25" dataDxfId="55"/>
    <tableColumn id="2" xr3:uid="{B047B774-02E2-4D5C-9F2A-CEADC32EAEB3}" name="DCCI" dataDxfId="54"/>
    <tableColumn id="3" xr3:uid="{AD5677B7-5A31-4E8B-94B5-BC51210E00A5}" name="DCCII" dataDxfId="53"/>
    <tableColumn id="4" xr3:uid="{B8427145-B26C-48A9-9327-437DD3DE903E}" name="DCP" dataDxfId="52"/>
    <tableColumn id="5" xr3:uid="{D579EFDD-C7BC-4626-9426-5AC1A933E992}" name="TOTAL" dataDxfId="51"/>
    <tableColumn id="6" xr3:uid="{45379EF2-9F95-40F6-BAA0-A2512DA89EBD}" name="DAP" dataDxfId="50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93177B2-6DBF-441A-9EAE-815A9A0E48CE}" name="Tabla6" displayName="Tabla6" ref="B19:F23" totalsRowShown="0" headerRowDxfId="49" dataDxfId="48">
  <autoFilter ref="B19:F23" xr:uid="{393177B2-6DBF-441A-9EAE-815A9A0E48CE}"/>
  <tableColumns count="5">
    <tableColumn id="1" xr3:uid="{2FFF70B0-52F2-4EA5-8AF0-7A570A990EB1}" name="UUOO" dataDxfId="47"/>
    <tableColumn id="2" xr3:uid="{183B72D6-FD43-4358-A8FB-438F4CB27B2E}" name="DCCI" dataDxfId="46"/>
    <tableColumn id="3" xr3:uid="{5C3ACDB5-E768-46B9-9D1D-B5D9BDBE71CD}" name="DCCII" dataDxfId="45"/>
    <tableColumn id="4" xr3:uid="{F2CC7C7A-F483-43F9-A8E1-39272006537C}" name="DCP" dataDxfId="44"/>
    <tableColumn id="5" xr3:uid="{D19AF131-835B-40E4-A95B-5876D1F28644}" name="TOTAL" dataDxfId="43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BD9BDF6-BDE2-4EB2-8299-38592E1F119A}" name="Tabla7" displayName="Tabla7" ref="B4:E8" totalsRowShown="0" headerRowDxfId="42" dataDxfId="41" headerRowBorderDxfId="39" tableBorderDxfId="40">
  <autoFilter ref="B4:E8" xr:uid="{7BD9BDF6-BDE2-4EB2-8299-38592E1F119A}"/>
  <tableColumns count="4">
    <tableColumn id="1" xr3:uid="{3233FA2A-A55E-40B0-A184-2E61B5068781}" name="ETAPA" dataDxfId="38"/>
    <tableColumn id="2" xr3:uid="{80DF7B23-5AA6-4054-8973-F62B7E0FBE65}" name="DCCI" dataDxfId="37"/>
    <tableColumn id="3" xr3:uid="{79AF3D65-046B-4559-B5AF-1EB53950C4E4}" name="DCCII" dataDxfId="36"/>
    <tableColumn id="4" xr3:uid="{A5F6BE10-3328-411F-BC27-792B78004AAD}" name="DCP" dataDxfId="35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6124179-D9E3-49E9-A51C-F7B0BFFAA7CF}" name="Tabla8" displayName="Tabla8" ref="B35:F39" totalsRowShown="0" headerRowDxfId="34" dataDxfId="33" tableBorderDxfId="32">
  <autoFilter ref="B35:F39" xr:uid="{A6124179-D9E3-49E9-A51C-F7B0BFFAA7CF}"/>
  <tableColumns count="5">
    <tableColumn id="1" xr3:uid="{25A0D5B5-0EC9-408B-BCD8-D39ACBA93D37}" name="UUOO" dataDxfId="31"/>
    <tableColumn id="2" xr3:uid="{91B789EE-50AE-4A1A-8140-D14AC250CE4E}" name="VENCIDO +9 MESES" dataDxfId="30"/>
    <tableColumn id="3" xr3:uid="{12B073ED-B099-422F-A6FF-DBF1FFD833C9}" name="9 MESES" dataDxfId="29"/>
    <tableColumn id="4" xr3:uid="{0157C593-7BDC-4259-9AC8-024C82B5E941}" name="8 MESES" dataDxfId="28"/>
    <tableColumn id="5" xr3:uid="{7FDF1EF7-86BF-4E9C-A599-D6E4FCD75408}" name="7 MESES" dataDxfId="27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9B4233C-DF46-4BD3-A82C-F10D231AF899}" name="Tabla4" displayName="Tabla4" ref="B43:D46" totalsRowShown="0" headerRowDxfId="26" dataDxfId="25" tableBorderDxfId="24">
  <autoFilter ref="B43:D46" xr:uid="{79B4233C-DF46-4BD3-A82C-F10D231AF899}"/>
  <tableColumns count="3">
    <tableColumn id="1" xr3:uid="{98492C3A-4A88-4480-A088-21F3EA3A4A69}" name="UUOO" dataDxfId="23"/>
    <tableColumn id="2" xr3:uid="{201516D2-1A1C-441A-B594-0C95509FB547}" name="NO GESTIONABLE" dataDxfId="22"/>
    <tableColumn id="3" xr3:uid="{9875E74D-AC3D-4061-8C8B-BD3997BC38A2}" name="REINGRESADOS " dataDxfId="21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1504DAA-2CDA-4532-9A53-676A124CD57C}" name="Tabla911" displayName="Tabla911" ref="B133:F140" totalsRowShown="0" headerRowDxfId="20" dataDxfId="19" tableBorderDxfId="18">
  <autoFilter ref="B133:F140" xr:uid="{E1504DAA-2CDA-4532-9A53-676A124CD57C}"/>
  <tableColumns count="5">
    <tableColumn id="1" xr3:uid="{C4D2628B-A2EA-49CB-9B4B-1B1AB9AC3AE7}" name="ESTADO" dataDxfId="17"/>
    <tableColumn id="2" xr3:uid="{0F811767-9507-4D3D-A27A-6968A36E9D30}" name="C" dataDxfId="16"/>
    <tableColumn id="3" xr3:uid="{10D6059C-EFAE-4E6F-9C41-9DC2AB312B9E}" name="DCCII" dataDxfId="15"/>
    <tableColumn id="4" xr3:uid="{5FFB3166-0068-44EE-87E3-F01B7125907C}" name="DCP" dataDxfId="14"/>
    <tableColumn id="5" xr3:uid="{D679D489-CC19-464F-B2E7-B925E42B0622}" name="Total" dataDxfId="13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0C5DF3B-8528-4E07-B989-CA98ECD70C5F}" name="Tabla3212" displayName="Tabla3212" ref="Q5:T17" totalsRowShown="0" headerRowDxfId="12" dataDxfId="11">
  <autoFilter ref="Q5:T17" xr:uid="{60C5DF3B-8528-4E07-B989-CA98ECD70C5F}"/>
  <tableColumns count="4">
    <tableColumn id="1" xr3:uid="{FCA41320-5ED9-4E97-8EBA-028E87BCF1A0}" name="MES" dataDxfId="10"/>
    <tableColumn id="2" xr3:uid="{ECF95132-E5A3-4052-A726-2F52D0E8D446}" name="IAMC" dataDxfId="9"/>
    <tableColumn id="3" xr3:uid="{ADE9A0C2-3913-4E4A-8861-B40089687B31}" name="OTROS" dataDxfId="8"/>
    <tableColumn id="4" xr3:uid="{6064510F-F433-4E64-810F-FCD344A22383}" name="INCA" dataDxfId="7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48A6290-C2AA-40EC-B0C5-9ED7F5F0C3AB}" name="Tabla321013" displayName="Tabla321013" ref="V5:Z17" totalsRowShown="0" headerRowDxfId="6" dataDxfId="5">
  <autoFilter ref="V5:Z17" xr:uid="{548A6290-C2AA-40EC-B0C5-9ED7F5F0C3AB}"/>
  <tableColumns count="5">
    <tableColumn id="1" xr3:uid="{338CE107-8190-4A4C-8C17-A0011333B459}" name="MES" dataDxfId="4"/>
    <tableColumn id="2" xr3:uid="{65E4CCF8-C287-4DED-B3BA-5BC1E1CC6108}" name="IAMC" dataDxfId="3"/>
    <tableColumn id="3" xr3:uid="{1C7E136B-CF0A-4D15-BCED-357625DBF578}" name="OTROS" dataDxfId="2"/>
    <tableColumn id="4" xr3:uid="{C6009DDC-4378-4E20-BDEF-5FAD471C6FDE}" name="INCA" dataDxfId="1"/>
    <tableColumn id="5" xr3:uid="{778DADDC-3D19-4A62-A5D0-4ED27CDCF8A1}" name="TOTAL" dataDxfId="0">
      <calculatedColumnFormula>SUM(Tabla321013[[#This Row],[IAMC]:[INCA]])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01E13-4B11-4763-B94D-D97A2305A4A4}">
  <dimension ref="A2:AB172"/>
  <sheetViews>
    <sheetView tabSelected="1" zoomScale="85" zoomScaleNormal="85" workbookViewId="0">
      <pane xSplit="2" topLeftCell="C127" activePane="topRight" state="frozen"/>
      <selection pane="topRight" activeCell="C133" sqref="C133:E140"/>
    </sheetView>
  </sheetViews>
  <sheetFormatPr defaultColWidth="10.85546875" defaultRowHeight="15.75" outlineLevelRow="1"/>
  <cols>
    <col min="1" max="1" width="6.140625" style="8" customWidth="1"/>
    <col min="2" max="2" width="26.42578125" style="8" customWidth="1"/>
    <col min="3" max="4" width="22.28515625" style="8" customWidth="1"/>
    <col min="5" max="5" width="32.5703125" style="8" customWidth="1"/>
    <col min="6" max="6" width="30.85546875" style="8" customWidth="1"/>
    <col min="7" max="7" width="18.28515625" style="8" customWidth="1"/>
    <col min="8" max="8" width="7" style="8" customWidth="1"/>
    <col min="9" max="9" width="12.42578125" style="8" customWidth="1"/>
    <col min="10" max="13" width="13" style="12" customWidth="1"/>
    <col min="14" max="14" width="16.5703125" style="12" customWidth="1"/>
    <col min="15" max="15" width="9.140625" style="12" customWidth="1"/>
    <col min="16" max="16" width="7" style="12" customWidth="1"/>
    <col min="17" max="17" width="18.85546875" style="12" customWidth="1"/>
    <col min="18" max="19" width="10.85546875" style="8"/>
    <col min="20" max="20" width="12.5703125" style="8" customWidth="1"/>
    <col min="21" max="21" width="5.5703125" style="8" customWidth="1"/>
    <col min="22" max="22" width="15.5703125" style="8" customWidth="1"/>
    <col min="23" max="26" width="10.85546875" style="8"/>
    <col min="27" max="27" width="5.85546875" style="8" customWidth="1"/>
    <col min="28" max="16384" width="10.85546875" style="8"/>
  </cols>
  <sheetData>
    <row r="2" spans="1:28">
      <c r="C2" s="9" t="s">
        <v>0</v>
      </c>
      <c r="D2" s="10"/>
      <c r="E2" s="10"/>
      <c r="F2" s="11"/>
      <c r="G2" s="11"/>
      <c r="H2" s="11"/>
    </row>
    <row r="3" spans="1:28">
      <c r="B3" s="9" t="s">
        <v>1</v>
      </c>
      <c r="K3" s="14" t="s">
        <v>2</v>
      </c>
      <c r="R3" s="14" t="s">
        <v>3</v>
      </c>
      <c r="S3" s="11"/>
      <c r="T3" s="11"/>
    </row>
    <row r="4" spans="1:28" ht="16.5">
      <c r="A4" s="8">
        <v>1</v>
      </c>
      <c r="B4" s="15" t="s">
        <v>4</v>
      </c>
      <c r="C4" s="16" t="s">
        <v>5</v>
      </c>
      <c r="D4" s="16" t="s">
        <v>6</v>
      </c>
      <c r="E4" s="16" t="s">
        <v>7</v>
      </c>
      <c r="I4" s="196" t="s">
        <v>8</v>
      </c>
      <c r="Q4" s="198" t="s">
        <v>9</v>
      </c>
      <c r="V4" s="11" t="s">
        <v>10</v>
      </c>
    </row>
    <row r="5" spans="1:28" ht="24.75" customHeight="1">
      <c r="B5" s="17" t="s">
        <v>11</v>
      </c>
      <c r="C5" s="18">
        <v>946</v>
      </c>
      <c r="D5" s="18">
        <v>527</v>
      </c>
      <c r="E5" s="18">
        <v>152</v>
      </c>
      <c r="I5" s="19" t="s">
        <v>12</v>
      </c>
      <c r="J5" s="195" t="s">
        <v>5</v>
      </c>
      <c r="K5" s="195" t="s">
        <v>6</v>
      </c>
      <c r="L5" s="195" t="s">
        <v>7</v>
      </c>
      <c r="M5" s="21" t="s">
        <v>3</v>
      </c>
      <c r="N5" s="197" t="s">
        <v>13</v>
      </c>
      <c r="O5" s="12" t="s">
        <v>14</v>
      </c>
      <c r="Q5" s="22" t="s">
        <v>12</v>
      </c>
      <c r="R5" s="23" t="s">
        <v>15</v>
      </c>
      <c r="S5" s="23" t="s">
        <v>16</v>
      </c>
      <c r="T5" s="23" t="s">
        <v>17</v>
      </c>
      <c r="U5" s="160"/>
      <c r="V5" s="22" t="s">
        <v>12</v>
      </c>
      <c r="W5" s="24" t="s">
        <v>15</v>
      </c>
      <c r="X5" s="24" t="s">
        <v>16</v>
      </c>
      <c r="Y5" s="24" t="s">
        <v>17</v>
      </c>
      <c r="Z5" s="248" t="s">
        <v>18</v>
      </c>
    </row>
    <row r="6" spans="1:28" ht="24.75" customHeight="1">
      <c r="B6" s="25" t="s">
        <v>19</v>
      </c>
      <c r="C6" s="18">
        <v>170</v>
      </c>
      <c r="D6" s="26">
        <v>100</v>
      </c>
      <c r="E6" s="26">
        <v>6</v>
      </c>
      <c r="I6" s="27" t="s">
        <v>20</v>
      </c>
      <c r="J6" s="249">
        <v>178</v>
      </c>
      <c r="K6" s="250">
        <v>86</v>
      </c>
      <c r="L6" s="251">
        <v>58</v>
      </c>
      <c r="M6" s="28">
        <f>SUM(Tabla3[[#This Row],[DCCI]:[DCP]])</f>
        <v>322</v>
      </c>
      <c r="N6" s="252">
        <v>61</v>
      </c>
      <c r="O6" s="14">
        <f>SUM(Tabla3[[#This Row],[GAFA]:[DAP (IAMC; OTROS; INCA)]])</f>
        <v>383</v>
      </c>
      <c r="Q6" s="29" t="s">
        <v>20</v>
      </c>
      <c r="R6" s="30">
        <v>178</v>
      </c>
      <c r="S6" s="30">
        <v>87</v>
      </c>
      <c r="T6" s="31">
        <v>57</v>
      </c>
      <c r="U6" s="160"/>
      <c r="V6" s="29" t="s">
        <v>20</v>
      </c>
      <c r="W6" s="30">
        <f>178+24</f>
        <v>202</v>
      </c>
      <c r="X6" s="30">
        <f>87+35</f>
        <v>122</v>
      </c>
      <c r="Y6" s="30">
        <v>59</v>
      </c>
      <c r="Z6" s="30">
        <f>SUM(Tabla321013[[#This Row],[IAMC]:[INCA]])</f>
        <v>383</v>
      </c>
      <c r="AB6" s="32" t="e">
        <f>#REF!-Tabla3[[#This Row],[Columna2]]</f>
        <v>#REF!</v>
      </c>
    </row>
    <row r="7" spans="1:28" ht="24.75" customHeight="1">
      <c r="B7" s="25" t="s">
        <v>21</v>
      </c>
      <c r="C7" s="18">
        <v>1</v>
      </c>
      <c r="D7" s="26">
        <v>1</v>
      </c>
      <c r="E7" s="26">
        <v>0</v>
      </c>
      <c r="I7" s="27" t="s">
        <v>22</v>
      </c>
      <c r="J7" s="252">
        <v>198</v>
      </c>
      <c r="K7" s="250">
        <v>95</v>
      </c>
      <c r="L7" s="250">
        <v>28</v>
      </c>
      <c r="M7" s="31">
        <f>SUM(Tabla3[[#This Row],[DCCI]:[DCP]])</f>
        <v>321</v>
      </c>
      <c r="N7" s="249">
        <v>43</v>
      </c>
      <c r="O7" s="14">
        <f>SUM(Tabla3[[#This Row],[GAFA]:[DAP (IAMC; OTROS; INCA)]])</f>
        <v>364</v>
      </c>
      <c r="Q7" s="29" t="s">
        <v>22</v>
      </c>
      <c r="R7" s="31">
        <v>198</v>
      </c>
      <c r="S7" s="30">
        <v>99</v>
      </c>
      <c r="T7" s="30">
        <v>24</v>
      </c>
      <c r="U7" s="160"/>
      <c r="V7" s="29" t="s">
        <v>22</v>
      </c>
      <c r="W7" s="31">
        <f>198+14</f>
        <v>212</v>
      </c>
      <c r="X7" s="31">
        <f>99+22</f>
        <v>121</v>
      </c>
      <c r="Y7" s="30">
        <f>24+7</f>
        <v>31</v>
      </c>
      <c r="Z7" s="30">
        <f>SUM(Tabla321013[[#This Row],[IAMC]:[INCA]])</f>
        <v>364</v>
      </c>
      <c r="AB7" s="32" t="e">
        <f>#REF!-Tabla3[[#This Row],[Columna2]]</f>
        <v>#REF!</v>
      </c>
    </row>
    <row r="8" spans="1:28" ht="24.75" customHeight="1">
      <c r="B8" s="33" t="s">
        <v>18</v>
      </c>
      <c r="C8" s="34">
        <v>1117</v>
      </c>
      <c r="D8" s="34">
        <f>SUBTOTAL(109,D5:D7)</f>
        <v>628</v>
      </c>
      <c r="E8" s="34">
        <f>SUBTOTAL(109,E5:E7)</f>
        <v>158</v>
      </c>
      <c r="I8" s="27" t="s">
        <v>23</v>
      </c>
      <c r="J8" s="249">
        <v>258</v>
      </c>
      <c r="K8" s="249">
        <v>111</v>
      </c>
      <c r="L8" s="252">
        <v>423</v>
      </c>
      <c r="M8" s="28">
        <f>SUM(Tabla3[[#This Row],[DCCI]:[DCP]])</f>
        <v>792</v>
      </c>
      <c r="N8" s="252">
        <v>559</v>
      </c>
      <c r="O8" s="14">
        <f>SUM(Tabla3[[#This Row],[GAFA]:[DAP (IAMC; OTROS; INCA)]])</f>
        <v>1351</v>
      </c>
      <c r="Q8" s="29" t="s">
        <v>23</v>
      </c>
      <c r="R8" s="30">
        <v>258</v>
      </c>
      <c r="S8" s="30">
        <v>111</v>
      </c>
      <c r="T8" s="31">
        <v>423</v>
      </c>
      <c r="U8" s="160"/>
      <c r="V8" s="29" t="s">
        <v>23</v>
      </c>
      <c r="W8" s="30">
        <f>258+489</f>
        <v>747</v>
      </c>
      <c r="X8" s="30">
        <f>111+65</f>
        <v>176</v>
      </c>
      <c r="Y8" s="30">
        <f>423+5</f>
        <v>428</v>
      </c>
      <c r="Z8" s="30">
        <f>SUM(Tabla321013[[#This Row],[IAMC]:[INCA]])</f>
        <v>1351</v>
      </c>
      <c r="AB8" s="32" t="e">
        <f>#REF!-Tabla3[[#This Row],[Columna2]]</f>
        <v>#REF!</v>
      </c>
    </row>
    <row r="9" spans="1:28" ht="24.75" customHeight="1">
      <c r="I9" s="27" t="s">
        <v>24</v>
      </c>
      <c r="J9" s="249">
        <v>253</v>
      </c>
      <c r="K9" s="249">
        <v>107</v>
      </c>
      <c r="L9" s="252">
        <v>17</v>
      </c>
      <c r="M9" s="28">
        <f>SUM(Tabla3[[#This Row],[DCCI]:[DCP]])</f>
        <v>377</v>
      </c>
      <c r="N9" s="252">
        <v>58</v>
      </c>
      <c r="O9" s="14">
        <f>SUM(Tabla3[[#This Row],[GAFA]:[DAP (IAMC; OTROS; INCA)]])</f>
        <v>435</v>
      </c>
      <c r="Q9" s="29" t="s">
        <v>24</v>
      </c>
      <c r="R9" s="31">
        <v>253</v>
      </c>
      <c r="S9" s="31">
        <v>107</v>
      </c>
      <c r="T9" s="31">
        <v>17</v>
      </c>
      <c r="U9" s="160"/>
      <c r="V9" s="29" t="s">
        <v>24</v>
      </c>
      <c r="W9" s="31">
        <f>253+24</f>
        <v>277</v>
      </c>
      <c r="X9" s="31">
        <f>107+33</f>
        <v>140</v>
      </c>
      <c r="Y9" s="30">
        <f>17+1</f>
        <v>18</v>
      </c>
      <c r="Z9" s="30">
        <f>SUM(Tabla321013[[#This Row],[IAMC]:[INCA]])</f>
        <v>435</v>
      </c>
      <c r="AB9" s="32" t="e">
        <f>#REF!-Tabla3[[#This Row],[Columna2]]</f>
        <v>#REF!</v>
      </c>
    </row>
    <row r="10" spans="1:28" ht="24.75" customHeight="1">
      <c r="B10" s="9"/>
      <c r="C10" s="10"/>
      <c r="D10" s="13"/>
      <c r="E10" s="13"/>
      <c r="I10" s="27" t="s">
        <v>25</v>
      </c>
      <c r="J10" s="249">
        <v>247</v>
      </c>
      <c r="K10" s="249">
        <v>108</v>
      </c>
      <c r="L10" s="249">
        <v>22</v>
      </c>
      <c r="M10" s="31">
        <f>SUM(Tabla3[[#This Row],[DCCI]:[DCP]])</f>
        <v>377</v>
      </c>
      <c r="N10" s="249">
        <v>54</v>
      </c>
      <c r="O10" s="14">
        <f>SUM(Tabla3[[#This Row],[GAFA]:[DAP (IAMC; OTROS; INCA)]])</f>
        <v>431</v>
      </c>
      <c r="Q10" s="29" t="s">
        <v>25</v>
      </c>
      <c r="R10" s="31">
        <v>247</v>
      </c>
      <c r="S10" s="31">
        <v>108</v>
      </c>
      <c r="T10" s="31">
        <v>22</v>
      </c>
      <c r="U10" s="160"/>
      <c r="V10" s="29" t="s">
        <v>25</v>
      </c>
      <c r="W10" s="31">
        <f>247+31</f>
        <v>278</v>
      </c>
      <c r="X10" s="31">
        <f>108+22</f>
        <v>130</v>
      </c>
      <c r="Y10" s="31">
        <f>22+1</f>
        <v>23</v>
      </c>
      <c r="Z10" s="30">
        <f>SUM(Tabla321013[[#This Row],[IAMC]:[INCA]])</f>
        <v>431</v>
      </c>
    </row>
    <row r="11" spans="1:28" ht="24.75" customHeight="1">
      <c r="B11" s="9" t="s">
        <v>26</v>
      </c>
      <c r="C11" s="14"/>
      <c r="I11" s="27" t="s">
        <v>27</v>
      </c>
      <c r="J11" s="253"/>
      <c r="K11" s="253"/>
      <c r="L11" s="253"/>
      <c r="M11" s="31">
        <f>SUM(Tabla3[[#This Row],[DCCI]:[DCP]])</f>
        <v>0</v>
      </c>
      <c r="N11" s="249"/>
      <c r="O11" s="14">
        <f>SUM(Tabla3[[#This Row],[GAFA]:[DAP (IAMC; OTROS; INCA)]])</f>
        <v>0</v>
      </c>
      <c r="Q11" s="29" t="s">
        <v>27</v>
      </c>
      <c r="R11" s="31"/>
      <c r="S11" s="31"/>
      <c r="T11" s="31"/>
      <c r="U11" s="160"/>
      <c r="V11" s="29" t="s">
        <v>27</v>
      </c>
      <c r="W11" s="31"/>
      <c r="X11" s="31"/>
      <c r="Y11" s="31"/>
      <c r="Z11" s="30">
        <f>SUM(Tabla321013[[#This Row],[IAMC]:[INCA]])</f>
        <v>0</v>
      </c>
    </row>
    <row r="12" spans="1:28" ht="24.75" customHeight="1">
      <c r="A12" s="8">
        <v>2</v>
      </c>
      <c r="B12" s="35" t="s">
        <v>28</v>
      </c>
      <c r="C12" s="20" t="s">
        <v>5</v>
      </c>
      <c r="D12" s="20" t="s">
        <v>6</v>
      </c>
      <c r="E12" s="20" t="s">
        <v>7</v>
      </c>
      <c r="F12" s="20" t="s">
        <v>18</v>
      </c>
      <c r="G12" s="20" t="s">
        <v>29</v>
      </c>
      <c r="H12" s="21"/>
      <c r="I12" s="27" t="s">
        <v>30</v>
      </c>
      <c r="J12" s="246"/>
      <c r="K12" s="246"/>
      <c r="L12" s="246"/>
      <c r="M12" s="31">
        <f>SUM(Tabla3[[#This Row],[DCCI]:[DCP]])</f>
        <v>0</v>
      </c>
      <c r="N12" s="247"/>
      <c r="O12" s="14">
        <f>SUM(Tabla3[[#This Row],[GAFA]:[DAP (IAMC; OTROS; INCA)]])</f>
        <v>0</v>
      </c>
      <c r="Q12" s="29" t="s">
        <v>30</v>
      </c>
      <c r="R12" s="31"/>
      <c r="S12" s="31"/>
      <c r="T12" s="31"/>
      <c r="U12" s="160"/>
      <c r="V12" s="29" t="s">
        <v>30</v>
      </c>
      <c r="W12" s="31"/>
      <c r="X12" s="31"/>
      <c r="Y12" s="31"/>
      <c r="Z12" s="30">
        <f>SUM(Tabla321013[[#This Row],[IAMC]:[INCA]])</f>
        <v>0</v>
      </c>
    </row>
    <row r="13" spans="1:28" ht="24.75" customHeight="1">
      <c r="B13" s="36" t="s">
        <v>31</v>
      </c>
      <c r="C13" s="37">
        <v>247</v>
      </c>
      <c r="D13" s="37">
        <v>108</v>
      </c>
      <c r="E13" s="37">
        <v>22</v>
      </c>
      <c r="F13" s="37"/>
      <c r="G13" s="37"/>
      <c r="H13" s="38"/>
      <c r="I13" s="27" t="s">
        <v>32</v>
      </c>
      <c r="J13" s="246"/>
      <c r="K13" s="246"/>
      <c r="L13" s="246"/>
      <c r="M13" s="31">
        <f>SUM(Tabla3[[#This Row],[DCCI]:[DCP]])</f>
        <v>0</v>
      </c>
      <c r="N13" s="247"/>
      <c r="O13" s="14">
        <f>SUM(Tabla3[[#This Row],[GAFA]:[DAP (IAMC; OTROS; INCA)]])</f>
        <v>0</v>
      </c>
      <c r="Q13" s="29" t="s">
        <v>32</v>
      </c>
      <c r="R13" s="31"/>
      <c r="S13" s="30"/>
      <c r="T13" s="30"/>
      <c r="U13" s="160"/>
      <c r="V13" s="29" t="s">
        <v>32</v>
      </c>
      <c r="W13" s="31"/>
      <c r="X13" s="30"/>
      <c r="Y13" s="30"/>
      <c r="Z13" s="30">
        <f>SUM(Tabla321013[[#This Row],[IAMC]:[INCA]])</f>
        <v>0</v>
      </c>
    </row>
    <row r="14" spans="1:28" ht="24.75" customHeight="1">
      <c r="B14" s="36" t="s">
        <v>33</v>
      </c>
      <c r="C14" s="39" t="s">
        <v>34</v>
      </c>
      <c r="D14" s="40">
        <v>10.19</v>
      </c>
      <c r="E14" s="40">
        <v>5.2859999999999996</v>
      </c>
      <c r="F14" s="40"/>
      <c r="G14" s="40"/>
      <c r="H14" s="41"/>
      <c r="I14" s="27" t="s">
        <v>35</v>
      </c>
      <c r="J14" s="246"/>
      <c r="K14" s="246"/>
      <c r="L14" s="246"/>
      <c r="M14" s="31">
        <f>SUM(Tabla3[[#This Row],[DCCI]:[DCP]])</f>
        <v>0</v>
      </c>
      <c r="N14" s="247"/>
      <c r="O14" s="14">
        <f>SUM(Tabla3[[#This Row],[GAFA]:[DAP (IAMC; OTROS; INCA)]])</f>
        <v>0</v>
      </c>
      <c r="Q14" s="29" t="s">
        <v>35</v>
      </c>
      <c r="R14" s="31"/>
      <c r="S14" s="31"/>
      <c r="T14" s="31"/>
      <c r="U14" s="160"/>
      <c r="V14" s="29" t="s">
        <v>35</v>
      </c>
      <c r="W14" s="31"/>
      <c r="X14" s="31"/>
      <c r="Y14" s="31"/>
      <c r="Z14" s="30">
        <f>SUM(Tabla321013[[#This Row],[IAMC]:[INCA]])</f>
        <v>0</v>
      </c>
    </row>
    <row r="15" spans="1:28" ht="24.75" customHeight="1">
      <c r="B15" s="36" t="s">
        <v>36</v>
      </c>
      <c r="C15" s="40" t="s">
        <v>37</v>
      </c>
      <c r="D15" s="40">
        <f>+D13/D14</f>
        <v>10.598626104023554</v>
      </c>
      <c r="E15" s="40">
        <f>E13/E14</f>
        <v>4.161937192584185</v>
      </c>
      <c r="F15" s="40"/>
      <c r="G15" s="40"/>
      <c r="H15" s="41"/>
      <c r="I15" s="27" t="s">
        <v>38</v>
      </c>
      <c r="J15" s="246"/>
      <c r="K15" s="246"/>
      <c r="L15" s="246"/>
      <c r="M15" s="31">
        <f>SUM(Tabla3[[#This Row],[DCCI]:[DCP]])</f>
        <v>0</v>
      </c>
      <c r="N15" s="247"/>
      <c r="O15" s="14">
        <f>SUM(Tabla3[[#This Row],[GAFA]:[DAP (IAMC; OTROS; INCA)]])</f>
        <v>0</v>
      </c>
      <c r="Q15" s="29" t="s">
        <v>38</v>
      </c>
      <c r="R15" s="31"/>
      <c r="S15" s="31"/>
      <c r="T15" s="31"/>
      <c r="U15" s="160"/>
      <c r="V15" s="29" t="s">
        <v>38</v>
      </c>
      <c r="W15" s="31"/>
      <c r="X15" s="31"/>
      <c r="Y15" s="31"/>
      <c r="Z15" s="30">
        <f>SUM(Tabla321013[[#This Row],[IAMC]:[INCA]])</f>
        <v>0</v>
      </c>
    </row>
    <row r="16" spans="1:28" ht="29.25" customHeight="1">
      <c r="B16" s="192" t="s">
        <v>39</v>
      </c>
      <c r="C16" s="11"/>
      <c r="D16" s="11"/>
      <c r="E16" s="11"/>
      <c r="F16" s="191"/>
      <c r="G16" s="11"/>
      <c r="H16" s="43"/>
      <c r="I16" s="27" t="s">
        <v>40</v>
      </c>
      <c r="J16" s="246"/>
      <c r="K16" s="246"/>
      <c r="L16" s="246"/>
      <c r="M16" s="31">
        <f>SUM(Tabla3[[#This Row],[DCCI]:[DCP]])</f>
        <v>0</v>
      </c>
      <c r="N16" s="247"/>
      <c r="O16" s="14">
        <f>SUM(Tabla3[[#This Row],[GAFA]:[DAP (IAMC; OTROS; INCA)]])</f>
        <v>0</v>
      </c>
      <c r="Q16" s="29" t="s">
        <v>40</v>
      </c>
      <c r="R16" s="31"/>
      <c r="S16" s="31"/>
      <c r="T16" s="31"/>
      <c r="U16" s="160"/>
      <c r="V16" s="29" t="s">
        <v>40</v>
      </c>
      <c r="W16" s="31"/>
      <c r="X16" s="31"/>
      <c r="Y16" s="31"/>
      <c r="Z16" s="30">
        <f>SUM(Tabla321013[[#This Row],[IAMC]:[INCA]])</f>
        <v>0</v>
      </c>
    </row>
    <row r="17" spans="1:28" ht="29.25" customHeight="1">
      <c r="B17" s="44"/>
      <c r="I17" s="27" t="s">
        <v>41</v>
      </c>
      <c r="J17" s="246"/>
      <c r="K17" s="246"/>
      <c r="L17" s="246"/>
      <c r="M17" s="31">
        <f>SUM(Tabla3[[#This Row],[DCCI]:[DCP]])</f>
        <v>0</v>
      </c>
      <c r="N17" s="247"/>
      <c r="O17" s="14">
        <f>SUM(Tabla3[[#This Row],[GAFA]:[DAP (IAMC; OTROS; INCA)]])</f>
        <v>0</v>
      </c>
      <c r="Q17" s="29" t="s">
        <v>41</v>
      </c>
      <c r="R17" s="31"/>
      <c r="S17" s="31"/>
      <c r="T17" s="31"/>
      <c r="U17" s="160"/>
      <c r="V17" s="29" t="s">
        <v>41</v>
      </c>
      <c r="W17" s="31"/>
      <c r="X17" s="31"/>
      <c r="Y17" s="31"/>
      <c r="Z17" s="30">
        <f>SUM(Tabla321013[[#This Row],[IAMC]:[INCA]])</f>
        <v>0</v>
      </c>
    </row>
    <row r="18" spans="1:28" ht="29.25" customHeight="1" outlineLevel="1">
      <c r="B18" s="11" t="s">
        <v>42</v>
      </c>
      <c r="I18" s="45" t="s">
        <v>18</v>
      </c>
      <c r="J18" s="28">
        <f>SUM(J6:J17)</f>
        <v>1134</v>
      </c>
      <c r="K18" s="28">
        <f t="shared" ref="K18:O18" si="0">SUM(K6:K17)</f>
        <v>507</v>
      </c>
      <c r="L18" s="28">
        <f t="shared" si="0"/>
        <v>548</v>
      </c>
      <c r="M18" s="28"/>
      <c r="N18" s="28">
        <f t="shared" si="0"/>
        <v>775</v>
      </c>
      <c r="O18" s="28">
        <f t="shared" si="0"/>
        <v>2964</v>
      </c>
      <c r="Q18" s="46" t="s">
        <v>18</v>
      </c>
      <c r="R18" s="31">
        <f>SUM(R6:R17)</f>
        <v>1134</v>
      </c>
      <c r="S18" s="31">
        <f>SUM(S6:S17)</f>
        <v>512</v>
      </c>
      <c r="T18" s="31">
        <f>SUM(T6:T17)</f>
        <v>543</v>
      </c>
      <c r="U18" s="160"/>
      <c r="V18" s="46" t="s">
        <v>18</v>
      </c>
      <c r="W18" s="31">
        <f>SUM(W6:W17)</f>
        <v>1716</v>
      </c>
      <c r="X18" s="31">
        <f>SUM(X6:X17)</f>
        <v>689</v>
      </c>
      <c r="Y18" s="31">
        <f>SUM(Y6:Y17)</f>
        <v>559</v>
      </c>
      <c r="Z18" s="31">
        <f>SUM(Z6:Z17)</f>
        <v>2964</v>
      </c>
      <c r="AB18" s="32" t="e">
        <f>SUM(AB6:AB17)</f>
        <v>#REF!</v>
      </c>
    </row>
    <row r="19" spans="1:28" ht="29.25" customHeight="1" outlineLevel="1">
      <c r="A19" s="8">
        <v>3</v>
      </c>
      <c r="B19" s="19" t="s">
        <v>43</v>
      </c>
      <c r="C19" s="20" t="s">
        <v>5</v>
      </c>
      <c r="D19" s="20" t="s">
        <v>6</v>
      </c>
      <c r="E19" s="20" t="s">
        <v>7</v>
      </c>
      <c r="F19" s="20" t="s">
        <v>18</v>
      </c>
    </row>
    <row r="20" spans="1:28" ht="53.25" customHeight="1" outlineLevel="1">
      <c r="B20" s="36" t="s">
        <v>44</v>
      </c>
      <c r="C20" s="193"/>
      <c r="D20" s="193"/>
      <c r="E20" s="194"/>
      <c r="F20" s="47"/>
    </row>
    <row r="21" spans="1:28" ht="29.25" customHeight="1" outlineLevel="1">
      <c r="B21" s="36" t="s">
        <v>45</v>
      </c>
      <c r="C21" s="48"/>
      <c r="D21" s="49"/>
      <c r="E21" s="49"/>
      <c r="F21" s="49"/>
      <c r="Z21" s="199">
        <v>2.5880000000000001</v>
      </c>
    </row>
    <row r="22" spans="1:28" ht="29.25" customHeight="1" outlineLevel="1">
      <c r="B22" s="36" t="s">
        <v>33</v>
      </c>
      <c r="C22" s="40"/>
      <c r="D22" s="40"/>
      <c r="E22" s="40"/>
      <c r="F22" s="49"/>
    </row>
    <row r="23" spans="1:28" ht="29.25" customHeight="1" outlineLevel="1">
      <c r="B23" s="36" t="s">
        <v>36</v>
      </c>
      <c r="C23" s="48"/>
      <c r="D23" s="49"/>
      <c r="E23" s="49"/>
      <c r="F23" s="49"/>
      <c r="O23" s="14"/>
    </row>
    <row r="24" spans="1:28" outlineLevel="1"/>
    <row r="25" spans="1:28" outlineLevel="1"/>
    <row r="26" spans="1:28" ht="16.5">
      <c r="B26" s="50" t="s">
        <v>46</v>
      </c>
      <c r="C26" s="51"/>
      <c r="D26" s="51"/>
      <c r="E26" s="51"/>
      <c r="F26" s="51"/>
      <c r="G26" s="51"/>
      <c r="H26" s="51"/>
      <c r="I26" s="51"/>
    </row>
    <row r="27" spans="1:28" ht="16.5">
      <c r="B27" s="19" t="s">
        <v>43</v>
      </c>
      <c r="C27" s="52" t="s">
        <v>47</v>
      </c>
      <c r="D27" s="53" t="s">
        <v>48</v>
      </c>
    </row>
    <row r="28" spans="1:28" ht="16.5">
      <c r="A28" s="8">
        <v>4</v>
      </c>
      <c r="B28" s="54" t="s">
        <v>5</v>
      </c>
      <c r="C28" s="55">
        <v>218</v>
      </c>
      <c r="D28" s="12"/>
    </row>
    <row r="29" spans="1:28" ht="16.5">
      <c r="B29" s="54" t="s">
        <v>6</v>
      </c>
      <c r="C29" s="55">
        <v>113</v>
      </c>
      <c r="D29" s="12"/>
    </row>
    <row r="30" spans="1:28" ht="16.5">
      <c r="B30" s="54" t="s">
        <v>7</v>
      </c>
      <c r="C30" s="55">
        <v>18</v>
      </c>
      <c r="D30" s="12"/>
    </row>
    <row r="31" spans="1:28" ht="16.5">
      <c r="B31" s="42" t="s">
        <v>18</v>
      </c>
      <c r="C31" s="56"/>
    </row>
    <row r="34" spans="1:7">
      <c r="B34" s="11" t="s">
        <v>49</v>
      </c>
    </row>
    <row r="35" spans="1:7" ht="31.5" customHeight="1">
      <c r="A35" s="8">
        <v>5</v>
      </c>
      <c r="B35" s="57" t="s">
        <v>43</v>
      </c>
      <c r="C35" s="57" t="s">
        <v>50</v>
      </c>
      <c r="D35" s="57" t="s">
        <v>51</v>
      </c>
      <c r="E35" s="57" t="s">
        <v>52</v>
      </c>
      <c r="F35" s="57" t="s">
        <v>53</v>
      </c>
    </row>
    <row r="36" spans="1:7" ht="16.5">
      <c r="B36" s="54" t="s">
        <v>5</v>
      </c>
      <c r="C36" s="51"/>
      <c r="D36" s="51"/>
      <c r="E36" s="51"/>
      <c r="F36" s="51">
        <v>2</v>
      </c>
    </row>
    <row r="37" spans="1:7" ht="16.5">
      <c r="B37" s="54" t="s">
        <v>6</v>
      </c>
      <c r="C37" s="51"/>
      <c r="D37" s="51"/>
      <c r="E37" s="51"/>
      <c r="F37" s="51"/>
    </row>
    <row r="38" spans="1:7" ht="16.5">
      <c r="B38" s="54" t="s">
        <v>7</v>
      </c>
      <c r="C38" s="51">
        <v>0</v>
      </c>
      <c r="D38" s="51">
        <v>0</v>
      </c>
      <c r="E38" s="51">
        <v>0</v>
      </c>
      <c r="F38" s="51">
        <v>1</v>
      </c>
      <c r="G38" s="8" t="s">
        <v>54</v>
      </c>
    </row>
    <row r="39" spans="1:7" ht="48.75">
      <c r="B39" s="54" t="s">
        <v>55</v>
      </c>
      <c r="C39" s="51"/>
      <c r="D39" s="51"/>
      <c r="E39" s="51"/>
      <c r="F39" s="51"/>
    </row>
    <row r="40" spans="1:7">
      <c r="B40" s="11"/>
    </row>
    <row r="42" spans="1:7">
      <c r="B42" s="11" t="s">
        <v>56</v>
      </c>
    </row>
    <row r="43" spans="1:7" ht="38.25" customHeight="1">
      <c r="A43" s="8">
        <v>6</v>
      </c>
      <c r="B43" s="58" t="s">
        <v>43</v>
      </c>
      <c r="C43" s="59" t="s">
        <v>57</v>
      </c>
      <c r="D43" s="60" t="s">
        <v>58</v>
      </c>
    </row>
    <row r="44" spans="1:7" ht="24" customHeight="1">
      <c r="B44" s="54" t="s">
        <v>5</v>
      </c>
      <c r="C44" s="51"/>
      <c r="D44" s="61"/>
    </row>
    <row r="45" spans="1:7" ht="24" customHeight="1">
      <c r="B45" s="54" t="s">
        <v>6</v>
      </c>
      <c r="C45" s="51">
        <v>17</v>
      </c>
      <c r="D45" s="51">
        <v>6</v>
      </c>
    </row>
    <row r="46" spans="1:7" ht="24" customHeight="1">
      <c r="B46" s="54" t="s">
        <v>7</v>
      </c>
      <c r="C46" s="62"/>
      <c r="D46" s="51">
        <v>3</v>
      </c>
    </row>
    <row r="49" spans="1:26">
      <c r="B49" s="11" t="s">
        <v>59</v>
      </c>
    </row>
    <row r="50" spans="1:26" s="12" customFormat="1" ht="16.5">
      <c r="A50" s="12">
        <v>7</v>
      </c>
      <c r="B50" s="63" t="s">
        <v>60</v>
      </c>
      <c r="C50" s="64" t="s">
        <v>61</v>
      </c>
      <c r="D50" s="64" t="s">
        <v>62</v>
      </c>
      <c r="E50" s="64" t="s">
        <v>63</v>
      </c>
      <c r="F50" s="65" t="s">
        <v>64</v>
      </c>
      <c r="G50" s="64" t="s">
        <v>65</v>
      </c>
      <c r="H50" s="66"/>
      <c r="R50" s="8"/>
      <c r="S50" s="8"/>
      <c r="T50" s="8"/>
      <c r="U50" s="8"/>
      <c r="V50" s="8"/>
      <c r="W50" s="8"/>
      <c r="X50" s="8"/>
      <c r="Y50" s="8"/>
      <c r="Z50" s="8"/>
    </row>
    <row r="51" spans="1:26" ht="36.75" customHeight="1">
      <c r="B51" s="67" t="s">
        <v>66</v>
      </c>
      <c r="C51" s="68" t="s">
        <v>67</v>
      </c>
      <c r="D51" s="69">
        <v>79</v>
      </c>
      <c r="E51" s="230" t="s">
        <v>68</v>
      </c>
      <c r="F51" s="69" t="s">
        <v>69</v>
      </c>
      <c r="G51" s="70"/>
      <c r="H51" s="71"/>
      <c r="R51" s="12"/>
      <c r="S51" s="12"/>
      <c r="T51" s="12"/>
      <c r="U51" s="12"/>
      <c r="V51" s="12"/>
      <c r="W51" s="12"/>
      <c r="X51" s="12"/>
      <c r="Y51" s="12"/>
      <c r="Z51" s="12"/>
    </row>
    <row r="52" spans="1:26" ht="36.75" customHeight="1">
      <c r="B52" s="67" t="s">
        <v>70</v>
      </c>
      <c r="C52" s="72" t="s">
        <v>71</v>
      </c>
      <c r="D52" s="72">
        <v>76</v>
      </c>
      <c r="E52" s="73" t="s">
        <v>72</v>
      </c>
      <c r="F52" s="73" t="s">
        <v>73</v>
      </c>
      <c r="G52" s="74"/>
      <c r="H52" s="75"/>
    </row>
    <row r="53" spans="1:26" ht="36.75" customHeight="1">
      <c r="B53" s="67" t="s">
        <v>74</v>
      </c>
      <c r="C53" s="76" t="s">
        <v>75</v>
      </c>
      <c r="D53" s="76">
        <v>92</v>
      </c>
      <c r="E53" s="77" t="s">
        <v>76</v>
      </c>
      <c r="F53" s="76" t="s">
        <v>77</v>
      </c>
      <c r="G53" s="78"/>
      <c r="H53" s="71"/>
    </row>
    <row r="54" spans="1:26" ht="27.75" customHeight="1">
      <c r="C54" s="12"/>
      <c r="F54" s="79"/>
      <c r="G54" s="80"/>
      <c r="H54" s="80"/>
    </row>
    <row r="55" spans="1:26" s="12" customFormat="1" ht="42" customHeight="1">
      <c r="A55" s="12">
        <v>8</v>
      </c>
      <c r="B55" s="81" t="s">
        <v>60</v>
      </c>
      <c r="C55" s="81" t="s">
        <v>61</v>
      </c>
      <c r="D55" s="81" t="s">
        <v>62</v>
      </c>
      <c r="E55" s="81" t="s">
        <v>63</v>
      </c>
      <c r="F55" s="81" t="s">
        <v>64</v>
      </c>
      <c r="G55" s="81" t="s">
        <v>65</v>
      </c>
      <c r="H55" s="82"/>
      <c r="R55" s="8"/>
      <c r="S55" s="8"/>
      <c r="T55" s="8"/>
      <c r="U55" s="8"/>
      <c r="V55" s="8"/>
      <c r="W55" s="8"/>
      <c r="X55" s="8"/>
      <c r="Y55" s="8"/>
      <c r="Z55" s="8"/>
    </row>
    <row r="56" spans="1:26" ht="35.25" customHeight="1">
      <c r="B56" s="83" t="s">
        <v>78</v>
      </c>
      <c r="C56" s="84" t="s">
        <v>79</v>
      </c>
      <c r="D56" s="85">
        <v>51</v>
      </c>
      <c r="E56" s="86">
        <v>5</v>
      </c>
      <c r="F56" s="86">
        <f>+D56/E56</f>
        <v>10.199999999999999</v>
      </c>
      <c r="G56" s="87"/>
      <c r="H56" s="88"/>
      <c r="R56" s="12"/>
      <c r="S56" s="12"/>
      <c r="T56" s="12"/>
      <c r="U56" s="12"/>
      <c r="V56" s="12"/>
      <c r="W56" s="12"/>
      <c r="X56" s="12"/>
      <c r="Y56" s="12"/>
      <c r="Z56" s="12"/>
    </row>
    <row r="57" spans="1:26" ht="35.25" customHeight="1">
      <c r="B57" s="89" t="s">
        <v>80</v>
      </c>
      <c r="C57" s="90" t="s">
        <v>81</v>
      </c>
      <c r="D57" s="91">
        <v>57</v>
      </c>
      <c r="E57" s="92">
        <v>5.2</v>
      </c>
      <c r="F57" s="93">
        <f>+D57/E57</f>
        <v>10.961538461538462</v>
      </c>
      <c r="G57" s="94"/>
      <c r="H57" s="95"/>
    </row>
    <row r="58" spans="1:26" ht="27.75" customHeight="1">
      <c r="C58" s="12"/>
      <c r="D58" s="80"/>
      <c r="E58" s="80"/>
      <c r="F58" s="80"/>
      <c r="G58" s="80"/>
      <c r="H58" s="80"/>
    </row>
    <row r="59" spans="1:26" s="12" customFormat="1" ht="48" customHeight="1">
      <c r="A59" s="12">
        <v>9</v>
      </c>
      <c r="B59" s="96" t="s">
        <v>60</v>
      </c>
      <c r="C59" s="97" t="s">
        <v>61</v>
      </c>
      <c r="D59" s="97" t="s">
        <v>62</v>
      </c>
      <c r="E59" s="97" t="s">
        <v>63</v>
      </c>
      <c r="F59" s="98" t="s">
        <v>64</v>
      </c>
      <c r="G59" s="97" t="s">
        <v>65</v>
      </c>
      <c r="H59" s="99"/>
      <c r="R59" s="8"/>
      <c r="S59" s="8"/>
      <c r="T59" s="8"/>
      <c r="U59" s="8"/>
      <c r="V59" s="8"/>
      <c r="W59" s="8"/>
      <c r="X59" s="8"/>
      <c r="Y59" s="8"/>
      <c r="Z59" s="8"/>
    </row>
    <row r="60" spans="1:26" ht="48.75" customHeight="1">
      <c r="B60" s="100" t="s">
        <v>82</v>
      </c>
      <c r="C60" s="101" t="s">
        <v>83</v>
      </c>
      <c r="D60" s="102">
        <v>22</v>
      </c>
      <c r="E60" s="202">
        <f>E14</f>
        <v>5.2859999999999996</v>
      </c>
      <c r="F60" s="103">
        <f>E15</f>
        <v>4.161937192584185</v>
      </c>
      <c r="G60" s="203" t="s">
        <v>84</v>
      </c>
      <c r="H60" s="104"/>
      <c r="R60" s="12"/>
      <c r="S60" s="12"/>
      <c r="T60" s="12"/>
      <c r="U60" s="12"/>
      <c r="V60" s="12"/>
      <c r="W60" s="12"/>
      <c r="X60" s="12"/>
      <c r="Y60" s="12"/>
      <c r="Z60" s="12"/>
    </row>
    <row r="61" spans="1:26" ht="22.5" customHeight="1">
      <c r="B61" s="105"/>
    </row>
    <row r="64" spans="1:26">
      <c r="B64" s="11" t="s">
        <v>85</v>
      </c>
    </row>
    <row r="65" spans="1:8" ht="31.5" customHeight="1">
      <c r="A65" s="8">
        <v>10</v>
      </c>
      <c r="B65" s="63" t="s">
        <v>60</v>
      </c>
      <c r="C65" s="64" t="s">
        <v>61</v>
      </c>
      <c r="D65" s="64" t="s">
        <v>86</v>
      </c>
      <c r="E65" s="64" t="s">
        <v>87</v>
      </c>
      <c r="F65" s="64" t="s">
        <v>88</v>
      </c>
      <c r="G65" s="65" t="s">
        <v>65</v>
      </c>
      <c r="H65" s="66"/>
    </row>
    <row r="66" spans="1:8" ht="35.25" customHeight="1">
      <c r="B66" s="67" t="s">
        <v>66</v>
      </c>
      <c r="C66" s="106" t="s">
        <v>67</v>
      </c>
      <c r="D66" s="69">
        <v>86</v>
      </c>
      <c r="E66" s="70">
        <v>7</v>
      </c>
      <c r="F66" s="231" t="s">
        <v>89</v>
      </c>
      <c r="G66" s="107"/>
      <c r="H66" s="108"/>
    </row>
    <row r="67" spans="1:8" ht="22.5" customHeight="1">
      <c r="B67" s="67" t="s">
        <v>70</v>
      </c>
      <c r="C67" s="109" t="s">
        <v>71</v>
      </c>
      <c r="D67" s="72">
        <v>76</v>
      </c>
      <c r="E67" s="74" t="s">
        <v>90</v>
      </c>
      <c r="F67" s="110"/>
      <c r="G67" s="110"/>
      <c r="H67" s="111"/>
    </row>
    <row r="68" spans="1:8" ht="35.25" customHeight="1">
      <c r="B68" s="67" t="s">
        <v>74</v>
      </c>
      <c r="C68" s="106" t="s">
        <v>75</v>
      </c>
      <c r="D68" s="76">
        <v>94</v>
      </c>
      <c r="E68" s="78">
        <v>2</v>
      </c>
      <c r="F68" s="112" t="s">
        <v>91</v>
      </c>
      <c r="G68" s="113"/>
      <c r="H68" s="108"/>
    </row>
    <row r="69" spans="1:8" ht="22.5" customHeight="1">
      <c r="E69" s="80"/>
    </row>
    <row r="70" spans="1:8" ht="22.5" customHeight="1"/>
    <row r="71" spans="1:8" ht="30.75" customHeight="1">
      <c r="A71" s="8">
        <v>11</v>
      </c>
      <c r="B71" s="114" t="s">
        <v>60</v>
      </c>
      <c r="C71" s="115" t="s">
        <v>61</v>
      </c>
      <c r="D71" s="115" t="s">
        <v>86</v>
      </c>
      <c r="E71" s="115" t="s">
        <v>92</v>
      </c>
      <c r="F71" s="115" t="s">
        <v>93</v>
      </c>
      <c r="G71" s="116" t="s">
        <v>65</v>
      </c>
      <c r="H71" s="82"/>
    </row>
    <row r="72" spans="1:8" ht="22.5" customHeight="1">
      <c r="B72" s="117" t="s">
        <v>78</v>
      </c>
      <c r="C72" s="118" t="s">
        <v>79</v>
      </c>
      <c r="D72" s="119">
        <v>52</v>
      </c>
      <c r="E72" s="120">
        <v>51</v>
      </c>
      <c r="F72" s="121" t="s">
        <v>94</v>
      </c>
      <c r="G72" s="121"/>
      <c r="H72" s="122"/>
    </row>
    <row r="73" spans="1:8" ht="22.5" customHeight="1">
      <c r="B73" s="117" t="s">
        <v>80</v>
      </c>
      <c r="C73" s="123" t="s">
        <v>95</v>
      </c>
      <c r="D73" s="124">
        <v>58</v>
      </c>
      <c r="E73" s="125">
        <v>57</v>
      </c>
      <c r="F73" s="126" t="s">
        <v>96</v>
      </c>
      <c r="G73" s="126"/>
      <c r="H73" s="127"/>
    </row>
    <row r="74" spans="1:8" ht="22.5" customHeight="1">
      <c r="D74" s="80"/>
      <c r="E74" s="80"/>
    </row>
    <row r="75" spans="1:8" ht="22.5" customHeight="1"/>
    <row r="76" spans="1:8" ht="38.25" customHeight="1">
      <c r="A76" s="8">
        <v>12</v>
      </c>
      <c r="B76" s="96" t="s">
        <v>60</v>
      </c>
      <c r="C76" s="97" t="s">
        <v>61</v>
      </c>
      <c r="D76" s="97" t="s">
        <v>86</v>
      </c>
      <c r="E76" s="97" t="s">
        <v>92</v>
      </c>
      <c r="F76" s="97" t="s">
        <v>88</v>
      </c>
      <c r="G76" s="98" t="s">
        <v>65</v>
      </c>
      <c r="H76" s="99"/>
    </row>
    <row r="77" spans="1:8" ht="78" customHeight="1">
      <c r="B77" s="128" t="s">
        <v>82</v>
      </c>
      <c r="C77" s="129" t="s">
        <v>97</v>
      </c>
      <c r="D77" s="130"/>
      <c r="E77" s="131"/>
      <c r="F77" s="132"/>
      <c r="G77" s="133"/>
      <c r="H77" s="134"/>
    </row>
    <row r="78" spans="1:8">
      <c r="B78" s="105"/>
    </row>
    <row r="79" spans="1:8">
      <c r="B79" s="105"/>
    </row>
    <row r="80" spans="1:8" ht="23.25" customHeight="1">
      <c r="C80" s="135" t="s">
        <v>98</v>
      </c>
      <c r="D80" s="136" t="s">
        <v>43</v>
      </c>
      <c r="E80" s="232" t="s">
        <v>99</v>
      </c>
      <c r="F80" s="240" t="s">
        <v>100</v>
      </c>
    </row>
    <row r="81" spans="1:6">
      <c r="A81" s="8">
        <v>12</v>
      </c>
      <c r="C81" s="236"/>
      <c r="D81" s="237"/>
      <c r="E81" s="233" t="s">
        <v>101</v>
      </c>
      <c r="F81" s="233">
        <v>79</v>
      </c>
    </row>
    <row r="82" spans="1:6" ht="20.25" customHeight="1">
      <c r="E82" s="234" t="s">
        <v>102</v>
      </c>
      <c r="F82" s="235">
        <v>15</v>
      </c>
    </row>
    <row r="83" spans="1:6" ht="20.25" customHeight="1">
      <c r="E83" s="234" t="s">
        <v>103</v>
      </c>
      <c r="F83" s="235">
        <v>14</v>
      </c>
    </row>
    <row r="84" spans="1:6" ht="20.25" customHeight="1">
      <c r="E84" s="234" t="s">
        <v>104</v>
      </c>
      <c r="F84" s="235">
        <v>16</v>
      </c>
    </row>
    <row r="85" spans="1:6" ht="20.25" customHeight="1">
      <c r="E85" s="234" t="s">
        <v>105</v>
      </c>
      <c r="F85" s="235">
        <v>13</v>
      </c>
    </row>
    <row r="86" spans="1:6" ht="20.25" customHeight="1">
      <c r="E86" s="234" t="s">
        <v>106</v>
      </c>
      <c r="F86" s="234">
        <v>12</v>
      </c>
    </row>
    <row r="87" spans="1:6" ht="20.25" customHeight="1">
      <c r="E87" s="234" t="s">
        <v>107</v>
      </c>
      <c r="F87" s="234">
        <v>9</v>
      </c>
    </row>
    <row r="88" spans="1:6">
      <c r="E88" s="233" t="s">
        <v>108</v>
      </c>
      <c r="F88" s="233">
        <v>92</v>
      </c>
    </row>
    <row r="89" spans="1:6" ht="20.25" customHeight="1">
      <c r="E89" s="235" t="s">
        <v>109</v>
      </c>
      <c r="F89" s="235">
        <v>18</v>
      </c>
    </row>
    <row r="90" spans="1:6" ht="20.25" customHeight="1">
      <c r="E90" s="235" t="s">
        <v>110</v>
      </c>
      <c r="F90" s="235">
        <v>14</v>
      </c>
    </row>
    <row r="91" spans="1:6" ht="20.25" customHeight="1">
      <c r="E91" s="235" t="s">
        <v>111</v>
      </c>
      <c r="F91" s="235">
        <v>17</v>
      </c>
    </row>
    <row r="92" spans="1:6" ht="20.25" customHeight="1">
      <c r="E92" s="235" t="s">
        <v>112</v>
      </c>
      <c r="F92" s="235">
        <v>16</v>
      </c>
    </row>
    <row r="93" spans="1:6" ht="20.25" customHeight="1">
      <c r="E93" s="235" t="s">
        <v>113</v>
      </c>
      <c r="F93" s="235">
        <v>16</v>
      </c>
    </row>
    <row r="94" spans="1:6">
      <c r="E94" s="235" t="s">
        <v>114</v>
      </c>
      <c r="F94" s="235">
        <v>11</v>
      </c>
    </row>
    <row r="95" spans="1:6" ht="20.25" customHeight="1">
      <c r="E95" s="233" t="s">
        <v>115</v>
      </c>
      <c r="F95" s="233">
        <v>76</v>
      </c>
    </row>
    <row r="96" spans="1:6" ht="20.25" customHeight="1">
      <c r="E96" s="234" t="s">
        <v>116</v>
      </c>
      <c r="F96" s="234">
        <v>10</v>
      </c>
    </row>
    <row r="97" spans="3:6" ht="20.25" customHeight="1">
      <c r="E97" s="234" t="s">
        <v>117</v>
      </c>
      <c r="F97" s="234">
        <v>17</v>
      </c>
    </row>
    <row r="98" spans="3:6" ht="20.25" customHeight="1">
      <c r="E98" s="234" t="s">
        <v>118</v>
      </c>
      <c r="F98" s="234">
        <v>17</v>
      </c>
    </row>
    <row r="99" spans="3:6" ht="20.25" customHeight="1">
      <c r="E99" s="234" t="s">
        <v>119</v>
      </c>
      <c r="F99" s="234">
        <v>17</v>
      </c>
    </row>
    <row r="100" spans="3:6" ht="20.25" customHeight="1">
      <c r="E100" s="234" t="s">
        <v>120</v>
      </c>
      <c r="F100" s="234">
        <v>15</v>
      </c>
    </row>
    <row r="101" spans="3:6" ht="20.25" customHeight="1">
      <c r="E101" s="238" t="s">
        <v>121</v>
      </c>
      <c r="F101" s="239">
        <v>247</v>
      </c>
    </row>
    <row r="102" spans="3:6" ht="23.25" customHeight="1">
      <c r="C102" s="137"/>
      <c r="D102" s="138"/>
      <c r="E102" s="139"/>
      <c r="F102" s="140"/>
    </row>
    <row r="103" spans="3:6" ht="40.5" customHeight="1">
      <c r="C103" s="135" t="s">
        <v>122</v>
      </c>
      <c r="D103" s="136" t="s">
        <v>43</v>
      </c>
      <c r="E103" s="141" t="s">
        <v>123</v>
      </c>
      <c r="F103" s="201">
        <f>SUM(F104:F109)</f>
        <v>51</v>
      </c>
    </row>
    <row r="104" spans="3:6">
      <c r="C104" s="142"/>
      <c r="D104" s="139" t="s">
        <v>78</v>
      </c>
      <c r="E104" s="138" t="s">
        <v>124</v>
      </c>
      <c r="F104" s="143">
        <v>7</v>
      </c>
    </row>
    <row r="105" spans="3:6">
      <c r="C105" s="142"/>
      <c r="D105" s="139" t="s">
        <v>78</v>
      </c>
      <c r="E105" s="138" t="s">
        <v>125</v>
      </c>
      <c r="F105" s="143">
        <v>7</v>
      </c>
    </row>
    <row r="106" spans="3:6">
      <c r="C106" s="142"/>
      <c r="D106" s="139" t="s">
        <v>78</v>
      </c>
      <c r="E106" s="138" t="s">
        <v>126</v>
      </c>
      <c r="F106" s="143">
        <v>9</v>
      </c>
    </row>
    <row r="107" spans="3:6">
      <c r="C107" s="142"/>
      <c r="D107" s="139" t="s">
        <v>78</v>
      </c>
      <c r="E107" s="138" t="s">
        <v>127</v>
      </c>
      <c r="F107" s="143">
        <v>8</v>
      </c>
    </row>
    <row r="108" spans="3:6">
      <c r="C108" s="142"/>
      <c r="D108" s="139" t="s">
        <v>78</v>
      </c>
      <c r="E108" s="138" t="s">
        <v>128</v>
      </c>
      <c r="F108" s="143">
        <v>12</v>
      </c>
    </row>
    <row r="109" spans="3:6">
      <c r="C109" s="142"/>
      <c r="D109" s="139" t="s">
        <v>78</v>
      </c>
      <c r="E109" s="138" t="s">
        <v>129</v>
      </c>
      <c r="F109" s="143">
        <v>8</v>
      </c>
    </row>
    <row r="110" spans="3:6" ht="34.5" customHeight="1">
      <c r="C110" s="135" t="s">
        <v>130</v>
      </c>
      <c r="D110" s="136" t="s">
        <v>80</v>
      </c>
      <c r="E110" s="144" t="s">
        <v>131</v>
      </c>
      <c r="F110" s="201">
        <f>SUM(F111:F116)</f>
        <v>57</v>
      </c>
    </row>
    <row r="111" spans="3:6">
      <c r="C111" s="142"/>
      <c r="D111" s="139" t="s">
        <v>80</v>
      </c>
      <c r="E111" s="138" t="s">
        <v>132</v>
      </c>
      <c r="F111" s="143">
        <v>9</v>
      </c>
    </row>
    <row r="112" spans="3:6">
      <c r="C112" s="142"/>
      <c r="D112" s="139" t="s">
        <v>80</v>
      </c>
      <c r="E112" s="138" t="s">
        <v>133</v>
      </c>
      <c r="F112" s="143">
        <v>11</v>
      </c>
    </row>
    <row r="113" spans="2:15">
      <c r="C113" s="142"/>
      <c r="D113" s="139" t="s">
        <v>80</v>
      </c>
      <c r="E113" s="138" t="s">
        <v>134</v>
      </c>
      <c r="F113" s="143">
        <v>10</v>
      </c>
    </row>
    <row r="114" spans="2:15">
      <c r="C114" s="142"/>
      <c r="D114" s="139" t="s">
        <v>80</v>
      </c>
      <c r="E114" s="138" t="s">
        <v>135</v>
      </c>
      <c r="F114" s="143">
        <v>7</v>
      </c>
    </row>
    <row r="115" spans="2:15">
      <c r="C115" s="142"/>
      <c r="D115" s="139" t="s">
        <v>80</v>
      </c>
      <c r="E115" s="138" t="s">
        <v>136</v>
      </c>
      <c r="F115" s="143">
        <v>8</v>
      </c>
    </row>
    <row r="116" spans="2:15">
      <c r="C116" s="142"/>
      <c r="D116" s="139" t="s">
        <v>78</v>
      </c>
      <c r="E116" s="138" t="s">
        <v>137</v>
      </c>
      <c r="F116" s="143">
        <v>12</v>
      </c>
    </row>
    <row r="117" spans="2:15" ht="15" customHeight="1">
      <c r="C117" s="145"/>
      <c r="D117" s="136" t="s">
        <v>138</v>
      </c>
      <c r="E117" s="141"/>
      <c r="F117" s="146">
        <f>+F103+F110</f>
        <v>108</v>
      </c>
    </row>
    <row r="118" spans="2:15" ht="15" customHeight="1">
      <c r="C118" s="137"/>
      <c r="D118" s="147"/>
      <c r="E118" s="139"/>
      <c r="F118" s="140"/>
    </row>
    <row r="119" spans="2:15" ht="32.25">
      <c r="C119" s="148" t="s">
        <v>139</v>
      </c>
      <c r="D119" s="136" t="s">
        <v>43</v>
      </c>
      <c r="E119" s="141" t="s">
        <v>140</v>
      </c>
      <c r="F119" s="149"/>
      <c r="I119" s="210"/>
      <c r="J119" s="210"/>
      <c r="K119" s="210"/>
      <c r="L119" s="210"/>
      <c r="M119" s="210"/>
      <c r="N119" s="210"/>
      <c r="O119" s="210"/>
    </row>
    <row r="120" spans="2:15" ht="26.25" customHeight="1">
      <c r="B120" s="150"/>
      <c r="C120" s="137"/>
      <c r="D120" s="139" t="s">
        <v>82</v>
      </c>
      <c r="E120" s="138" t="s">
        <v>141</v>
      </c>
      <c r="F120" s="143">
        <v>4</v>
      </c>
      <c r="I120" s="211"/>
      <c r="J120" s="211"/>
      <c r="K120" s="212"/>
      <c r="L120" s="211"/>
      <c r="M120" s="211"/>
      <c r="N120" s="211"/>
      <c r="O120" s="211"/>
    </row>
    <row r="121" spans="2:15">
      <c r="B121" s="150"/>
      <c r="C121" s="137"/>
      <c r="D121" s="139" t="s">
        <v>82</v>
      </c>
      <c r="E121" s="138" t="s">
        <v>142</v>
      </c>
      <c r="F121" s="143">
        <v>5</v>
      </c>
      <c r="I121" s="205"/>
      <c r="J121" s="205"/>
      <c r="K121" s="205"/>
      <c r="L121" s="205"/>
      <c r="M121" s="205"/>
      <c r="N121" s="205"/>
      <c r="O121" s="205"/>
    </row>
    <row r="122" spans="2:15">
      <c r="B122" s="150"/>
      <c r="C122" s="137"/>
      <c r="D122" s="139" t="s">
        <v>82</v>
      </c>
      <c r="E122" s="138" t="s">
        <v>143</v>
      </c>
      <c r="F122" s="143">
        <v>2</v>
      </c>
      <c r="I122" s="205"/>
      <c r="J122" s="205"/>
      <c r="K122" s="205"/>
      <c r="L122" s="205"/>
      <c r="M122" s="205"/>
      <c r="N122" s="205"/>
      <c r="O122" s="205"/>
    </row>
    <row r="123" spans="2:15">
      <c r="B123" s="150"/>
      <c r="C123" s="137"/>
      <c r="D123" s="139" t="s">
        <v>82</v>
      </c>
      <c r="E123" s="138" t="s">
        <v>144</v>
      </c>
      <c r="F123" s="143">
        <v>1</v>
      </c>
      <c r="G123" s="8" t="s">
        <v>145</v>
      </c>
      <c r="I123" s="205"/>
      <c r="J123" s="205"/>
      <c r="K123" s="205"/>
      <c r="L123" s="205"/>
      <c r="M123" s="205"/>
      <c r="N123" s="205"/>
      <c r="O123" s="205"/>
    </row>
    <row r="124" spans="2:15">
      <c r="B124" s="150"/>
      <c r="C124" s="137"/>
      <c r="D124" s="139" t="s">
        <v>82</v>
      </c>
      <c r="E124" s="138" t="s">
        <v>146</v>
      </c>
      <c r="F124" s="143">
        <v>3</v>
      </c>
      <c r="I124" s="213"/>
      <c r="J124" s="213"/>
      <c r="K124" s="213"/>
      <c r="L124" s="213"/>
      <c r="M124" s="213"/>
      <c r="N124" s="213"/>
      <c r="O124" s="213"/>
    </row>
    <row r="125" spans="2:15">
      <c r="B125" s="150"/>
      <c r="C125" s="137"/>
      <c r="D125" s="139" t="s">
        <v>82</v>
      </c>
      <c r="E125" s="138" t="s">
        <v>147</v>
      </c>
      <c r="F125" s="143">
        <v>4</v>
      </c>
      <c r="I125" s="151"/>
    </row>
    <row r="126" spans="2:15">
      <c r="B126" s="150"/>
      <c r="C126" s="137"/>
      <c r="D126" s="139" t="s">
        <v>82</v>
      </c>
      <c r="E126" s="138" t="s">
        <v>148</v>
      </c>
      <c r="F126" s="143">
        <v>3</v>
      </c>
      <c r="I126" s="151"/>
    </row>
    <row r="127" spans="2:15" ht="16.5">
      <c r="C127" s="152"/>
      <c r="D127" s="153" t="s">
        <v>149</v>
      </c>
      <c r="E127" s="154"/>
      <c r="F127" s="204">
        <v>22</v>
      </c>
      <c r="I127" s="151"/>
    </row>
    <row r="128" spans="2:15">
      <c r="C128" s="151" t="s">
        <v>150</v>
      </c>
    </row>
    <row r="131" spans="2:23">
      <c r="B131" s="11" t="s">
        <v>151</v>
      </c>
      <c r="E131" s="11"/>
      <c r="I131" s="11" t="s">
        <v>152</v>
      </c>
      <c r="K131" s="155"/>
      <c r="L131" s="155"/>
      <c r="M131" s="155"/>
    </row>
    <row r="132" spans="2:23">
      <c r="I132" s="11"/>
      <c r="J132" s="14"/>
      <c r="K132" s="14"/>
      <c r="L132" s="14"/>
      <c r="M132" s="14"/>
      <c r="N132" s="14"/>
      <c r="O132" s="14"/>
    </row>
    <row r="133" spans="2:23" ht="35.25" customHeight="1">
      <c r="B133" s="156" t="s">
        <v>153</v>
      </c>
      <c r="C133" s="157" t="s">
        <v>154</v>
      </c>
      <c r="D133" s="157" t="s">
        <v>6</v>
      </c>
      <c r="E133" s="157" t="s">
        <v>7</v>
      </c>
      <c r="F133" s="157" t="s">
        <v>155</v>
      </c>
      <c r="I133" s="158" t="s">
        <v>156</v>
      </c>
      <c r="J133" s="159" t="s">
        <v>157</v>
      </c>
      <c r="K133" s="159" t="s">
        <v>158</v>
      </c>
      <c r="L133" s="159" t="s">
        <v>159</v>
      </c>
      <c r="M133" s="159"/>
      <c r="N133" s="159" t="s">
        <v>160</v>
      </c>
      <c r="O133" s="159" t="s">
        <v>161</v>
      </c>
      <c r="P133" s="159" t="s">
        <v>162</v>
      </c>
    </row>
    <row r="134" spans="2:23" ht="28.5" customHeight="1">
      <c r="B134" s="161" t="s">
        <v>163</v>
      </c>
      <c r="C134" s="162">
        <v>128</v>
      </c>
      <c r="D134" s="162">
        <v>101</v>
      </c>
      <c r="E134" s="162">
        <v>16</v>
      </c>
      <c r="F134" s="162"/>
      <c r="I134" s="1" t="s">
        <v>164</v>
      </c>
      <c r="J134" s="206" t="s">
        <v>165</v>
      </c>
      <c r="K134" s="206">
        <v>2</v>
      </c>
      <c r="L134" s="206">
        <v>1</v>
      </c>
      <c r="M134" s="206"/>
      <c r="N134" s="206">
        <v>28</v>
      </c>
      <c r="O134" s="206"/>
      <c r="P134" s="206"/>
      <c r="Q134" s="159" t="s">
        <v>121</v>
      </c>
      <c r="R134" s="160"/>
    </row>
    <row r="135" spans="2:23" ht="28.5" customHeight="1">
      <c r="B135" s="161" t="s">
        <v>166</v>
      </c>
      <c r="C135" s="162">
        <v>9</v>
      </c>
      <c r="D135" s="162">
        <v>1</v>
      </c>
      <c r="E135" s="162"/>
      <c r="F135" s="162"/>
      <c r="I135" s="1" t="s">
        <v>167</v>
      </c>
      <c r="J135" s="206" t="s">
        <v>165</v>
      </c>
      <c r="K135" s="206"/>
      <c r="L135" s="206" t="s">
        <v>165</v>
      </c>
      <c r="M135" s="206"/>
      <c r="N135" s="206">
        <v>24</v>
      </c>
      <c r="O135" s="206" t="s">
        <v>165</v>
      </c>
      <c r="P135" s="206"/>
      <c r="Q135" s="206">
        <f>SUM(J134:P134)</f>
        <v>31</v>
      </c>
      <c r="R135" s="160"/>
    </row>
    <row r="136" spans="2:23" ht="28.5" customHeight="1">
      <c r="B136" s="161" t="s">
        <v>168</v>
      </c>
      <c r="C136" s="163">
        <v>11</v>
      </c>
      <c r="D136" s="162">
        <v>6</v>
      </c>
      <c r="E136" s="162">
        <v>6</v>
      </c>
      <c r="F136" s="162"/>
      <c r="I136" s="1" t="s">
        <v>169</v>
      </c>
      <c r="J136" s="206"/>
      <c r="K136" s="206">
        <v>1</v>
      </c>
      <c r="L136" s="206"/>
      <c r="M136" s="206"/>
      <c r="N136" s="206">
        <v>43</v>
      </c>
      <c r="O136" s="206" t="s">
        <v>165</v>
      </c>
      <c r="P136" s="206">
        <v>3</v>
      </c>
      <c r="Q136" s="206">
        <f>SUM(J135:P135)</f>
        <v>24</v>
      </c>
      <c r="R136" s="160"/>
    </row>
    <row r="137" spans="2:23" ht="28.5" customHeight="1">
      <c r="B137" s="161" t="s">
        <v>170</v>
      </c>
      <c r="C137" s="164">
        <v>96</v>
      </c>
      <c r="D137" s="164"/>
      <c r="E137" s="162"/>
      <c r="F137" s="162"/>
      <c r="I137" s="2" t="s">
        <v>121</v>
      </c>
      <c r="J137" s="207">
        <f>SUM(J134:J136)</f>
        <v>0</v>
      </c>
      <c r="K137" s="207">
        <f>SUM(K134:K136)</f>
        <v>3</v>
      </c>
      <c r="L137" s="207">
        <f>SUM(L134:L136)</f>
        <v>1</v>
      </c>
      <c r="M137" s="207"/>
      <c r="N137" s="207">
        <f>SUM(N134:N136)</f>
        <v>95</v>
      </c>
      <c r="O137" s="207">
        <f>SUM(O134:O136)</f>
        <v>0</v>
      </c>
      <c r="P137" s="207">
        <f>SUM(P134:P136)</f>
        <v>3</v>
      </c>
      <c r="Q137" s="206">
        <f>SUM(J136:P136)</f>
        <v>47</v>
      </c>
      <c r="R137" s="160"/>
    </row>
    <row r="138" spans="2:23" ht="28.5" customHeight="1">
      <c r="B138" s="161" t="s">
        <v>171</v>
      </c>
      <c r="C138" s="162">
        <v>3</v>
      </c>
      <c r="D138" s="162"/>
      <c r="E138" s="161"/>
      <c r="F138" s="161"/>
      <c r="I138" s="165"/>
      <c r="J138" s="166"/>
      <c r="K138" s="166"/>
      <c r="L138" s="166"/>
      <c r="M138" s="166"/>
      <c r="N138" s="14"/>
      <c r="O138" s="14"/>
      <c r="Q138" s="207">
        <f>SUM(Q135:Q137)</f>
        <v>102</v>
      </c>
    </row>
    <row r="139" spans="2:23" ht="28.5" customHeight="1">
      <c r="B139" s="161" t="s">
        <v>172</v>
      </c>
      <c r="C139" s="162">
        <v>0</v>
      </c>
      <c r="D139" s="162"/>
      <c r="E139" s="161"/>
      <c r="F139" s="161"/>
      <c r="I139" s="167" t="s">
        <v>173</v>
      </c>
      <c r="J139" s="254" t="s">
        <v>174</v>
      </c>
      <c r="K139" s="255"/>
      <c r="L139" s="168"/>
      <c r="M139" s="168"/>
      <c r="N139" s="14"/>
    </row>
    <row r="140" spans="2:23" ht="28.5" customHeight="1">
      <c r="B140" s="161" t="s">
        <v>155</v>
      </c>
      <c r="C140" s="162">
        <v>247</v>
      </c>
      <c r="D140" s="200">
        <f>SUBTOTAL(109,D134:D139)</f>
        <v>108</v>
      </c>
      <c r="E140" s="200">
        <f>SUBTOTAL(109,E134:E139)</f>
        <v>22</v>
      </c>
      <c r="F140" s="162"/>
      <c r="I140" s="158" t="s">
        <v>175</v>
      </c>
      <c r="J140" s="169" t="s">
        <v>176</v>
      </c>
      <c r="K140" s="169" t="s">
        <v>177</v>
      </c>
      <c r="L140" s="170" t="s">
        <v>121</v>
      </c>
      <c r="M140" s="242"/>
      <c r="N140" s="14"/>
      <c r="T140" s="210"/>
      <c r="U140" s="210"/>
      <c r="V140" s="210"/>
      <c r="W140" s="210"/>
    </row>
    <row r="141" spans="2:23" ht="28.5" customHeight="1">
      <c r="I141" s="214" t="s">
        <v>158</v>
      </c>
      <c r="J141" s="206">
        <v>1</v>
      </c>
      <c r="K141" s="206">
        <v>2</v>
      </c>
      <c r="L141" s="206">
        <f>SUM(J141:K141)</f>
        <v>3</v>
      </c>
      <c r="M141" s="243"/>
      <c r="N141" s="14"/>
      <c r="T141" s="211"/>
      <c r="U141" s="211"/>
      <c r="V141" s="211"/>
      <c r="W141" s="211"/>
    </row>
    <row r="142" spans="2:23" ht="28.5" customHeight="1">
      <c r="I142" s="214" t="s">
        <v>159</v>
      </c>
      <c r="J142" s="206">
        <v>1</v>
      </c>
      <c r="K142" s="206" t="s">
        <v>165</v>
      </c>
      <c r="L142" s="206">
        <v>1</v>
      </c>
      <c r="M142" s="243"/>
      <c r="N142" s="14"/>
      <c r="T142" s="205"/>
      <c r="U142" s="205"/>
      <c r="V142" s="205"/>
      <c r="W142" s="205"/>
    </row>
    <row r="143" spans="2:23">
      <c r="I143" s="215" t="s">
        <v>121</v>
      </c>
      <c r="J143" s="207">
        <f>SUM(J141:J142)</f>
        <v>2</v>
      </c>
      <c r="K143" s="207">
        <f>SUM(K141:K142)</f>
        <v>2</v>
      </c>
      <c r="L143" s="207">
        <f>SUM(L141:L142)</f>
        <v>4</v>
      </c>
      <c r="M143" s="244"/>
      <c r="T143" s="205"/>
      <c r="U143" s="205"/>
      <c r="V143" s="205"/>
      <c r="W143" s="205"/>
    </row>
    <row r="144" spans="2:23">
      <c r="T144" s="213"/>
      <c r="U144" s="213"/>
      <c r="V144" s="213"/>
      <c r="W144" s="213"/>
    </row>
    <row r="146" spans="2:16">
      <c r="I146" s="171" t="s">
        <v>152</v>
      </c>
      <c r="J146" s="256" t="s">
        <v>178</v>
      </c>
      <c r="K146" s="256"/>
      <c r="L146" s="256"/>
      <c r="M146" s="241"/>
      <c r="N146" s="257" t="s">
        <v>179</v>
      </c>
      <c r="O146" s="257"/>
      <c r="P146" s="257"/>
    </row>
    <row r="147" spans="2:16">
      <c r="B147" s="11" t="s">
        <v>180</v>
      </c>
      <c r="I147" s="218" t="s">
        <v>181</v>
      </c>
      <c r="J147" s="169" t="s">
        <v>15</v>
      </c>
      <c r="K147" s="169" t="s">
        <v>17</v>
      </c>
      <c r="L147" s="172" t="s">
        <v>182</v>
      </c>
      <c r="M147" s="245"/>
      <c r="N147" s="169" t="s">
        <v>15</v>
      </c>
      <c r="O147" s="169" t="s">
        <v>17</v>
      </c>
      <c r="P147" s="172" t="s">
        <v>182</v>
      </c>
    </row>
    <row r="148" spans="2:16">
      <c r="I148" s="219" t="s">
        <v>183</v>
      </c>
      <c r="J148" s="220"/>
      <c r="K148" s="220"/>
      <c r="L148" s="221"/>
      <c r="M148" s="221"/>
      <c r="N148" s="220">
        <v>2</v>
      </c>
      <c r="O148" s="220"/>
      <c r="P148" s="221"/>
    </row>
    <row r="149" spans="2:16">
      <c r="B149" s="173"/>
      <c r="C149" s="174"/>
      <c r="D149" s="174"/>
      <c r="I149" s="222" t="s">
        <v>184</v>
      </c>
      <c r="J149" s="223"/>
      <c r="K149" s="208">
        <v>1</v>
      </c>
      <c r="L149" s="224"/>
      <c r="M149" s="224"/>
      <c r="N149" s="208"/>
      <c r="O149" s="208"/>
      <c r="P149" s="224"/>
    </row>
    <row r="150" spans="2:16" ht="16.5">
      <c r="B150" s="175"/>
      <c r="C150" s="176" t="s">
        <v>185</v>
      </c>
      <c r="D150" s="176" t="s">
        <v>186</v>
      </c>
      <c r="I150" s="225" t="s">
        <v>187</v>
      </c>
      <c r="J150" s="226">
        <v>1</v>
      </c>
      <c r="K150" s="227"/>
      <c r="L150" s="228"/>
      <c r="M150" s="228"/>
      <c r="N150" s="227"/>
      <c r="O150" s="227"/>
      <c r="P150" s="228"/>
    </row>
    <row r="151" spans="2:16" ht="16.5">
      <c r="B151" s="177" t="s">
        <v>5</v>
      </c>
      <c r="C151" s="178"/>
      <c r="D151" s="178"/>
      <c r="I151" s="179"/>
      <c r="J151" s="216"/>
      <c r="K151" s="180"/>
      <c r="L151" s="180"/>
      <c r="M151" s="180"/>
      <c r="N151" s="180"/>
      <c r="O151" s="180"/>
      <c r="P151" s="180"/>
    </row>
    <row r="152" spans="2:16" ht="16.5">
      <c r="B152" s="181" t="s">
        <v>6</v>
      </c>
      <c r="C152" s="182"/>
      <c r="D152" s="183"/>
      <c r="I152" s="179"/>
      <c r="J152" s="216"/>
      <c r="K152" s="180"/>
      <c r="L152" s="180"/>
      <c r="M152" s="180"/>
      <c r="N152" s="180"/>
      <c r="O152" s="180"/>
      <c r="P152" s="180"/>
    </row>
    <row r="153" spans="2:16" ht="16.5">
      <c r="B153" s="184" t="s">
        <v>7</v>
      </c>
      <c r="C153" s="185"/>
      <c r="D153" s="183"/>
      <c r="I153" s="180"/>
      <c r="J153" s="217"/>
      <c r="K153" s="186"/>
      <c r="L153" s="187"/>
      <c r="M153" s="187"/>
      <c r="N153" s="186"/>
      <c r="O153" s="186"/>
      <c r="P153" s="187"/>
    </row>
    <row r="154" spans="2:16" ht="16.5">
      <c r="B154" s="188" t="s">
        <v>18</v>
      </c>
      <c r="C154" s="188"/>
      <c r="D154" s="188"/>
      <c r="I154" s="189" t="s">
        <v>121</v>
      </c>
      <c r="J154" s="207">
        <f>SUM(J148:J153)</f>
        <v>1</v>
      </c>
      <c r="K154" s="207">
        <f>SUM(K148:K153)</f>
        <v>1</v>
      </c>
      <c r="L154" s="229"/>
      <c r="M154" s="229"/>
      <c r="N154" s="207">
        <f>SUM(N148:N153)</f>
        <v>2</v>
      </c>
      <c r="O154" s="3"/>
      <c r="P154" s="190"/>
    </row>
    <row r="158" spans="2:16">
      <c r="I158" s="6"/>
      <c r="J158" s="6" t="s">
        <v>15</v>
      </c>
      <c r="K158" s="6" t="s">
        <v>17</v>
      </c>
      <c r="L158" s="6" t="s">
        <v>16</v>
      </c>
      <c r="M158" s="6"/>
      <c r="N158" s="6" t="s">
        <v>18</v>
      </c>
    </row>
    <row r="159" spans="2:16" ht="32.25">
      <c r="I159" s="7" t="s">
        <v>157</v>
      </c>
      <c r="J159" s="5"/>
      <c r="K159" s="5"/>
      <c r="L159" s="5"/>
      <c r="M159" s="5"/>
      <c r="N159" s="209">
        <v>0</v>
      </c>
    </row>
    <row r="160" spans="2:16" ht="64.5">
      <c r="I160" s="7" t="s">
        <v>188</v>
      </c>
      <c r="J160" s="5"/>
      <c r="K160" s="5"/>
      <c r="L160" s="5"/>
      <c r="M160" s="5"/>
      <c r="N160" s="209">
        <v>3</v>
      </c>
    </row>
    <row r="161" spans="9:14" ht="64.5">
      <c r="I161" s="7" t="s">
        <v>189</v>
      </c>
      <c r="J161" s="5"/>
      <c r="K161" s="5"/>
      <c r="L161" s="5"/>
      <c r="M161" s="5"/>
      <c r="N161" s="209">
        <v>1</v>
      </c>
    </row>
    <row r="162" spans="9:14" ht="16.5">
      <c r="I162" s="7" t="s">
        <v>160</v>
      </c>
      <c r="J162" s="5"/>
      <c r="K162" s="5"/>
      <c r="L162" s="5"/>
      <c r="M162" s="5"/>
      <c r="N162" s="209">
        <v>95</v>
      </c>
    </row>
    <row r="163" spans="9:14" ht="32.25">
      <c r="I163" s="7" t="s">
        <v>161</v>
      </c>
      <c r="J163" s="5"/>
      <c r="K163" s="5"/>
      <c r="L163" s="5"/>
      <c r="M163" s="5"/>
      <c r="N163" s="209">
        <v>0</v>
      </c>
    </row>
    <row r="164" spans="9:14" ht="16.5">
      <c r="I164" s="7" t="s">
        <v>162</v>
      </c>
      <c r="J164" s="5"/>
      <c r="K164" s="5"/>
      <c r="L164" s="5"/>
      <c r="M164" s="5"/>
      <c r="N164" s="209">
        <v>3</v>
      </c>
    </row>
    <row r="165" spans="9:14">
      <c r="I165" s="6" t="s">
        <v>18</v>
      </c>
      <c r="J165" s="6"/>
      <c r="K165" s="6"/>
      <c r="L165" s="6"/>
      <c r="M165" s="6"/>
      <c r="N165" s="209">
        <f>SUM(N159:N164)</f>
        <v>102</v>
      </c>
    </row>
    <row r="168" spans="9:14">
      <c r="I168" s="6"/>
      <c r="J168" s="6" t="s">
        <v>190</v>
      </c>
    </row>
    <row r="169" spans="9:14">
      <c r="I169" s="4" t="s">
        <v>191</v>
      </c>
      <c r="J169" s="208">
        <v>31</v>
      </c>
    </row>
    <row r="170" spans="9:14">
      <c r="I170" s="4" t="s">
        <v>192</v>
      </c>
      <c r="J170" s="208">
        <v>24</v>
      </c>
    </row>
    <row r="171" spans="9:14">
      <c r="I171" s="4" t="s">
        <v>193</v>
      </c>
      <c r="J171" s="208">
        <v>47</v>
      </c>
    </row>
    <row r="172" spans="9:14">
      <c r="I172" s="6" t="s">
        <v>18</v>
      </c>
      <c r="J172" s="209">
        <f>SUM(J169:J171)</f>
        <v>102</v>
      </c>
    </row>
  </sheetData>
  <mergeCells count="3">
    <mergeCell ref="J139:K139"/>
    <mergeCell ref="J146:L146"/>
    <mergeCell ref="N146:P146"/>
  </mergeCells>
  <conditionalFormatting sqref="A65 A59 A4 A12 A19 A28 A35 A43 A50 A55 A71 A76">
    <cfRule type="iconSet" priority="6">
      <iconSet iconSet="3Symbols2" showValue="0">
        <cfvo type="percent" val="0"/>
        <cfvo type="num" val="0"/>
        <cfvo type="num" val="0"/>
      </iconSet>
    </cfRule>
  </conditionalFormatting>
  <conditionalFormatting sqref="A81">
    <cfRule type="iconSet" priority="1">
      <iconSet iconSet="3Symbols2" showValue="0">
        <cfvo type="percent" val="0"/>
        <cfvo type="num" val="0"/>
        <cfvo type="num" val="0"/>
      </iconSet>
    </cfRule>
  </conditionalFormatting>
  <pageMargins left="0.7" right="0.7" top="0.75" bottom="0.75" header="0.3" footer="0.3"/>
  <pageSetup paperSize="9" orientation="portrait" r:id="rId1"/>
  <tableParts count="10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ema xmlns="c4795172-acc8-41fc-abdb-af5ed44f61af" xsi:nil="true"/>
    <Areadestino xmlns="c4795172-acc8-41fc-abdb-af5ed44f61af" xsi:nil="true"/>
    <Fecha xmlns="c4795172-acc8-41fc-abdb-af5ed44f61af" xsi:nil="true"/>
    <Ponente xmlns="c4795172-acc8-41fc-abdb-af5ed44f61af" xsi:nil="true"/>
    <Acargo xmlns="c4795172-acc8-41fc-abdb-af5ed44f61a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63A6AE8B7E4A2449C903AFD2456BD74" ma:contentTypeVersion="9" ma:contentTypeDescription="Crear nuevo documento." ma:contentTypeScope="" ma:versionID="bd210e2cb8e0cc4e048338fd83ad4254">
  <xsd:schema xmlns:xsd="http://www.w3.org/2001/XMLSchema" xmlns:xs="http://www.w3.org/2001/XMLSchema" xmlns:p="http://schemas.microsoft.com/office/2006/metadata/properties" xmlns:ns2="c4795172-acc8-41fc-abdb-af5ed44f61af" targetNamespace="http://schemas.microsoft.com/office/2006/metadata/properties" ma:root="true" ma:fieldsID="d8a6f8bb73bf338e51a2a6aef1d6237e" ns2:_="">
    <xsd:import namespace="c4795172-acc8-41fc-abdb-af5ed44f61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Acargo" minOccurs="0"/>
                <xsd:element ref="ns2:Fecha" minOccurs="0"/>
                <xsd:element ref="ns2:Tema" minOccurs="0"/>
                <xsd:element ref="ns2:Ponente" minOccurs="0"/>
                <xsd:element ref="ns2:Areadestin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95172-acc8-41fc-abdb-af5ed44f61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Acargo" ma:index="12" nillable="true" ma:displayName="INI" ma:format="Dropdown" ma:internalName="Acargo">
      <xsd:simpleType>
        <xsd:restriction base="dms:Choice">
          <xsd:enumeration value="DCCI"/>
          <xsd:enumeration value="DCCII"/>
          <xsd:enumeration value="DCP"/>
        </xsd:restriction>
      </xsd:simpleType>
    </xsd:element>
    <xsd:element name="Fecha" ma:index="13" nillable="true" ma:displayName="Fecha " ma:format="DateOnly" ma:internalName="Fecha">
      <xsd:simpleType>
        <xsd:restriction base="dms:DateTime"/>
      </xsd:simpleType>
    </xsd:element>
    <xsd:element name="Tema" ma:index="14" nillable="true" ma:displayName="Tema" ma:format="Dropdown" ma:internalName="Tema">
      <xsd:simpleType>
        <xsd:restriction base="dms:Text">
          <xsd:maxLength value="255"/>
        </xsd:restriction>
      </xsd:simpleType>
    </xsd:element>
    <xsd:element name="Ponente" ma:index="15" nillable="true" ma:displayName="Ponente" ma:format="Dropdown" ma:internalName="Ponente">
      <xsd:simpleType>
        <xsd:restriction base="dms:Text">
          <xsd:maxLength value="255"/>
        </xsd:restriction>
      </xsd:simpleType>
    </xsd:element>
    <xsd:element name="Areadestino" ma:index="16" nillable="true" ma:displayName="Area destino" ma:format="Dropdown" ma:internalName="Areadestino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5B830D8-62A0-47CE-8C06-2E280D1114D9}"/>
</file>

<file path=customXml/itemProps2.xml><?xml version="1.0" encoding="utf-8"?>
<ds:datastoreItem xmlns:ds="http://schemas.openxmlformats.org/officeDocument/2006/customXml" ds:itemID="{2A858AEC-F1AD-4D26-86F9-F9C1A74AAE7E}"/>
</file>

<file path=customXml/itemProps3.xml><?xml version="1.0" encoding="utf-8"?>
<ds:datastoreItem xmlns:ds="http://schemas.openxmlformats.org/officeDocument/2006/customXml" ds:itemID="{DBA2CDA2-97CC-41EC-8A5D-219A5B36761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Gonzales Estrada Sara Stephany</dc:creator>
  <cp:keywords/>
  <dc:description/>
  <cp:lastModifiedBy>Cortez Quispe Linda</cp:lastModifiedBy>
  <cp:revision/>
  <dcterms:created xsi:type="dcterms:W3CDTF">2024-01-03T15:06:50Z</dcterms:created>
  <dcterms:modified xsi:type="dcterms:W3CDTF">2026-02-25T01:24:38Z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0x010100863A6AE8B7E4A2449C903AFD2456BD74</vt:lpwstr>
  </property>
</Properties>
</file>