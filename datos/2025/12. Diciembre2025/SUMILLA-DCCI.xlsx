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gramacion Diciembre 25\"/>
    </mc:Choice>
  </mc:AlternateContent>
  <xr:revisionPtr revIDLastSave="0" documentId="13_ncr:1_{28646005-C529-47F0-AA81-FEB2C86213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CC I" sheetId="4" r:id="rId1"/>
  </sheets>
  <externalReferences>
    <externalReference r:id="rId2"/>
  </externalReferences>
  <definedNames>
    <definedName name="_xlnm._FilterDatabase" localSheetId="0" hidden="1">'DCC I'!$A$1:$G$69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2" i="4"/>
</calcChain>
</file>

<file path=xl/sharedStrings.xml><?xml version="1.0" encoding="utf-8"?>
<sst xmlns="http://schemas.openxmlformats.org/spreadsheetml/2006/main" count="347" uniqueCount="66">
  <si>
    <t>RESULTADO</t>
  </si>
  <si>
    <t>Tema</t>
  </si>
  <si>
    <t>Área de Origen</t>
  </si>
  <si>
    <t>Número de Resolución</t>
  </si>
  <si>
    <t>Sustento: Nulidad o Fundado</t>
  </si>
  <si>
    <t>NULIDAD</t>
  </si>
  <si>
    <t>Ajuste de valor</t>
  </si>
  <si>
    <t>Importaciones</t>
  </si>
  <si>
    <t>Sanchez Torres Jorge Luis</t>
  </si>
  <si>
    <t>FUNDADO</t>
  </si>
  <si>
    <t>Carbajal Jara Zaira</t>
  </si>
  <si>
    <t>Devoluciones - TPI</t>
  </si>
  <si>
    <t>Recaudación</t>
  </si>
  <si>
    <t>Cosio Jara Edgar Fernando</t>
  </si>
  <si>
    <t>Devolución Ajuste de valor</t>
  </si>
  <si>
    <t>No evaluó doc. comercial</t>
  </si>
  <si>
    <t>Diaz Jurado Ana Maria</t>
  </si>
  <si>
    <t>Sanchez Garrido Celso Felix</t>
  </si>
  <si>
    <t>Vilcapaza Amaro Carla</t>
  </si>
  <si>
    <t>Cordova Meza Luis Alberto</t>
  </si>
  <si>
    <t>Quezada Villar Teresita Milagros</t>
  </si>
  <si>
    <t>Chire Tunque Maria Luisa</t>
  </si>
  <si>
    <t>Hurtado Custodio Maria Lourdes</t>
  </si>
  <si>
    <t>FUNDADO EN PARTE</t>
  </si>
  <si>
    <t>No se realizó análisis de idoneidad</t>
  </si>
  <si>
    <t>Berrospi Ramirez Angie - Practicante</t>
  </si>
  <si>
    <t>No se analizaron referencias presentadas por importador</t>
  </si>
  <si>
    <t>Lopez Auqui Milagros</t>
  </si>
  <si>
    <t>Otros_no_contemplados</t>
  </si>
  <si>
    <t>Chahuara Vigo Hector Jesus</t>
  </si>
  <si>
    <t>Gramaje de referencia excede margen de tolerancia</t>
  </si>
  <si>
    <t>Angulo Farfan Andres Eduardo</t>
  </si>
  <si>
    <t>Castañeda Calderon Julio Ramiro</t>
  </si>
  <si>
    <t>Sandoval Guevara Azhir Yussef</t>
  </si>
  <si>
    <t xml:space="preserve">Por no analizar la totalidad de referencias </t>
  </si>
  <si>
    <t>Referencia utilizda en el IDV NO VALIDA no cumple con el elemento tiempo</t>
  </si>
  <si>
    <t>Multa LGA</t>
  </si>
  <si>
    <t>Exportaciones</t>
  </si>
  <si>
    <t>Cavero Carrion Carolina Marcela</t>
  </si>
  <si>
    <t>Banco confirmó transacciones en Swift. Otras operaciones no se presentó factura y documentación bancaria (se acumuló procedimientos)</t>
  </si>
  <si>
    <t>Subsana requisito</t>
  </si>
  <si>
    <t>No se evaluó expediente</t>
  </si>
  <si>
    <t>Mollinedo Catunta Maritza</t>
  </si>
  <si>
    <t>No hubo pronunciamiento sobre expediente presentado</t>
  </si>
  <si>
    <t>Linares Alcantara Cesar Victor</t>
  </si>
  <si>
    <t>Referencia utilizada por la Administración se encuentra como valor en evaluación</t>
  </si>
  <si>
    <t>El IDV no realiza el analisis de idoneidad de todas las referencias presentadas por el recurrente</t>
  </si>
  <si>
    <t>Recurrente acreditó el uso de los medios de pagos de algunas de las solicitudes de devoluciones presentadas</t>
  </si>
  <si>
    <t>Referencia ultilizada por la Administración excede margen de tolerancia en el ancho</t>
  </si>
  <si>
    <r>
      <t xml:space="preserve">La Administración, no ha analizado la factura comercial </t>
    </r>
    <r>
      <rPr>
        <sz val="10"/>
        <color rgb="FF000000"/>
        <rFont val="Arial"/>
        <family val="2"/>
      </rPr>
      <t xml:space="preserve">ZJF2356 </t>
    </r>
    <r>
      <rPr>
        <sz val="10"/>
        <color theme="1"/>
        <rFont val="Arial"/>
        <family val="2"/>
      </rPr>
      <t>que ampara la importación de las mercancías de las</t>
    </r>
    <r>
      <rPr>
        <sz val="10"/>
        <color rgb="FF000000"/>
        <rFont val="Arial"/>
        <family val="2"/>
      </rPr>
      <t xml:space="preserve"> series 3, 4, 5 y 6 de la DAM N° </t>
    </r>
    <r>
      <rPr>
        <sz val="10"/>
        <color theme="1"/>
        <rFont val="Arial"/>
        <family val="2"/>
      </rPr>
      <t>118-2023-10-406538</t>
    </r>
  </si>
  <si>
    <t>La Administración durante el procedimiento de valoración no ha emitido correctamente la liquidación de cobranza (tipo 30)</t>
  </si>
  <si>
    <t>Exp. reclamo</t>
  </si>
  <si>
    <t>No es aplicable el TUO de la Ley de Medios de Pago.</t>
  </si>
  <si>
    <t>Se utilizó una referencia invalida.  No está dentro del margen de tolerancia</t>
  </si>
  <si>
    <t>No se analizó referencias</t>
  </si>
  <si>
    <t>No se notifico el IDV que sustente el acto materia de impugnación.</t>
  </si>
  <si>
    <t>En el IDV se omitió analiza documentación contable presentada por el recurrente</t>
  </si>
  <si>
    <t>Presentó referencia idónea en reclamación</t>
  </si>
  <si>
    <t>No se realizó el análisis de documentos comerciales, bancarios y contables, ni de referencias (parcial)</t>
  </si>
  <si>
    <t>No se evaluaron documentos contables y bancarios presentados dentro del plazo.</t>
  </si>
  <si>
    <t>No se consideró el plazo establecido para responder la duda razonable</t>
  </si>
  <si>
    <t>Incorrecta tipificacion de la sanción</t>
  </si>
  <si>
    <t>No revisó referencias de valor, debiendo hacerlo</t>
  </si>
  <si>
    <t>Adjunta doc bancaria</t>
  </si>
  <si>
    <t>Se vulneró el debido procedimiento</t>
  </si>
  <si>
    <t>Resolutor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</si>
</sst>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1" fontId="0" fillId="0" borderId="0" xfId="0" applyNumberFormat="1"/>
    <xf numFmtId="1" fontId="19" fillId="0" borderId="10" xfId="0" applyNumberFormat="1" applyFont="1" applyBorder="1" applyAlignment="1">
      <alignment horizontal="left" vertical="center"/>
    </xf>
    <xf numFmtId="49" fontId="19" fillId="0" borderId="10" xfId="0" applyNumberFormat="1" applyFont="1" applyBorder="1"/>
    <xf numFmtId="1" fontId="19" fillId="0" borderId="10" xfId="0" applyNumberFormat="1" applyFont="1" applyBorder="1" applyAlignment="1">
      <alignment horizontal="center"/>
    </xf>
    <xf numFmtId="164" fontId="19" fillId="0" borderId="10" xfId="0" applyNumberFormat="1" applyFont="1" applyBorder="1"/>
    <xf numFmtId="1" fontId="20" fillId="0" borderId="10" xfId="42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 wrapText="1"/>
    </xf>
    <xf numFmtId="1" fontId="13" fillId="33" borderId="11" xfId="0" applyNumberFormat="1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19" fillId="0" borderId="10" xfId="0" applyNumberFormat="1" applyFont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sites/i-ni/7U7000/7U7100/Librero/Producci&#243;n%20programaci&#243;n/Diciembre%2025/Producci&#243;n%20Diciembre%2025%20DCC%20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Hoja8"/>
      <sheetName val="Producción"/>
      <sheetName val="Pendientes"/>
    </sheetNames>
    <sheetDataSet>
      <sheetData sheetId="0"/>
      <sheetData sheetId="1"/>
      <sheetData sheetId="2">
        <row r="1">
          <cell r="H1" t="str">
            <v>N° de Expediente</v>
          </cell>
          <cell r="I1" t="str">
            <v>Etapa del Recurso</v>
          </cell>
          <cell r="J1" t="str">
            <v>Nombre del Resolutor</v>
          </cell>
          <cell r="K1" t="str">
            <v>Nombre del Revisor 1</v>
          </cell>
          <cell r="L1" t="str">
            <v>Descriptor Principal</v>
          </cell>
          <cell r="M1" t="str">
            <v>Resultado de la Resolución</v>
          </cell>
          <cell r="N1" t="str">
            <v>Número de la Resolución</v>
          </cell>
        </row>
        <row r="2">
          <cell r="H2">
            <v>4090340022413</v>
          </cell>
          <cell r="I2" t="str">
            <v>RECURSO CON RESULTADO DE FONDO</v>
          </cell>
          <cell r="J2" t="str">
            <v>ANDRES EDUARDO, ANGULO FARFAN</v>
          </cell>
          <cell r="K2" t="str">
            <v>GLADYS ANGELITA, SANTILLAN VALDIVIA</v>
          </cell>
          <cell r="L2" t="str">
            <v>AJUSTE DE VALOR</v>
          </cell>
          <cell r="M2" t="str">
            <v>INFUNDADO</v>
          </cell>
          <cell r="N2">
            <v>4090140017907</v>
          </cell>
        </row>
        <row r="3">
          <cell r="H3">
            <v>4090340018231</v>
          </cell>
          <cell r="I3" t="str">
            <v>RECURSO CON RESULTADO DE FONDO</v>
          </cell>
          <cell r="J3" t="str">
            <v>MARIA LOURDES, HURTADO CUSTODIO</v>
          </cell>
          <cell r="K3" t="str">
            <v>ALLISON ERIKA, CASTRO LAGOS</v>
          </cell>
          <cell r="L3" t="str">
            <v>AJUSTE DE VALOR</v>
          </cell>
          <cell r="M3" t="str">
            <v>INFUNDADO</v>
          </cell>
          <cell r="N3">
            <v>4090140017864</v>
          </cell>
        </row>
        <row r="4">
          <cell r="H4">
            <v>4090340018262</v>
          </cell>
          <cell r="I4" t="str">
            <v>RECURSO CON RESULTADO DE FONDO</v>
          </cell>
          <cell r="J4" t="str">
            <v>ALLISON ERIKA, CASTRO LAGOS</v>
          </cell>
          <cell r="K4" t="str">
            <v>ALLISON ERIKA, CASTRO LAGOS</v>
          </cell>
          <cell r="L4" t="str">
            <v>AJUSTE DE VALOR</v>
          </cell>
          <cell r="M4" t="str">
            <v>INFUNDADO</v>
          </cell>
          <cell r="N4">
            <v>4090140017790</v>
          </cell>
        </row>
        <row r="5">
          <cell r="H5">
            <v>4090340018261</v>
          </cell>
          <cell r="I5" t="str">
            <v>RECURSO CON RESULTADO DE FONDO</v>
          </cell>
          <cell r="J5" t="str">
            <v>MARIA LUISA, CHIRE TUNQUE</v>
          </cell>
          <cell r="K5" t="str">
            <v>TERESITA MILAGROS, QUEZADA VILLAR</v>
          </cell>
          <cell r="L5" t="str">
            <v>AJUSTE DE VALOR</v>
          </cell>
          <cell r="M5" t="str">
            <v>INFUNDADO</v>
          </cell>
          <cell r="N5">
            <v>4090140017958</v>
          </cell>
        </row>
        <row r="6">
          <cell r="H6">
            <v>4090340018258</v>
          </cell>
          <cell r="I6" t="str">
            <v>RECURSO CON RESULTADO DE FONDO</v>
          </cell>
          <cell r="J6" t="str">
            <v>ALLISON ERIKA, CASTRO LAGOS</v>
          </cell>
          <cell r="K6" t="str">
            <v>ALLISON ERIKA, CASTRO LAGOS</v>
          </cell>
          <cell r="L6" t="str">
            <v>AJUSTE DE VALOR</v>
          </cell>
          <cell r="M6" t="str">
            <v>INFUNDADO</v>
          </cell>
          <cell r="N6">
            <v>4090140017789</v>
          </cell>
        </row>
        <row r="7">
          <cell r="H7">
            <v>4090340018198</v>
          </cell>
          <cell r="I7" t="str">
            <v>RECURSO CON RESULTADO DE FONDO</v>
          </cell>
          <cell r="J7" t="str">
            <v>CESAR VICTOR, LINARES ALCANTARA</v>
          </cell>
          <cell r="K7" t="str">
            <v>ALLISON ERIKA, CASTRO LAGOS</v>
          </cell>
          <cell r="L7" t="str">
            <v>AJUSTE DE VALOR</v>
          </cell>
          <cell r="M7" t="str">
            <v>INFUNDADO</v>
          </cell>
          <cell r="N7">
            <v>4090140017892</v>
          </cell>
        </row>
        <row r="8">
          <cell r="H8">
            <v>4090340018225</v>
          </cell>
          <cell r="I8" t="str">
            <v>RECURSO CON RESULTADO DE FONDO</v>
          </cell>
          <cell r="J8" t="str">
            <v>JULIO RAMIRO, CASTAÑEDA CALDERON</v>
          </cell>
          <cell r="K8" t="str">
            <v>GLADYS ANGELITA, SANTILLAN VALDIVIA</v>
          </cell>
          <cell r="L8" t="str">
            <v>AJUSTE DE VALOR</v>
          </cell>
          <cell r="M8" t="str">
            <v>INFUNDADO</v>
          </cell>
          <cell r="N8">
            <v>4090140017617</v>
          </cell>
        </row>
        <row r="9">
          <cell r="H9">
            <v>4090340018224</v>
          </cell>
          <cell r="I9" t="str">
            <v>RECURSO CON RESULTADO DE FONDO</v>
          </cell>
          <cell r="J9" t="str">
            <v>AZHIR YUSSEF, SANDOVAL GUEVARA</v>
          </cell>
          <cell r="K9" t="str">
            <v>GLADYS ANGELITA, SANTILLAN VALDIVIA</v>
          </cell>
          <cell r="L9" t="str">
            <v>AJUSTE DE VALOR</v>
          </cell>
          <cell r="M9" t="str">
            <v>INFUNDADO</v>
          </cell>
          <cell r="N9">
            <v>4090140017634</v>
          </cell>
        </row>
        <row r="10">
          <cell r="H10">
            <v>4090340018223</v>
          </cell>
          <cell r="I10" t="str">
            <v>RECURSO CON RESULTADO DE FONDO</v>
          </cell>
          <cell r="J10" t="str">
            <v>JORGE LUIS, SANCHEZ TORRES</v>
          </cell>
          <cell r="K10" t="str">
            <v>GLADYS ANGELITA, SANTILLAN VALDIVIA</v>
          </cell>
          <cell r="L10" t="str">
            <v>AJUSTE DE VALOR</v>
          </cell>
          <cell r="M10" t="str">
            <v>INFUNDADO</v>
          </cell>
          <cell r="N10">
            <v>4090140017783</v>
          </cell>
        </row>
        <row r="11">
          <cell r="H11">
            <v>4090340018220</v>
          </cell>
          <cell r="I11" t="str">
            <v>RECURSO CON RESULTADO DE FONDO</v>
          </cell>
          <cell r="J11" t="str">
            <v>LYDIA CAROLINA, ARESTEGUI PEREYRA</v>
          </cell>
          <cell r="K11" t="str">
            <v>ALLISON ERIKA, CASTRO LAGOS</v>
          </cell>
          <cell r="L11" t="str">
            <v>AJUSTE DE VALOR</v>
          </cell>
          <cell r="M11" t="str">
            <v>INFUNDADO</v>
          </cell>
          <cell r="N11">
            <v>4090140017598</v>
          </cell>
        </row>
        <row r="12">
          <cell r="H12">
            <v>4090340018218</v>
          </cell>
          <cell r="I12" t="str">
            <v>RECURSO CON RESULTADO DE FONDO</v>
          </cell>
          <cell r="J12" t="str">
            <v>MARIA LUISA, CHIRE TUNQUE</v>
          </cell>
          <cell r="K12" t="str">
            <v>TERESITA MILAGROS, QUEZADA VILLAR</v>
          </cell>
          <cell r="L12" t="str">
            <v>AJUSTE DE VALOR</v>
          </cell>
          <cell r="M12" t="str">
            <v>INFUNDADO</v>
          </cell>
          <cell r="N12">
            <v>4090140017947</v>
          </cell>
        </row>
        <row r="13">
          <cell r="H13">
            <v>4090340018216</v>
          </cell>
          <cell r="I13" t="str">
            <v>RECURSO CON RESULTADO DE FONDO</v>
          </cell>
          <cell r="J13" t="str">
            <v>LUIS ALBERTO, CORDOVA MEZA</v>
          </cell>
          <cell r="K13" t="str">
            <v>GLADYS ANGELITA, SANTILLAN VALDIVIA</v>
          </cell>
          <cell r="L13" t="str">
            <v>AJUSTE DE VALOR</v>
          </cell>
          <cell r="M13" t="str">
            <v>FUNDADO EN PARTE</v>
          </cell>
          <cell r="N13">
            <v>4090140017942</v>
          </cell>
        </row>
        <row r="14">
          <cell r="H14">
            <v>4090340018212</v>
          </cell>
          <cell r="I14" t="str">
            <v>RECURSO CON RESULTADO DE FONDO</v>
          </cell>
          <cell r="J14" t="str">
            <v>MARIA LUISA, CHIRE TUNQUE</v>
          </cell>
          <cell r="K14" t="str">
            <v>TERESITA MILAGROS, QUEZADA VILLAR</v>
          </cell>
          <cell r="L14" t="str">
            <v>AJUSTE DE VALOR</v>
          </cell>
          <cell r="M14" t="str">
            <v>INFUNDADO</v>
          </cell>
          <cell r="N14">
            <v>4090140017740</v>
          </cell>
        </row>
        <row r="15">
          <cell r="H15">
            <v>4090340018210</v>
          </cell>
          <cell r="I15" t="str">
            <v>RECURSO CON RESULTADO DE FONDO</v>
          </cell>
          <cell r="J15" t="str">
            <v>MARIA LOURDES, HURTADO CUSTODIO</v>
          </cell>
          <cell r="K15" t="str">
            <v>ALLISON ERIKA, CASTRO LAGOS</v>
          </cell>
          <cell r="L15" t="str">
            <v>AJUSTE DE VALOR</v>
          </cell>
          <cell r="M15" t="str">
            <v>NULIDAD</v>
          </cell>
          <cell r="N15">
            <v>4090140017741</v>
          </cell>
        </row>
        <row r="16">
          <cell r="H16">
            <v>4090340018209</v>
          </cell>
          <cell r="I16" t="str">
            <v>RECURSO CON RESULTADO DE FONDO</v>
          </cell>
          <cell r="J16" t="str">
            <v>MARIA LOURDES, HURTADO CUSTODIO</v>
          </cell>
          <cell r="K16" t="str">
            <v>ALLISON ERIKA, CASTRO LAGOS</v>
          </cell>
          <cell r="L16" t="str">
            <v>AJUSTE DE VALOR</v>
          </cell>
          <cell r="M16" t="str">
            <v>INFUNDADO</v>
          </cell>
          <cell r="N16">
            <v>4090140017859</v>
          </cell>
        </row>
        <row r="17">
          <cell r="H17">
            <v>4090340018153</v>
          </cell>
          <cell r="I17" t="str">
            <v>RECURSO CON RESULTADO DE FONDO</v>
          </cell>
          <cell r="J17" t="str">
            <v>MARIA LUISA, CHIRE TUNQUE</v>
          </cell>
          <cell r="K17" t="str">
            <v>TERESITA MILAGROS, QUEZADA VILLAR</v>
          </cell>
          <cell r="L17" t="str">
            <v>AJUSTE DE VALOR</v>
          </cell>
          <cell r="M17" t="str">
            <v>INFUNDADO</v>
          </cell>
          <cell r="N17">
            <v>4090140017743</v>
          </cell>
        </row>
        <row r="18">
          <cell r="H18">
            <v>4090340018150</v>
          </cell>
          <cell r="I18" t="str">
            <v>RECURSO CON RESULTADO DE FONDO</v>
          </cell>
          <cell r="J18" t="str">
            <v>LYDIA CAROLINA, ARESTEGUI PEREYRA</v>
          </cell>
          <cell r="K18" t="str">
            <v>ALLISON ERIKA, CASTRO LAGOS</v>
          </cell>
          <cell r="L18" t="str">
            <v>AJUSTE DE VALOR</v>
          </cell>
          <cell r="M18" t="str">
            <v>INFUNDADO</v>
          </cell>
          <cell r="N18">
            <v>4090140017669</v>
          </cell>
        </row>
        <row r="19">
          <cell r="H19">
            <v>4090340018143</v>
          </cell>
          <cell r="I19" t="str">
            <v>RECURSO CON RESULTADO DE FONDO</v>
          </cell>
          <cell r="J19" t="str">
            <v>MARIA LUISA, CHIRE TUNQUE</v>
          </cell>
          <cell r="K19" t="str">
            <v>TERESITA MILAGROS, QUEZADA VILLAR</v>
          </cell>
          <cell r="L19" t="str">
            <v>AJUSTE DE VALOR</v>
          </cell>
          <cell r="M19" t="str">
            <v>INFUNDADO</v>
          </cell>
          <cell r="N19">
            <v>4090140017742</v>
          </cell>
        </row>
        <row r="20">
          <cell r="H20">
            <v>4090340018191</v>
          </cell>
          <cell r="I20" t="str">
            <v>RECURSO CON RESULTADO DE FONDO</v>
          </cell>
          <cell r="J20" t="str">
            <v>MARIA LOURDES, HURTADO CUSTODIO</v>
          </cell>
          <cell r="K20" t="str">
            <v>ALLISON ERIKA, CASTRO LAGOS</v>
          </cell>
          <cell r="L20" t="str">
            <v>AJUSTE DE VALOR</v>
          </cell>
          <cell r="M20" t="str">
            <v>INFUNDADO</v>
          </cell>
          <cell r="N20">
            <v>4090140017787</v>
          </cell>
        </row>
        <row r="21">
          <cell r="H21">
            <v>4090340018142</v>
          </cell>
          <cell r="I21" t="str">
            <v>RECURSO CON RESULTADO DE FONDO</v>
          </cell>
          <cell r="J21" t="str">
            <v>JORGE LUIS, SANCHEZ TORRES</v>
          </cell>
          <cell r="K21" t="str">
            <v>GLADYS ANGELITA, SANTILLAN VALDIVIA</v>
          </cell>
          <cell r="L21" t="str">
            <v>AJUSTE DE VALOR</v>
          </cell>
          <cell r="M21" t="str">
            <v>NULIDAD</v>
          </cell>
          <cell r="N21">
            <v>4090140017687</v>
          </cell>
        </row>
        <row r="22">
          <cell r="H22">
            <v>4090340018190</v>
          </cell>
          <cell r="I22" t="str">
            <v>RECURSO CON RESULTADO DE FONDO</v>
          </cell>
          <cell r="J22" t="str">
            <v>EDGAR FERNANDO, COSIO JARA</v>
          </cell>
          <cell r="K22" t="str">
            <v>ALLISON ERIKA, CASTRO LAGOS</v>
          </cell>
          <cell r="L22" t="str">
            <v>AJUSTE DE VALOR</v>
          </cell>
          <cell r="M22" t="str">
            <v>INFUNDADO</v>
          </cell>
          <cell r="N22">
            <v>4090140017815</v>
          </cell>
        </row>
        <row r="23">
          <cell r="H23">
            <v>4090340018186</v>
          </cell>
          <cell r="I23" t="str">
            <v>RECURSO CON RESULTADO DE FONDO</v>
          </cell>
          <cell r="J23" t="str">
            <v>CELSO FELIX, SANCHEZ GARRIDO</v>
          </cell>
          <cell r="K23" t="str">
            <v>ALLISON ERIKA, CASTRO LAGOS</v>
          </cell>
          <cell r="L23" t="str">
            <v>AJUSTE DE VALOR</v>
          </cell>
          <cell r="M23" t="str">
            <v>INFUNDADO</v>
          </cell>
          <cell r="N23">
            <v>4090140017747</v>
          </cell>
        </row>
        <row r="24">
          <cell r="H24">
            <v>4090340018180</v>
          </cell>
          <cell r="I24" t="str">
            <v>RECURSO CON RESULTADO DE FONDO</v>
          </cell>
          <cell r="J24" t="str">
            <v>MARIA LOURDES, HURTADO CUSTODIO</v>
          </cell>
          <cell r="K24" t="str">
            <v>ALLISON ERIKA, CASTRO LAGOS</v>
          </cell>
          <cell r="L24" t="str">
            <v>DEVOLUCION AJUSTE DE VALOR</v>
          </cell>
          <cell r="M24" t="str">
            <v>INFUNDADO</v>
          </cell>
          <cell r="N24">
            <v>4090140017816</v>
          </cell>
        </row>
        <row r="25">
          <cell r="H25">
            <v>4090340018176</v>
          </cell>
          <cell r="I25" t="str">
            <v>RECURSO CON RESULTADO DE FONDO</v>
          </cell>
          <cell r="J25" t="str">
            <v>WILLIAN ARNALDO, GODOY ESCALANTE</v>
          </cell>
          <cell r="K25" t="str">
            <v>TERESITA MILAGROS, QUEZADA VILLAR</v>
          </cell>
          <cell r="L25" t="str">
            <v>AJUSTE DE VALOR</v>
          </cell>
          <cell r="M25" t="str">
            <v>INFUNDADO</v>
          </cell>
          <cell r="N25">
            <v>4090140017828</v>
          </cell>
        </row>
        <row r="26">
          <cell r="H26">
            <v>4090340018175</v>
          </cell>
          <cell r="I26" t="str">
            <v>RECURSO CON RESULTADO DE FONDO</v>
          </cell>
          <cell r="J26" t="str">
            <v>CELSO FELIX, SANCHEZ GARRIDO</v>
          </cell>
          <cell r="K26" t="str">
            <v>ALLISON ERIKA, CASTRO LAGOS</v>
          </cell>
          <cell r="L26" t="str">
            <v>AJUSTE DE VALOR</v>
          </cell>
          <cell r="M26" t="str">
            <v>NULIDAD</v>
          </cell>
          <cell r="N26">
            <v>4090140017673</v>
          </cell>
        </row>
        <row r="27">
          <cell r="H27">
            <v>4090340018173</v>
          </cell>
          <cell r="I27" t="str">
            <v>RECURSO CON RESULTADO DE FONDO</v>
          </cell>
          <cell r="J27" t="str">
            <v>CELSO FELIX, SANCHEZ GARRIDO</v>
          </cell>
          <cell r="K27" t="str">
            <v>ALLISON ERIKA, CASTRO LAGOS</v>
          </cell>
          <cell r="L27" t="str">
            <v>AJUSTE DE VALOR</v>
          </cell>
          <cell r="M27" t="str">
            <v>INFUNDADO</v>
          </cell>
          <cell r="N27">
            <v>4090140017663</v>
          </cell>
        </row>
        <row r="28">
          <cell r="H28">
            <v>4090340018094</v>
          </cell>
          <cell r="I28" t="str">
            <v>RECURSO CON RESULTADO DE FONDO</v>
          </cell>
          <cell r="J28" t="str">
            <v>MARIA LUISA, CHIRE TUNQUE</v>
          </cell>
          <cell r="K28" t="str">
            <v>TERESITA MILAGROS, QUEZADA VILLAR</v>
          </cell>
          <cell r="L28" t="str">
            <v>AJUSTE DE VALOR</v>
          </cell>
          <cell r="M28" t="str">
            <v>INFUNDADO</v>
          </cell>
          <cell r="N28">
            <v>4090140017744</v>
          </cell>
        </row>
        <row r="29">
          <cell r="H29">
            <v>4090340018136</v>
          </cell>
          <cell r="I29" t="str">
            <v>RECURSO CON RESULTADO DE FONDO</v>
          </cell>
          <cell r="J29" t="str">
            <v>JORGE ENRIQUE, JARA YUPANQUI</v>
          </cell>
          <cell r="K29" t="str">
            <v>TERESITA MILAGROS, QUEZADA VILLAR</v>
          </cell>
          <cell r="L29" t="str">
            <v>AJUSTE DE VALOR</v>
          </cell>
          <cell r="M29" t="str">
            <v>INFUNDADO</v>
          </cell>
          <cell r="N29">
            <v>4090140017762</v>
          </cell>
        </row>
        <row r="30">
          <cell r="H30">
            <v>4090340018134</v>
          </cell>
          <cell r="I30" t="str">
            <v>RECURSO CON RESULTADO DE FONDO</v>
          </cell>
          <cell r="J30" t="str">
            <v>EDGAR FERNANDO, COSIO JARA</v>
          </cell>
          <cell r="K30" t="str">
            <v>ALLISON ERIKA, CASTRO LAGOS</v>
          </cell>
          <cell r="L30" t="str">
            <v>AJUSTE DE VALOR</v>
          </cell>
          <cell r="M30" t="str">
            <v>INFUNDADO</v>
          </cell>
          <cell r="N30">
            <v>4090140017517</v>
          </cell>
        </row>
        <row r="31">
          <cell r="H31">
            <v>4090340018131</v>
          </cell>
          <cell r="I31" t="str">
            <v>RECURSO CON RESULTADO DE FONDO</v>
          </cell>
          <cell r="J31" t="str">
            <v>EDGAR FERNANDO, COSIO JARA</v>
          </cell>
          <cell r="K31" t="str">
            <v>ALLISON ERIKA, CASTRO LAGOS</v>
          </cell>
          <cell r="L31" t="str">
            <v>AJUSTE DE VALOR</v>
          </cell>
          <cell r="M31" t="str">
            <v>INFUNDADO</v>
          </cell>
          <cell r="N31">
            <v>4090140017817</v>
          </cell>
        </row>
        <row r="32">
          <cell r="H32">
            <v>4090340018117</v>
          </cell>
          <cell r="I32" t="str">
            <v>RECURSO CON RESULTADO DE FONDO</v>
          </cell>
          <cell r="J32" t="str">
            <v>CELSO FELIX, SANCHEZ GARRIDO</v>
          </cell>
          <cell r="K32" t="str">
            <v>ALLISON ERIKA, CASTRO LAGOS</v>
          </cell>
          <cell r="L32" t="str">
            <v>AJUSTE DE VALOR</v>
          </cell>
          <cell r="M32" t="str">
            <v>INFUNDADO</v>
          </cell>
          <cell r="N32">
            <v>4090140017726</v>
          </cell>
        </row>
        <row r="33">
          <cell r="H33">
            <v>4090340018116</v>
          </cell>
          <cell r="I33" t="str">
            <v>RECURSO CON RESULTADO DE FONDO</v>
          </cell>
          <cell r="J33" t="str">
            <v>CELSO FELIX, SANCHEZ GARRIDO</v>
          </cell>
          <cell r="K33" t="str">
            <v>ALLISON ERIKA, CASTRO LAGOS</v>
          </cell>
          <cell r="L33" t="str">
            <v>AJUSTE DE VALOR</v>
          </cell>
          <cell r="M33" t="str">
            <v>INFUNDADO</v>
          </cell>
          <cell r="N33">
            <v>4090140017585</v>
          </cell>
        </row>
        <row r="34">
          <cell r="H34">
            <v>4090340018312</v>
          </cell>
          <cell r="I34" t="str">
            <v>RECURSO CON RESULTADO DE FONDO</v>
          </cell>
          <cell r="J34" t="str">
            <v>CESAR VICTOR, LINARES ALCANTARA</v>
          </cell>
          <cell r="K34" t="str">
            <v>ALLISON ERIKA, CASTRO LAGOS</v>
          </cell>
          <cell r="L34" t="str">
            <v>AJUSTE DE VALOR</v>
          </cell>
          <cell r="M34" t="str">
            <v>NULIDAD</v>
          </cell>
          <cell r="N34">
            <v>4090140017745</v>
          </cell>
        </row>
        <row r="35">
          <cell r="H35">
            <v>4090340018072</v>
          </cell>
          <cell r="I35" t="str">
            <v>RECURSO CON RESULTADO DE FONDO</v>
          </cell>
          <cell r="J35" t="str">
            <v>MARIA LUISA, CHIRE TUNQUE</v>
          </cell>
          <cell r="K35" t="str">
            <v>TERESITA MILAGROS, QUEZADA VILLAR</v>
          </cell>
          <cell r="L35" t="str">
            <v>AJUSTE DE VALOR</v>
          </cell>
          <cell r="M35" t="str">
            <v>FUNDADO</v>
          </cell>
          <cell r="N35">
            <v>4090140017764</v>
          </cell>
        </row>
        <row r="36">
          <cell r="H36">
            <v>4090340018111</v>
          </cell>
          <cell r="I36" t="str">
            <v>RECURSO CON RESULTADO DE FONDO</v>
          </cell>
          <cell r="J36" t="str">
            <v>CESAR VICTOR, LINARES ALCANTARA</v>
          </cell>
          <cell r="K36" t="str">
            <v>ALLISON ERIKA, CASTRO LAGOS</v>
          </cell>
          <cell r="L36" t="str">
            <v>AJUSTE DE VALOR</v>
          </cell>
          <cell r="M36" t="str">
            <v>INFUNDADO</v>
          </cell>
          <cell r="N36">
            <v>4090140017773</v>
          </cell>
        </row>
        <row r="37">
          <cell r="H37">
            <v>4090340018099</v>
          </cell>
          <cell r="I37" t="str">
            <v>RECURSO CON RESULTADO DE FONDO</v>
          </cell>
          <cell r="J37" t="str">
            <v>JAVIER GUSTAVO, OYARSE CRUZ</v>
          </cell>
          <cell r="K37" t="str">
            <v>TERESITA MILAGROS, QUEZADA VILLAR</v>
          </cell>
          <cell r="L37" t="str">
            <v>AJUSTE DE VALOR</v>
          </cell>
          <cell r="M37" t="str">
            <v>INFUNDADO</v>
          </cell>
          <cell r="N37">
            <v>4090140017801</v>
          </cell>
        </row>
        <row r="38">
          <cell r="H38">
            <v>4090340018098</v>
          </cell>
          <cell r="I38" t="str">
            <v>RECURSO CON RESULTADO DE FONDO</v>
          </cell>
          <cell r="J38" t="str">
            <v>MARIA LUISA, CHIRE TUNQUE</v>
          </cell>
          <cell r="K38" t="str">
            <v>TERESITA MILAGROS, QUEZADA VILLAR</v>
          </cell>
          <cell r="L38" t="str">
            <v>AJUSTE DE VALOR</v>
          </cell>
          <cell r="M38" t="str">
            <v>INFUNDADO</v>
          </cell>
          <cell r="N38">
            <v>4090140017771</v>
          </cell>
        </row>
        <row r="39">
          <cell r="H39">
            <v>4090340018063</v>
          </cell>
          <cell r="I39" t="str">
            <v>RECURSO CON RESULTADO DE FONDO</v>
          </cell>
          <cell r="J39" t="str">
            <v>WILLIAN ARNALDO, GODOY ESCALANTE</v>
          </cell>
          <cell r="K39" t="str">
            <v>TERESITA MILAGROS, QUEZADA VILLAR</v>
          </cell>
          <cell r="L39" t="str">
            <v>AJUSTE DE VALOR</v>
          </cell>
          <cell r="M39" t="str">
            <v>INFUNDADO</v>
          </cell>
          <cell r="N39">
            <v>4090140017782</v>
          </cell>
        </row>
        <row r="40">
          <cell r="H40">
            <v>4090340018060</v>
          </cell>
          <cell r="I40" t="str">
            <v>RECURSO CON RESULTADO DE FONDO</v>
          </cell>
          <cell r="J40" t="str">
            <v>MARIA LUISA, CHIRE TUNQUE</v>
          </cell>
          <cell r="K40" t="str">
            <v>TERESITA MILAGROS, QUEZADA VILLAR</v>
          </cell>
          <cell r="L40" t="str">
            <v>AJUSTE DE VALOR</v>
          </cell>
          <cell r="M40" t="str">
            <v>INFUNDADO</v>
          </cell>
          <cell r="N40">
            <v>4090140017604</v>
          </cell>
        </row>
        <row r="41">
          <cell r="H41">
            <v>4090340018059</v>
          </cell>
          <cell r="I41" t="str">
            <v>RECURSO CON RESULTADO DE FONDO</v>
          </cell>
          <cell r="J41" t="str">
            <v>MARIA LUISA, CHIRE TUNQUE</v>
          </cell>
          <cell r="K41" t="str">
            <v>TERESITA MILAGROS, QUEZADA VILLAR</v>
          </cell>
          <cell r="L41" t="str">
            <v>AJUSTE DE VALOR</v>
          </cell>
          <cell r="M41" t="str">
            <v>INFUNDADO</v>
          </cell>
          <cell r="N41">
            <v>4090140017606</v>
          </cell>
        </row>
        <row r="42">
          <cell r="H42">
            <v>4090340018089</v>
          </cell>
          <cell r="I42" t="str">
            <v>RECURSO CON RESULTADO DE FONDO</v>
          </cell>
          <cell r="J42" t="str">
            <v>WILLIAN ARNALDO, GODOY ESCALANTE</v>
          </cell>
          <cell r="K42" t="str">
            <v>TERESITA MILAGROS, QUEZADA VILLAR</v>
          </cell>
          <cell r="L42" t="str">
            <v>AJUSTE DE VALOR</v>
          </cell>
          <cell r="M42" t="str">
            <v>INFUNDADO</v>
          </cell>
          <cell r="N42">
            <v>4090140017781</v>
          </cell>
        </row>
        <row r="43">
          <cell r="H43">
            <v>4090340018053</v>
          </cell>
          <cell r="I43" t="str">
            <v>RECURSO CON RESULTADO DE FONDO</v>
          </cell>
          <cell r="J43" t="str">
            <v>LYDIA CAROLINA, ARESTEGUI PEREYRA</v>
          </cell>
          <cell r="K43" t="str">
            <v>ALLISON ERIKA, CASTRO LAGOS</v>
          </cell>
          <cell r="L43" t="str">
            <v>AJUSTE DE VALOR</v>
          </cell>
          <cell r="M43" t="str">
            <v>INFUNDADO</v>
          </cell>
          <cell r="N43">
            <v>4090140017599</v>
          </cell>
        </row>
        <row r="44">
          <cell r="H44">
            <v>4090340018088</v>
          </cell>
          <cell r="I44" t="str">
            <v>RECURSO CON RESULTADO DE FONDO</v>
          </cell>
          <cell r="J44" t="str">
            <v>JULIO RAMIRO, CASTAÑEDA CALDERON</v>
          </cell>
          <cell r="K44" t="str">
            <v>GLADYS ANGELITA, SANTILLAN VALDIVIA</v>
          </cell>
          <cell r="L44" t="str">
            <v>AJUSTE DE VALOR</v>
          </cell>
          <cell r="M44" t="str">
            <v>INFUNDADO</v>
          </cell>
          <cell r="N44">
            <v>4090140017609</v>
          </cell>
        </row>
        <row r="45">
          <cell r="H45">
            <v>4090340018086</v>
          </cell>
          <cell r="I45" t="str">
            <v>RECURSO CON RESULTADO DE FONDO</v>
          </cell>
          <cell r="J45" t="str">
            <v>MILAGROS, LOPEZ AUQUI</v>
          </cell>
          <cell r="K45" t="str">
            <v>GLADYS ANGELITA, SANTILLAN VALDIVIA</v>
          </cell>
          <cell r="L45" t="str">
            <v>AJUSTE DE VALOR</v>
          </cell>
          <cell r="M45" t="str">
            <v>INFUNDADO</v>
          </cell>
          <cell r="N45">
            <v>4090140017584</v>
          </cell>
        </row>
        <row r="46">
          <cell r="H46">
            <v>4090340018085</v>
          </cell>
          <cell r="I46" t="str">
            <v>RECURSO CON RESULTADO DE FONDO</v>
          </cell>
          <cell r="J46" t="str">
            <v>WILLIAN ARNALDO, GODOY ESCALANTE</v>
          </cell>
          <cell r="K46" t="str">
            <v>TERESITA MILAGROS, QUEZADA VILLAR</v>
          </cell>
          <cell r="L46" t="str">
            <v>AJUSTE DE VALOR</v>
          </cell>
          <cell r="M46" t="str">
            <v>INFUNDADO</v>
          </cell>
          <cell r="N46">
            <v>4090140017780</v>
          </cell>
        </row>
        <row r="47">
          <cell r="H47">
            <v>4090340018123</v>
          </cell>
          <cell r="I47" t="str">
            <v>RECURSO CON RESULTADO DE FONDO</v>
          </cell>
          <cell r="J47" t="str">
            <v>CESAR VICTOR, LINARES ALCANTARA</v>
          </cell>
          <cell r="K47" t="str">
            <v>ALLISON ERIKA, CASTRO LAGOS</v>
          </cell>
          <cell r="L47" t="str">
            <v>AJUSTE DE VALOR</v>
          </cell>
          <cell r="M47" t="str">
            <v>INFUNDADO</v>
          </cell>
          <cell r="N47">
            <v>4090140017766</v>
          </cell>
        </row>
        <row r="48">
          <cell r="H48">
            <v>4090340018074</v>
          </cell>
          <cell r="I48" t="str">
            <v>RECURSO CON RESULTADO DE FONDO</v>
          </cell>
          <cell r="J48" t="str">
            <v>MARIA LOURDES, HURTADO CUSTODIO</v>
          </cell>
          <cell r="K48" t="str">
            <v>ALLISON ERIKA, CASTRO LAGOS</v>
          </cell>
          <cell r="L48" t="str">
            <v>AJUSTE DE VALOR</v>
          </cell>
          <cell r="M48" t="str">
            <v>NULIDAD</v>
          </cell>
          <cell r="N48">
            <v>4090140017702</v>
          </cell>
        </row>
        <row r="49">
          <cell r="H49">
            <v>4090340018068</v>
          </cell>
          <cell r="I49" t="str">
            <v>RECURSO CON RESULTADO DE FONDO</v>
          </cell>
          <cell r="J49" t="str">
            <v>CELSO FELIX, SANCHEZ GARRIDO</v>
          </cell>
          <cell r="K49" t="str">
            <v>ALLISON ERIKA, CASTRO LAGOS</v>
          </cell>
          <cell r="L49" t="str">
            <v>AJUSTE DE VALOR</v>
          </cell>
          <cell r="M49" t="str">
            <v>NULIDAD</v>
          </cell>
          <cell r="N49">
            <v>4090140017583</v>
          </cell>
        </row>
        <row r="50">
          <cell r="H50">
            <v>4090340018020</v>
          </cell>
          <cell r="I50" t="str">
            <v>RECURSO CON RESULTADO DE FONDO</v>
          </cell>
          <cell r="J50" t="str">
            <v>WILLIAN ARNALDO, GODOY ESCALANTE</v>
          </cell>
          <cell r="K50" t="str">
            <v>TERESITA MILAGROS, QUEZADA VILLAR</v>
          </cell>
          <cell r="L50" t="str">
            <v>AJUSTE DE VALOR</v>
          </cell>
          <cell r="M50" t="str">
            <v>INFUNDADO</v>
          </cell>
          <cell r="N50">
            <v>4090140017774</v>
          </cell>
        </row>
        <row r="51">
          <cell r="H51">
            <v>4090340018018</v>
          </cell>
          <cell r="I51" t="str">
            <v>RECURSO CON RESULTADO DE FONDO</v>
          </cell>
          <cell r="J51" t="str">
            <v>WILLIAN ARNALDO, GODOY ESCALANTE</v>
          </cell>
          <cell r="K51" t="str">
            <v>TERESITA MILAGROS, QUEZADA VILLAR</v>
          </cell>
          <cell r="L51" t="str">
            <v>AJUSTE DE VALOR</v>
          </cell>
          <cell r="M51" t="str">
            <v>INFUNDADO</v>
          </cell>
          <cell r="N51">
            <v>4090140017767</v>
          </cell>
        </row>
        <row r="52">
          <cell r="H52">
            <v>4090340018017</v>
          </cell>
          <cell r="I52" t="str">
            <v>RECURSO CON RESULTADO DE FONDO</v>
          </cell>
          <cell r="J52" t="str">
            <v>CESAR VICTOR, LINARES ALCANTARA</v>
          </cell>
          <cell r="K52" t="str">
            <v>ALLISON ERIKA, CASTRO LAGOS</v>
          </cell>
          <cell r="L52" t="str">
            <v>DEVOLUCION AJUSTE DE VALOR</v>
          </cell>
          <cell r="M52" t="str">
            <v>INFUNDADO</v>
          </cell>
          <cell r="N52">
            <v>4090140017526</v>
          </cell>
        </row>
        <row r="53">
          <cell r="H53">
            <v>4090340018054</v>
          </cell>
          <cell r="I53" t="str">
            <v>RECURSO CON RESULTADO DE FONDO</v>
          </cell>
          <cell r="J53" t="str">
            <v>VICTORIA AGUSTINA, SANTA CRUZ MARTINEZ</v>
          </cell>
          <cell r="K53" t="str">
            <v>ALLISON ERIKA, CASTRO LAGOS</v>
          </cell>
          <cell r="L53" t="str">
            <v>AJUSTE DE VALOR</v>
          </cell>
          <cell r="M53" t="str">
            <v>INFUNDADO</v>
          </cell>
          <cell r="N53">
            <v>4090140017728</v>
          </cell>
        </row>
        <row r="54">
          <cell r="H54">
            <v>4090340018051</v>
          </cell>
          <cell r="I54" t="str">
            <v>RECURSO CON RESULTADO DE FONDO</v>
          </cell>
          <cell r="J54" t="str">
            <v>ANDRES EDUARDO, ANGULO FARFAN</v>
          </cell>
          <cell r="K54" t="str">
            <v>GLADYS ANGELITA, SANTILLAN VALDIVIA</v>
          </cell>
          <cell r="L54" t="str">
            <v>DEVOLUCION AJUSTE DE VALOR</v>
          </cell>
          <cell r="M54" t="str">
            <v>INFUNDADO</v>
          </cell>
          <cell r="N54">
            <v>4090140017588</v>
          </cell>
        </row>
        <row r="55">
          <cell r="H55">
            <v>4090340018037</v>
          </cell>
          <cell r="I55" t="str">
            <v>RECURSO CON RESULTADO DE FONDO</v>
          </cell>
          <cell r="J55" t="str">
            <v>CESAR VICTOR, LINARES ALCANTARA</v>
          </cell>
          <cell r="K55" t="str">
            <v>ALLISON ERIKA, CASTRO LAGOS</v>
          </cell>
          <cell r="L55" t="str">
            <v>AJUSTE DE VALOR</v>
          </cell>
          <cell r="M55" t="str">
            <v>INFUNDADO</v>
          </cell>
          <cell r="N55">
            <v>4090140017618</v>
          </cell>
        </row>
        <row r="56">
          <cell r="H56">
            <v>4090340018031</v>
          </cell>
          <cell r="I56" t="str">
            <v>RECURSO CON RESULTADO DE FONDO</v>
          </cell>
          <cell r="J56" t="str">
            <v>LUIS ALBERTO, CORDOVA MEZA</v>
          </cell>
          <cell r="K56" t="str">
            <v>GLADYS ANGELITA, SANTILLAN VALDIVIA</v>
          </cell>
          <cell r="L56" t="str">
            <v>AJUSTE DE VALOR</v>
          </cell>
          <cell r="M56" t="str">
            <v>NULIDAD</v>
          </cell>
          <cell r="N56">
            <v>4090140017674</v>
          </cell>
        </row>
        <row r="57">
          <cell r="H57">
            <v>4090340018029</v>
          </cell>
          <cell r="I57" t="str">
            <v>RECURSO CON RESULTADO DE FONDO</v>
          </cell>
          <cell r="J57" t="str">
            <v>AZHIR YUSSEF, SANDOVAL GUEVARA</v>
          </cell>
          <cell r="K57" t="str">
            <v>GLADYS ANGELITA, SANTILLAN VALDIVIA</v>
          </cell>
          <cell r="L57" t="str">
            <v>AJUSTE DE VALOR</v>
          </cell>
          <cell r="M57" t="str">
            <v>INFUNDADO</v>
          </cell>
          <cell r="N57">
            <v>4090140017635</v>
          </cell>
        </row>
        <row r="58">
          <cell r="H58">
            <v>4090340018073</v>
          </cell>
          <cell r="I58" t="str">
            <v>RECURSO CON RESULTADO DE FONDO</v>
          </cell>
          <cell r="J58" t="str">
            <v>ANDRES EDUARDO, ANGULO FARFAN</v>
          </cell>
          <cell r="K58" t="str">
            <v>GLADYS ANGELITA, SANTILLAN VALDIVIA</v>
          </cell>
          <cell r="L58" t="str">
            <v>AJUSTE DE VALOR</v>
          </cell>
          <cell r="M58" t="str">
            <v>INFUNDADO</v>
          </cell>
          <cell r="N58">
            <v>4090140017543</v>
          </cell>
        </row>
        <row r="59">
          <cell r="H59">
            <v>4090340018014</v>
          </cell>
          <cell r="I59" t="str">
            <v>RECURSO CON RESULTADO DE FONDO</v>
          </cell>
          <cell r="J59" t="str">
            <v>LUIS ALBERTO, CORDOVA MEZA</v>
          </cell>
          <cell r="K59" t="str">
            <v>GLADYS ANGELITA, SANTILLAN VALDIVIA</v>
          </cell>
          <cell r="L59" t="str">
            <v>AJUSTE DE VALOR</v>
          </cell>
          <cell r="M59" t="str">
            <v>NULIDAD</v>
          </cell>
          <cell r="N59">
            <v>4090140017664</v>
          </cell>
        </row>
        <row r="60">
          <cell r="H60">
            <v>4090340018010</v>
          </cell>
          <cell r="I60" t="str">
            <v>RECURSO CON RESULTADO DE FONDO</v>
          </cell>
          <cell r="J60" t="str">
            <v>AZHIR YUSSEF, SANDOVAL GUEVARA</v>
          </cell>
          <cell r="K60" t="str">
            <v>GLADYS ANGELITA, SANTILLAN VALDIVIA</v>
          </cell>
          <cell r="L60" t="str">
            <v>AJUSTE DE VALOR</v>
          </cell>
          <cell r="M60" t="str">
            <v>INFUNDADO</v>
          </cell>
          <cell r="N60">
            <v>4090140017637</v>
          </cell>
        </row>
        <row r="61">
          <cell r="H61">
            <v>4090340018007</v>
          </cell>
          <cell r="I61" t="str">
            <v>RECURSO CON RESULTADO DE FONDO</v>
          </cell>
          <cell r="J61" t="str">
            <v>WILLIAN ARNALDO, GODOY ESCALANTE</v>
          </cell>
          <cell r="K61" t="str">
            <v>TERESITA MILAGROS, QUEZADA VILLAR</v>
          </cell>
          <cell r="L61" t="str">
            <v>AJUSTE DE VALOR</v>
          </cell>
          <cell r="M61" t="str">
            <v>INFUNDADO</v>
          </cell>
          <cell r="N61">
            <v>4090140017605</v>
          </cell>
        </row>
        <row r="62">
          <cell r="H62">
            <v>4090340018005</v>
          </cell>
          <cell r="I62" t="str">
            <v>RECURSO CON RESULTADO DE FONDO</v>
          </cell>
          <cell r="J62" t="str">
            <v>MILAGROS, LOPEZ AUQUI</v>
          </cell>
          <cell r="K62" t="str">
            <v>GLADYS ANGELITA, SANTILLAN VALDIVIA</v>
          </cell>
          <cell r="L62" t="str">
            <v>AJUSTE DE VALOR</v>
          </cell>
          <cell r="M62" t="str">
            <v>INFUNDADO</v>
          </cell>
          <cell r="N62">
            <v>4090140017636</v>
          </cell>
        </row>
        <row r="63">
          <cell r="H63">
            <v>4090340017965</v>
          </cell>
          <cell r="I63" t="str">
            <v>RECURSO CON RESULTADO DE FONDO</v>
          </cell>
          <cell r="J63" t="str">
            <v>MARIA LUISA, CHIRE TUNQUE</v>
          </cell>
          <cell r="K63" t="str">
            <v>TERESITA MILAGROS, QUEZADA VILLAR</v>
          </cell>
          <cell r="L63" t="str">
            <v>AJUSTE DE VALOR</v>
          </cell>
          <cell r="M63" t="str">
            <v>INFUNDADO</v>
          </cell>
          <cell r="N63">
            <v>4090140017665</v>
          </cell>
        </row>
        <row r="64">
          <cell r="H64">
            <v>4090340017982</v>
          </cell>
          <cell r="I64" t="str">
            <v>RECURSO CON RESULTADO DE FONDO</v>
          </cell>
          <cell r="J64" t="str">
            <v>JULIO RAMIRO, CASTAÑEDA CALDERON</v>
          </cell>
          <cell r="K64" t="str">
            <v>GLADYS ANGELITA, SANTILLAN VALDIVIA</v>
          </cell>
          <cell r="L64" t="str">
            <v>AJUSTE DE VALOR</v>
          </cell>
          <cell r="M64" t="str">
            <v>INFUNDADO</v>
          </cell>
          <cell r="N64">
            <v>4090140017697</v>
          </cell>
        </row>
        <row r="65">
          <cell r="H65">
            <v>4090340018030</v>
          </cell>
          <cell r="I65" t="str">
            <v>RECURSO CON RESULTADO DE FONDO</v>
          </cell>
          <cell r="J65" t="str">
            <v>CARLA, VILCAPAZA AMARO</v>
          </cell>
          <cell r="K65" t="str">
            <v>TERESITA MILAGROS, QUEZADA VILLAR</v>
          </cell>
          <cell r="L65" t="str">
            <v>AJUSTE DE VALOR</v>
          </cell>
          <cell r="M65" t="str">
            <v>NULIDAD</v>
          </cell>
          <cell r="N65">
            <v>4090140017698</v>
          </cell>
        </row>
        <row r="66">
          <cell r="H66">
            <v>4090340017981</v>
          </cell>
          <cell r="I66" t="str">
            <v>RECURSO CON RESULTADO DE FONDO</v>
          </cell>
          <cell r="J66" t="str">
            <v>MARIA LOURDES, HURTADO CUSTODIO</v>
          </cell>
          <cell r="K66" t="str">
            <v>ALLISON ERIKA, CASTRO LAGOS</v>
          </cell>
          <cell r="L66" t="str">
            <v>AJUSTE DE VALOR</v>
          </cell>
          <cell r="M66" t="str">
            <v>INFUNDADO</v>
          </cell>
          <cell r="N66">
            <v>4090140017705</v>
          </cell>
        </row>
        <row r="67">
          <cell r="H67">
            <v>4090340017923</v>
          </cell>
          <cell r="I67" t="str">
            <v>RECURSO CON RESULTADO DE FONDO</v>
          </cell>
          <cell r="J67" t="str">
            <v>WILLIAN ARNALDO, GODOY ESCALANTE</v>
          </cell>
          <cell r="K67" t="str">
            <v>TERESITA MILAGROS, QUEZADA VILLAR</v>
          </cell>
          <cell r="L67" t="str">
            <v>AJUSTE DE VALOR</v>
          </cell>
          <cell r="M67" t="str">
            <v>INFUNDADO</v>
          </cell>
          <cell r="N67">
            <v>4090140017607</v>
          </cell>
        </row>
        <row r="68">
          <cell r="H68">
            <v>4090340017961</v>
          </cell>
          <cell r="I68" t="str">
            <v>RECURSO CON RESULTADO DE FONDO</v>
          </cell>
          <cell r="J68" t="str">
            <v>CELSO FELIX, SANCHEZ GARRIDO</v>
          </cell>
          <cell r="K68" t="str">
            <v>ALLISON ERIKA, CASTRO LAGOS</v>
          </cell>
          <cell r="L68" t="str">
            <v>AJUSTE DE VALOR</v>
          </cell>
          <cell r="M68" t="str">
            <v>NULIDAD</v>
          </cell>
          <cell r="N68">
            <v>4090140017581</v>
          </cell>
        </row>
        <row r="69">
          <cell r="H69">
            <v>4090340017957</v>
          </cell>
          <cell r="I69" t="str">
            <v>RECURSO CON RESULTADO DE FONDO</v>
          </cell>
          <cell r="J69" t="str">
            <v>AZHIR YUSSEF, SANDOVAL GUEVARA</v>
          </cell>
          <cell r="K69" t="str">
            <v>GLADYS ANGELITA, SANTILLAN VALDIVIA</v>
          </cell>
          <cell r="L69" t="str">
            <v>AJUSTE DE VALOR</v>
          </cell>
          <cell r="M69" t="str">
            <v>INFUNDADO</v>
          </cell>
          <cell r="N69">
            <v>4090140017638</v>
          </cell>
        </row>
        <row r="70">
          <cell r="H70">
            <v>4090340017955</v>
          </cell>
          <cell r="I70" t="str">
            <v>RECURSO CON RESULTADO DE FONDO</v>
          </cell>
          <cell r="J70" t="str">
            <v>WILLIAN ARNALDO, GODOY ESCALANTE</v>
          </cell>
          <cell r="K70" t="str">
            <v>TERESITA MILAGROS, QUEZADA VILLAR</v>
          </cell>
          <cell r="L70" t="str">
            <v>AJUSTE DE VALOR</v>
          </cell>
          <cell r="M70" t="str">
            <v>INFUNDADO</v>
          </cell>
          <cell r="N70">
            <v>4090140017608</v>
          </cell>
        </row>
        <row r="71">
          <cell r="H71">
            <v>4090340017953</v>
          </cell>
          <cell r="I71" t="str">
            <v>RECURSO CON RESULTADO DE FONDO</v>
          </cell>
          <cell r="J71" t="str">
            <v>JULIO RAMIRO, CASTAÑEDA CALDERON</v>
          </cell>
          <cell r="K71" t="str">
            <v>GLADYS ANGELITA, SANTILLAN VALDIVIA</v>
          </cell>
          <cell r="L71" t="str">
            <v>AJUSTE DE VALOR</v>
          </cell>
          <cell r="M71" t="str">
            <v>INFUNDADO</v>
          </cell>
          <cell r="N71">
            <v>4090140017610</v>
          </cell>
        </row>
        <row r="72">
          <cell r="H72">
            <v>4090340017952</v>
          </cell>
          <cell r="I72" t="str">
            <v>RECURSO CON RESULTADO DE FONDO</v>
          </cell>
          <cell r="J72" t="str">
            <v>CARLA, VILCAPAZA AMARO</v>
          </cell>
          <cell r="K72" t="str">
            <v>TERESITA MILAGROS, QUEZADA VILLAR</v>
          </cell>
          <cell r="L72" t="str">
            <v>AJUSTE DE VALOR</v>
          </cell>
          <cell r="M72" t="str">
            <v>NULIDAD</v>
          </cell>
          <cell r="N72">
            <v>4090140017699</v>
          </cell>
        </row>
        <row r="73">
          <cell r="H73">
            <v>4090340017950</v>
          </cell>
          <cell r="I73" t="str">
            <v>RECURSO CON RESULTADO DE FONDO</v>
          </cell>
          <cell r="J73" t="str">
            <v>MARIA LUISA, CHIRE TUNQUE</v>
          </cell>
          <cell r="K73" t="str">
            <v>TERESITA MILAGROS, QUEZADA VILLAR</v>
          </cell>
          <cell r="L73" t="str">
            <v>AJUSTE DE VALOR</v>
          </cell>
          <cell r="M73" t="str">
            <v>INFUNDADO</v>
          </cell>
          <cell r="N73">
            <v>4090140017619</v>
          </cell>
        </row>
        <row r="74">
          <cell r="H74">
            <v>4090340017949</v>
          </cell>
          <cell r="I74" t="str">
            <v>RECURSO CON RESULTADO DE FONDO</v>
          </cell>
          <cell r="J74" t="str">
            <v>JORGE LUIS, SANCHEZ TORRES</v>
          </cell>
          <cell r="K74" t="str">
            <v>GLADYS ANGELITA, SANTILLAN VALDIVIA</v>
          </cell>
          <cell r="L74" t="str">
            <v>AJUSTE DE VALOR</v>
          </cell>
          <cell r="M74" t="str">
            <v>INFUNDADO</v>
          </cell>
          <cell r="N74">
            <v>4090140017682</v>
          </cell>
        </row>
        <row r="75">
          <cell r="H75">
            <v>4090340017948</v>
          </cell>
          <cell r="I75" t="str">
            <v>RECURSO CON RESULTADO DE FONDO</v>
          </cell>
          <cell r="J75" t="str">
            <v>JORGE LUIS, SANCHEZ TORRES</v>
          </cell>
          <cell r="K75" t="str">
            <v>GLADYS ANGELITA, SANTILLAN VALDIVIA</v>
          </cell>
          <cell r="L75" t="str">
            <v>AJUSTE DE VALOR</v>
          </cell>
          <cell r="M75" t="str">
            <v>INFUNDADO</v>
          </cell>
          <cell r="N75">
            <v>4090140017621</v>
          </cell>
        </row>
        <row r="76">
          <cell r="H76">
            <v>4090340017945</v>
          </cell>
          <cell r="I76" t="str">
            <v>RECURSO CON RESULTADO DE FONDO</v>
          </cell>
          <cell r="J76" t="str">
            <v>MARCO ANTONIO, TREGEAR JIMENEZ</v>
          </cell>
          <cell r="K76" t="str">
            <v>GLADYS ANGELITA, SANTILLAN VALDIVIA</v>
          </cell>
          <cell r="L76" t="str">
            <v>AJUSTE DE VALOR</v>
          </cell>
          <cell r="M76" t="str">
            <v>INFUNDADO</v>
          </cell>
          <cell r="N76">
            <v>4090140017667</v>
          </cell>
        </row>
        <row r="77">
          <cell r="H77">
            <v>4090340017944</v>
          </cell>
          <cell r="I77" t="str">
            <v>RECURSO CON RESULTADO DE FONDO</v>
          </cell>
          <cell r="J77" t="str">
            <v>MARCO ANTONIO, TREGEAR JIMENEZ</v>
          </cell>
          <cell r="K77" t="str">
            <v>GLADYS ANGELITA, SANTILLAN VALDIVIA</v>
          </cell>
          <cell r="L77" t="str">
            <v>AJUSTE DE VALOR</v>
          </cell>
          <cell r="M77" t="str">
            <v>INFUNDADO</v>
          </cell>
          <cell r="N77">
            <v>4090140017644</v>
          </cell>
        </row>
        <row r="78">
          <cell r="H78">
            <v>4090340017904</v>
          </cell>
          <cell r="I78" t="str">
            <v>RECURSO CON RESULTADO DE FONDO</v>
          </cell>
          <cell r="J78" t="str">
            <v>AZHIR YUSSEF, SANDOVAL GUEVARA</v>
          </cell>
          <cell r="K78" t="str">
            <v>GLADYS ANGELITA, SANTILLAN VALDIVIA</v>
          </cell>
          <cell r="L78" t="str">
            <v>AJUSTE DE VALOR</v>
          </cell>
          <cell r="M78" t="str">
            <v>INFUNDADO</v>
          </cell>
          <cell r="N78">
            <v>4090140017640</v>
          </cell>
        </row>
        <row r="79">
          <cell r="H79">
            <v>4090340017898</v>
          </cell>
          <cell r="I79" t="str">
            <v>RECURSO CON RESULTADO DE FONDO</v>
          </cell>
          <cell r="J79" t="str">
            <v>CELSO FELIX, SANCHEZ GARRIDO</v>
          </cell>
          <cell r="K79" t="str">
            <v>ALLISON ERIKA, CASTRO LAGOS</v>
          </cell>
          <cell r="L79" t="str">
            <v>AJUSTE DE VALOR</v>
          </cell>
          <cell r="M79" t="str">
            <v>INFUNDADO</v>
          </cell>
          <cell r="N79">
            <v>4090140017518</v>
          </cell>
        </row>
        <row r="80">
          <cell r="H80">
            <v>4090340017917</v>
          </cell>
          <cell r="I80" t="str">
            <v>RECURSO CON RESULTADO DE FONDO</v>
          </cell>
          <cell r="J80" t="str">
            <v>CELSO FELIX, SANCHEZ GARRIDO</v>
          </cell>
          <cell r="K80" t="str">
            <v>ALLISON ERIKA, CASTRO LAGOS</v>
          </cell>
          <cell r="L80" t="str">
            <v>AJUSTE DE VALOR</v>
          </cell>
          <cell r="M80" t="str">
            <v>NULIDAD</v>
          </cell>
          <cell r="N80">
            <v>4090140017515</v>
          </cell>
        </row>
        <row r="81">
          <cell r="H81">
            <v>4090340018237</v>
          </cell>
          <cell r="I81" t="str">
            <v>RECURSO CON RESULTADO DE FONDO</v>
          </cell>
          <cell r="J81" t="str">
            <v>JORGE ENRIQUE, JARA YUPANQUI</v>
          </cell>
          <cell r="K81" t="str">
            <v>TERESITA MILAGROS, QUEZADA VILLAR</v>
          </cell>
          <cell r="L81" t="str">
            <v>AJUSTE DE VALOR</v>
          </cell>
          <cell r="M81" t="str">
            <v>INFUNDADO</v>
          </cell>
          <cell r="N81">
            <v>4090140017670</v>
          </cell>
        </row>
        <row r="82">
          <cell r="H82">
            <v>4090340017929</v>
          </cell>
          <cell r="I82" t="str">
            <v>RECURSO CON RESULTADO DE FONDO</v>
          </cell>
          <cell r="J82" t="str">
            <v>MARITZA, MOLLINEDO CATUNTA</v>
          </cell>
          <cell r="K82" t="str">
            <v>GLADYS ANGELITA, SANTILLAN VALDIVIA</v>
          </cell>
          <cell r="L82" t="str">
            <v>OTRAS DEVOLUCIONES</v>
          </cell>
          <cell r="M82" t="str">
            <v>INFUNDADO</v>
          </cell>
          <cell r="N82">
            <v>4090140017544</v>
          </cell>
        </row>
        <row r="83">
          <cell r="H83">
            <v>4090340017875</v>
          </cell>
          <cell r="I83" t="str">
            <v>RECURSO CON RESULTADO DE FONDO</v>
          </cell>
          <cell r="J83" t="str">
            <v>CELSO FELIX, SANCHEZ GARRIDO</v>
          </cell>
          <cell r="K83" t="str">
            <v>ALLISON ERIKA, CASTRO LAGOS</v>
          </cell>
          <cell r="L83" t="str">
            <v>AJUSTE DE VALOR</v>
          </cell>
          <cell r="M83" t="str">
            <v>INFUNDADO</v>
          </cell>
          <cell r="N83">
            <v>4090140017499</v>
          </cell>
        </row>
        <row r="84">
          <cell r="H84">
            <v>4090340017874</v>
          </cell>
          <cell r="I84" t="str">
            <v>RECURSO CON RESULTADO DE FONDO</v>
          </cell>
          <cell r="J84" t="str">
            <v>CELSO FELIX, SANCHEZ GARRIDO</v>
          </cell>
          <cell r="K84" t="str">
            <v>ALLISON ERIKA, CASTRO LAGOS</v>
          </cell>
          <cell r="L84" t="str">
            <v>AJUSTE DE VALOR</v>
          </cell>
          <cell r="M84" t="str">
            <v>INFUNDADO</v>
          </cell>
          <cell r="N84">
            <v>4090140017495</v>
          </cell>
        </row>
        <row r="85">
          <cell r="H85">
            <v>4090340017857</v>
          </cell>
          <cell r="I85" t="str">
            <v>RECURSO CON RESULTADO DE FONDO</v>
          </cell>
          <cell r="J85" t="str">
            <v>CELSO FELIX, SANCHEZ GARRIDO</v>
          </cell>
          <cell r="K85" t="str">
            <v>ALLISON ERIKA, CASTRO LAGOS</v>
          </cell>
          <cell r="L85" t="str">
            <v>AJUSTE DE VALOR</v>
          </cell>
          <cell r="M85" t="str">
            <v>INFUNDADO</v>
          </cell>
          <cell r="N85">
            <v>4090140017491</v>
          </cell>
        </row>
        <row r="86">
          <cell r="H86">
            <v>4090340017919</v>
          </cell>
          <cell r="I86" t="str">
            <v>RECURSO CON RESULTADO DE FONDO</v>
          </cell>
          <cell r="J86" t="str">
            <v>WILLIAN ARNALDO, GODOY ESCALANTE</v>
          </cell>
          <cell r="K86" t="str">
            <v>TERESITA MILAGROS, QUEZADA VILLAR</v>
          </cell>
          <cell r="L86" t="str">
            <v>AJUSTE DE VALOR</v>
          </cell>
          <cell r="M86" t="str">
            <v>INFUNDADO</v>
          </cell>
          <cell r="N86">
            <v>4090140017620</v>
          </cell>
        </row>
        <row r="87">
          <cell r="H87">
            <v>4090340017844</v>
          </cell>
          <cell r="I87" t="str">
            <v>RECURSO CON RESULTADO DE FONDO</v>
          </cell>
          <cell r="J87" t="str">
            <v>MARIA LUISA, CHIRE TUNQUE</v>
          </cell>
          <cell r="K87" t="str">
            <v>TERESITA MILAGROS, QUEZADA VILLAR</v>
          </cell>
          <cell r="L87" t="str">
            <v>DEVOLUCION AJUSTE DE VALOR</v>
          </cell>
          <cell r="M87" t="str">
            <v>INFUNDADO</v>
          </cell>
          <cell r="N87">
            <v>4090140017611</v>
          </cell>
        </row>
        <row r="88">
          <cell r="H88">
            <v>4090340017891</v>
          </cell>
          <cell r="I88" t="str">
            <v>RECURSO CON RESULTADO DE FONDO</v>
          </cell>
          <cell r="J88" t="str">
            <v>ANDRES EDUARDO, ANGULO FARFAN</v>
          </cell>
          <cell r="K88" t="str">
            <v>GLADYS ANGELITA, SANTILLAN VALDIVIA</v>
          </cell>
          <cell r="L88" t="str">
            <v>AJUSTE DE VALOR</v>
          </cell>
          <cell r="M88" t="str">
            <v>INFUNDADO</v>
          </cell>
          <cell r="N88">
            <v>4090140017601</v>
          </cell>
        </row>
        <row r="89">
          <cell r="H89">
            <v>4090340017877</v>
          </cell>
          <cell r="I89" t="str">
            <v>RECURSO CON RESULTADO DE FONDO</v>
          </cell>
          <cell r="J89" t="str">
            <v>CESAR VICTOR, LINARES ALCANTARA</v>
          </cell>
          <cell r="K89" t="str">
            <v>ALLISON ERIKA, CASTRO LAGOS</v>
          </cell>
          <cell r="L89" t="str">
            <v>AJUSTE DE VALOR</v>
          </cell>
          <cell r="M89" t="str">
            <v>INFUNDADO</v>
          </cell>
          <cell r="N89">
            <v>4090140017527</v>
          </cell>
        </row>
        <row r="90">
          <cell r="H90">
            <v>4090340017848</v>
          </cell>
          <cell r="I90" t="str">
            <v>RECURSO CON RESULTADO DE FONDO</v>
          </cell>
          <cell r="J90" t="str">
            <v>ANA MARIA, DIAZ JURADO</v>
          </cell>
          <cell r="K90" t="str">
            <v>ALLISON ERIKA, CASTRO LAGOS</v>
          </cell>
          <cell r="L90" t="str">
            <v>DEVOLUCION AJUSTE DE VALOR</v>
          </cell>
          <cell r="M90" t="str">
            <v>FUNDADO</v>
          </cell>
          <cell r="N90">
            <v>4090140017600</v>
          </cell>
        </row>
        <row r="91">
          <cell r="H91">
            <v>4090340017842</v>
          </cell>
          <cell r="I91" t="str">
            <v>RECURSO CON RESULTADO DE FONDO</v>
          </cell>
          <cell r="J91" t="str">
            <v>CESAR VICTOR, LINARES ALCANTARA</v>
          </cell>
          <cell r="K91" t="str">
            <v>ALLISON ERIKA, CASTRO LAGOS</v>
          </cell>
          <cell r="L91" t="str">
            <v>AJUSTE DE VALOR</v>
          </cell>
          <cell r="M91" t="str">
            <v>INFUNDADO</v>
          </cell>
          <cell r="N91">
            <v>4090140017528</v>
          </cell>
        </row>
        <row r="92">
          <cell r="H92">
            <v>4090340017841</v>
          </cell>
          <cell r="I92" t="str">
            <v>RECURSO CON RESULTADO DE FONDO</v>
          </cell>
          <cell r="J92" t="str">
            <v>CARLA, VILCAPAZA AMARO</v>
          </cell>
          <cell r="K92" t="str">
            <v>TERESITA MILAGROS, QUEZADA VILLAR</v>
          </cell>
          <cell r="L92" t="str">
            <v>AJUSTE DE VALOR</v>
          </cell>
          <cell r="M92" t="str">
            <v>INFUNDADO</v>
          </cell>
          <cell r="N92">
            <v>4090140017647</v>
          </cell>
        </row>
        <row r="93">
          <cell r="H93">
            <v>4090340017788</v>
          </cell>
          <cell r="I93" t="str">
            <v>RECURSO CON RESULTADO DE FONDO</v>
          </cell>
          <cell r="J93" t="str">
            <v>MARCO ANTONIO, TREGEAR JIMENEZ</v>
          </cell>
          <cell r="K93" t="str">
            <v>GLADYS ANGELITA, SANTILLAN VALDIVIA</v>
          </cell>
          <cell r="L93" t="str">
            <v>AJUSTE DE VALOR</v>
          </cell>
          <cell r="M93" t="str">
            <v>INFUNDADO</v>
          </cell>
          <cell r="N93">
            <v>4090140017486</v>
          </cell>
        </row>
        <row r="94">
          <cell r="H94">
            <v>4090340017821</v>
          </cell>
          <cell r="I94" t="str">
            <v>RECURSO CON RESULTADO DE FONDO</v>
          </cell>
          <cell r="J94" t="str">
            <v>ANDRES EDUARDO, ANGULO FARFAN</v>
          </cell>
          <cell r="K94" t="str">
            <v>GLADYS ANGELITA, SANTILLAN VALDIVIA</v>
          </cell>
          <cell r="L94" t="str">
            <v>AJUSTE DE VALOR</v>
          </cell>
          <cell r="M94" t="str">
            <v>INFUNDADO</v>
          </cell>
          <cell r="N94">
            <v>4090140017514</v>
          </cell>
        </row>
        <row r="95">
          <cell r="H95">
            <v>4090340017777</v>
          </cell>
          <cell r="I95" t="str">
            <v>RECURSO CON RESULTADO DE FONDO</v>
          </cell>
          <cell r="J95" t="str">
            <v>LUIS ALBERTO, CORDOVA MEZA</v>
          </cell>
          <cell r="K95" t="str">
            <v>GLADYS ANGELITA, SANTILLAN VALDIVIA</v>
          </cell>
          <cell r="L95" t="str">
            <v>AJUSTE DE VALOR</v>
          </cell>
          <cell r="M95" t="str">
            <v>INFUNDADO</v>
          </cell>
          <cell r="N95">
            <v>4090140017529</v>
          </cell>
        </row>
        <row r="96">
          <cell r="H96">
            <v>4090340017812</v>
          </cell>
          <cell r="I96" t="str">
            <v>RECURSO CON RESULTADO DE FONDO</v>
          </cell>
          <cell r="J96" t="str">
            <v>EDGAR FERNANDO, COSIO JARA</v>
          </cell>
          <cell r="K96" t="str">
            <v>ALLISON ERIKA, CASTRO LAGOS</v>
          </cell>
          <cell r="L96" t="str">
            <v>DEVOLUCION AJUSTE DE VALOR</v>
          </cell>
          <cell r="M96" t="str">
            <v>NULIDAD</v>
          </cell>
          <cell r="N96">
            <v>4090140017516</v>
          </cell>
        </row>
        <row r="97">
          <cell r="H97">
            <v>4090340017810</v>
          </cell>
          <cell r="I97" t="str">
            <v>RECURSO CON RESULTADO DE FONDO</v>
          </cell>
          <cell r="J97" t="str">
            <v>ANA MARIA, DIAZ JURADO</v>
          </cell>
          <cell r="K97" t="str">
            <v>ALLISON ERIKA, CASTRO LAGOS</v>
          </cell>
          <cell r="L97" t="str">
            <v>AJUSTE DE VALOR</v>
          </cell>
          <cell r="M97" t="str">
            <v>INFUNDADO</v>
          </cell>
          <cell r="N97">
            <v>4090140017476</v>
          </cell>
        </row>
        <row r="98">
          <cell r="H98">
            <v>4090340021655</v>
          </cell>
          <cell r="I98" t="str">
            <v>RECURSO CON RESULTADO DE FONDO</v>
          </cell>
          <cell r="J98" t="str">
            <v>CESAR VICTOR, LINARES ALCANTARA</v>
          </cell>
          <cell r="K98" t="str">
            <v>ALLISON ERIKA, CASTRO LAGOS</v>
          </cell>
          <cell r="L98" t="str">
            <v>AJUSTE DE VALOR</v>
          </cell>
          <cell r="M98" t="str">
            <v>INFUNDADO</v>
          </cell>
          <cell r="N98">
            <v>4090140017519</v>
          </cell>
        </row>
        <row r="99">
          <cell r="H99">
            <v>4090340017820</v>
          </cell>
          <cell r="I99" t="str">
            <v>RECURSO CON RESULTADO DE FONDO</v>
          </cell>
          <cell r="J99" t="str">
            <v>VICTORIA AGUSTINA, SANTA CRUZ MARTINEZ</v>
          </cell>
          <cell r="K99" t="str">
            <v>ALLISON ERIKA, CASTRO LAGOS</v>
          </cell>
          <cell r="L99" t="str">
            <v>AJUSTE DE VALOR</v>
          </cell>
          <cell r="M99" t="str">
            <v>INFUNDADO</v>
          </cell>
          <cell r="N99">
            <v>4090140017546</v>
          </cell>
        </row>
        <row r="100">
          <cell r="H100">
            <v>4090340017780</v>
          </cell>
          <cell r="I100" t="str">
            <v>RECURSO CON RESULTADO DE FONDO</v>
          </cell>
          <cell r="J100" t="str">
            <v>ZAIRA, CARBAJAL JARA</v>
          </cell>
          <cell r="K100" t="str">
            <v>TERESITA MILAGROS, QUEZADA VILLAR</v>
          </cell>
          <cell r="L100" t="str">
            <v>DEVOLUCION AJUSTE DE VALOR</v>
          </cell>
          <cell r="M100" t="str">
            <v>INFUNDADO</v>
          </cell>
          <cell r="N100">
            <v>4090140017513</v>
          </cell>
        </row>
        <row r="101">
          <cell r="H101">
            <v>4090340017774</v>
          </cell>
          <cell r="I101" t="str">
            <v>RECURSO CON RESULTADO DE FONDO</v>
          </cell>
          <cell r="J101" t="str">
            <v>ZAIRA, CARBAJAL JARA</v>
          </cell>
          <cell r="K101" t="str">
            <v>TERESITA MILAGROS, QUEZADA VILLAR</v>
          </cell>
          <cell r="L101" t="str">
            <v>AJUSTE DE VALOR</v>
          </cell>
          <cell r="M101" t="str">
            <v>FUNDADO</v>
          </cell>
          <cell r="N101">
            <v>4090140017507</v>
          </cell>
        </row>
        <row r="102">
          <cell r="H102">
            <v>4090340017773</v>
          </cell>
          <cell r="I102" t="str">
            <v>RECURSO CON RESULTADO DE FONDO</v>
          </cell>
          <cell r="J102" t="str">
            <v>JORGE LUIS, SANCHEZ TORRES</v>
          </cell>
          <cell r="K102" t="str">
            <v>GLADYS ANGELITA, SANTILLAN VALDIVIA</v>
          </cell>
          <cell r="L102" t="str">
            <v>AJUSTE DE VALOR</v>
          </cell>
          <cell r="M102" t="str">
            <v>INFUNDADO</v>
          </cell>
          <cell r="N102">
            <v>4090140017483</v>
          </cell>
        </row>
        <row r="103">
          <cell r="H103">
            <v>4090340017840</v>
          </cell>
          <cell r="I103" t="str">
            <v>RECURSO CON RESULTADO DE FONDO</v>
          </cell>
          <cell r="J103" t="str">
            <v>MARIA LUISA, CHIRE TUNQUE</v>
          </cell>
          <cell r="K103" t="str">
            <v>TERESITA MILAGROS, QUEZADA VILLAR</v>
          </cell>
          <cell r="L103" t="str">
            <v>AJUSTE DE VALOR</v>
          </cell>
          <cell r="M103" t="str">
            <v>INFUNDADO</v>
          </cell>
          <cell r="N103">
            <v>4090140017547</v>
          </cell>
        </row>
        <row r="104">
          <cell r="H104">
            <v>4090340017736</v>
          </cell>
          <cell r="I104" t="str">
            <v>RECURSO CON RESULTADO DE FONDO</v>
          </cell>
          <cell r="J104" t="str">
            <v>LUIS ALBERTO, CORDOVA MEZA</v>
          </cell>
          <cell r="K104" t="str">
            <v>GLADYS ANGELITA, SANTILLAN VALDIVIA</v>
          </cell>
          <cell r="L104" t="str">
            <v>AJUSTE DE VALOR</v>
          </cell>
          <cell r="M104" t="str">
            <v>INFUNDADO</v>
          </cell>
          <cell r="N104">
            <v>4090140017530</v>
          </cell>
        </row>
        <row r="105">
          <cell r="H105">
            <v>4090340017717</v>
          </cell>
          <cell r="I105" t="str">
            <v>RECURSO CON RESULTADO DE FONDO</v>
          </cell>
          <cell r="J105" t="str">
            <v>JORGE LUIS, SANCHEZ TORRES</v>
          </cell>
          <cell r="K105" t="str">
            <v>GLADYS ANGELITA, SANTILLAN VALDIVIA</v>
          </cell>
          <cell r="L105" t="str">
            <v>AJUSTE DE VALOR</v>
          </cell>
          <cell r="M105" t="str">
            <v>FUNDADO</v>
          </cell>
          <cell r="N105">
            <v>4090140017484</v>
          </cell>
        </row>
        <row r="106">
          <cell r="H106">
            <v>4090340017708</v>
          </cell>
          <cell r="I106" t="str">
            <v>RECURSO CON RESULTADO DE FONDO</v>
          </cell>
          <cell r="J106" t="str">
            <v>JORGE LUIS, SANCHEZ TORRES</v>
          </cell>
          <cell r="K106" t="str">
            <v>GLADYS ANGELITA, SANTILLAN VALDIVIA</v>
          </cell>
          <cell r="L106" t="str">
            <v>AJUSTE DE VALOR</v>
          </cell>
          <cell r="M106" t="str">
            <v>INFUNDADO</v>
          </cell>
          <cell r="N106">
            <v>4090140017485</v>
          </cell>
        </row>
        <row r="107">
          <cell r="H107">
            <v>4090340017742</v>
          </cell>
          <cell r="I107" t="str">
            <v>RECURSO CON RESULTADO DE FONDO</v>
          </cell>
          <cell r="J107" t="str">
            <v>VICTORIA AGUSTINA, SANTA CRUZ MARTINEZ</v>
          </cell>
          <cell r="K107" t="str">
            <v>ALLISON ERIKA, CASTRO LAGOS</v>
          </cell>
          <cell r="L107" t="str">
            <v>AJUSTE DE VALOR</v>
          </cell>
          <cell r="M107" t="str">
            <v>INFUNDADO</v>
          </cell>
          <cell r="N107">
            <v>4090140017522</v>
          </cell>
        </row>
        <row r="108">
          <cell r="H108">
            <v>4090340017747</v>
          </cell>
          <cell r="I108" t="str">
            <v>RECURSO CON RESULTADO DE FONDO</v>
          </cell>
          <cell r="J108" t="str">
            <v>ZAIRA, CARBAJAL JARA</v>
          </cell>
          <cell r="K108" t="str">
            <v>TERESITA MILAGROS, QUEZADA VILLAR</v>
          </cell>
          <cell r="L108" t="str">
            <v>AJUSTE DE VALOR</v>
          </cell>
          <cell r="M108" t="str">
            <v>INFUNDADO</v>
          </cell>
          <cell r="N108">
            <v>4090140017500</v>
          </cell>
        </row>
        <row r="109">
          <cell r="H109">
            <v>4090340017687</v>
          </cell>
          <cell r="I109" t="str">
            <v>RECURSO CON RESULTADO DE FONDO</v>
          </cell>
          <cell r="J109" t="str">
            <v>VICTORIA AGUSTINA, SANTA CRUZ MARTINEZ</v>
          </cell>
          <cell r="K109" t="str">
            <v>ALLISON ERIKA, CASTRO LAGOS</v>
          </cell>
          <cell r="L109" t="str">
            <v>DEVOLUCION AJUSTE DE VALOR</v>
          </cell>
          <cell r="M109" t="str">
            <v>INFUNDADO</v>
          </cell>
          <cell r="N109">
            <v>4090140017502</v>
          </cell>
        </row>
        <row r="110">
          <cell r="H110">
            <v>4090340017669</v>
          </cell>
          <cell r="I110" t="str">
            <v>RECURSO CON RESULTADO DE FONDO</v>
          </cell>
          <cell r="J110" t="str">
            <v>ZAIRA, CARBAJAL JARA</v>
          </cell>
          <cell r="K110" t="str">
            <v>TERESITA MILAGROS, QUEZADA VILLAR</v>
          </cell>
          <cell r="L110" t="str">
            <v>AJUSTE DE VALOR</v>
          </cell>
          <cell r="M110" t="str">
            <v>INFUNDADO</v>
          </cell>
          <cell r="N110">
            <v>4090140017482</v>
          </cell>
        </row>
        <row r="111">
          <cell r="H111">
            <v>4090340017690</v>
          </cell>
          <cell r="I111" t="str">
            <v>RECURSO CON RESULTADO DE FONDO</v>
          </cell>
          <cell r="J111" t="str">
            <v>ZAIRA, CARBAJAL JARA</v>
          </cell>
          <cell r="K111" t="str">
            <v>TERESITA MILAGROS, QUEZADA VILLAR</v>
          </cell>
          <cell r="L111" t="str">
            <v>AJUSTE DE VALOR</v>
          </cell>
          <cell r="M111" t="str">
            <v>INFUNDADO</v>
          </cell>
          <cell r="N111">
            <v>4090140017501</v>
          </cell>
        </row>
        <row r="112">
          <cell r="H112">
            <v>4090340017683</v>
          </cell>
          <cell r="I112" t="str">
            <v>RECURSO CON RESULTADO DE FONDO</v>
          </cell>
          <cell r="J112" t="str">
            <v>ZAIRA, CARBAJAL JARA</v>
          </cell>
          <cell r="K112" t="str">
            <v>TERESITA MILAGROS, QUEZADA VILLAR</v>
          </cell>
          <cell r="L112" t="str">
            <v>AJUSTE DE VALOR</v>
          </cell>
          <cell r="M112" t="str">
            <v>INFUNDADO</v>
          </cell>
          <cell r="N112">
            <v>4090140017494</v>
          </cell>
        </row>
        <row r="113">
          <cell r="H113">
            <v>4090340021707</v>
          </cell>
          <cell r="I113" t="str">
            <v>RECURSO EN ANÁLISIS DE FONDO</v>
          </cell>
          <cell r="J113" t="str">
            <v>HUGO ALBERTO, JIMENEZ SUCLLA</v>
          </cell>
          <cell r="K113" t="str">
            <v>TERESITA MILAGROS, QUEZADA VILLAR</v>
          </cell>
          <cell r="L113" t="str">
            <v>MULTA LGA</v>
          </cell>
          <cell r="M113" t="str">
            <v>INFUNDADO</v>
          </cell>
          <cell r="N113">
            <v>4090140017994</v>
          </cell>
        </row>
        <row r="114">
          <cell r="H114">
            <v>4090340018609</v>
          </cell>
          <cell r="I114" t="str">
            <v>RECURSO EN ANÁLISIS DE FONDO</v>
          </cell>
          <cell r="J114" t="str">
            <v>JAVIER GUSTAVO, OYARSE CRUZ</v>
          </cell>
          <cell r="K114" t="str">
            <v>TERESITA MILAGROS, QUEZADA VILLAR</v>
          </cell>
          <cell r="L114" t="str">
            <v>AJUSTE DE VALOR</v>
          </cell>
          <cell r="M114" t="str">
            <v>INFUNDADO</v>
          </cell>
          <cell r="N114">
            <v>4090140017919</v>
          </cell>
        </row>
        <row r="115">
          <cell r="H115">
            <v>4090340018642</v>
          </cell>
          <cell r="I115" t="str">
            <v>RECURSO EN ANÁLISIS DE FONDO</v>
          </cell>
          <cell r="J115" t="str">
            <v>JAVIER GUSTAVO, OYARSE CRUZ</v>
          </cell>
          <cell r="K115" t="str">
            <v>TERESITA MILAGROS, QUEZADA VILLAR</v>
          </cell>
          <cell r="L115" t="str">
            <v>AJUSTE DE VALOR</v>
          </cell>
          <cell r="M115" t="str">
            <v>INFUNDADO</v>
          </cell>
          <cell r="N115">
            <v>4090140017920</v>
          </cell>
        </row>
        <row r="116">
          <cell r="H116">
            <v>4090340022652</v>
          </cell>
          <cell r="I116" t="str">
            <v>RECURSO CON RESULTADO DE FONDO</v>
          </cell>
          <cell r="J116" t="str">
            <v>MARITZA, MOLLINEDO CATUNTA</v>
          </cell>
          <cell r="K116" t="str">
            <v>GLADYS ANGELITA, SANTILLAN VALDIVIA</v>
          </cell>
          <cell r="L116" t="str">
            <v>MULTA LGA</v>
          </cell>
          <cell r="M116" t="str">
            <v>NULIDAD</v>
          </cell>
          <cell r="N116">
            <v>4090140017684</v>
          </cell>
        </row>
        <row r="117">
          <cell r="H117">
            <v>4090340022065</v>
          </cell>
          <cell r="I117" t="str">
            <v>RECURSO CON RESULTADO DE FONDO</v>
          </cell>
          <cell r="J117" t="str">
            <v>CAROLINA MARCELA, CAVERO CARRION</v>
          </cell>
          <cell r="K117" t="str">
            <v>ALLISON ERIKA, CASTRO LAGOS</v>
          </cell>
          <cell r="L117" t="str">
            <v>DEVOLUCIONES - TPI</v>
          </cell>
          <cell r="M117" t="str">
            <v>NULIDAD</v>
          </cell>
          <cell r="N117">
            <v>4090140017580</v>
          </cell>
        </row>
        <row r="118">
          <cell r="H118">
            <v>4090340021996</v>
          </cell>
          <cell r="I118" t="str">
            <v>RECURSO CON RESULTADO DE FONDO</v>
          </cell>
          <cell r="J118" t="str">
            <v>CAROLINA MARCELA, CAVERO CARRION</v>
          </cell>
          <cell r="K118" t="str">
            <v>ALLISON ERIKA, CASTRO LAGOS</v>
          </cell>
          <cell r="L118" t="str">
            <v>DEVOLUCIONES - TPI</v>
          </cell>
          <cell r="M118" t="str">
            <v>FUNDADO</v>
          </cell>
          <cell r="N118">
            <v>4090140017645</v>
          </cell>
        </row>
        <row r="119">
          <cell r="H119">
            <v>4090340021711</v>
          </cell>
          <cell r="I119" t="str">
            <v>RECURSO CON RESULTADO DE FONDO</v>
          </cell>
          <cell r="J119" t="str">
            <v>HUGO ALBERTO, JIMENEZ SUCLLA</v>
          </cell>
          <cell r="K119" t="str">
            <v>TERESITA MILAGROS, QUEZADA VILLAR</v>
          </cell>
          <cell r="L119" t="str">
            <v>MULTA LGA</v>
          </cell>
          <cell r="M119" t="str">
            <v>INFUNDADO</v>
          </cell>
          <cell r="N119">
            <v>4090140017939</v>
          </cell>
        </row>
        <row r="120">
          <cell r="H120">
            <v>4090340021710</v>
          </cell>
          <cell r="I120" t="str">
            <v>RECURSO CON RESULTADO DE FONDO</v>
          </cell>
          <cell r="J120" t="str">
            <v>HUGO ALBERTO, JIMENEZ SUCLLA</v>
          </cell>
          <cell r="K120" t="str">
            <v>TERESITA MILAGROS, QUEZADA VILLAR</v>
          </cell>
          <cell r="L120" t="str">
            <v>MULTA LGA</v>
          </cell>
          <cell r="M120" t="str">
            <v>INFUNDADO</v>
          </cell>
          <cell r="N120">
            <v>4090140017955</v>
          </cell>
        </row>
        <row r="121">
          <cell r="H121">
            <v>4090340021708</v>
          </cell>
          <cell r="I121" t="str">
            <v>RECURSO CON RESULTADO DE FONDO</v>
          </cell>
          <cell r="J121" t="str">
            <v>HUGO ALBERTO, JIMENEZ SUCLLA</v>
          </cell>
          <cell r="K121" t="str">
            <v>TERESITA MILAGROS, QUEZADA VILLAR</v>
          </cell>
          <cell r="L121" t="str">
            <v>MULTA LGA</v>
          </cell>
          <cell r="M121" t="str">
            <v>INFUNDADO</v>
          </cell>
          <cell r="N121">
            <v>4090140017956</v>
          </cell>
        </row>
        <row r="122">
          <cell r="H122">
            <v>4090340021828</v>
          </cell>
          <cell r="I122" t="str">
            <v>RECURSO CON RESULTADO DE FONDO</v>
          </cell>
          <cell r="J122" t="str">
            <v>HUGO ALBERTO, JIMENEZ SUCLLA</v>
          </cell>
          <cell r="K122" t="str">
            <v>TERESITA MILAGROS, QUEZADA VILLAR</v>
          </cell>
          <cell r="L122" t="str">
            <v>MULTA LGA</v>
          </cell>
          <cell r="M122" t="str">
            <v>INFUNDADO</v>
          </cell>
          <cell r="N122">
            <v>4090140017860</v>
          </cell>
        </row>
        <row r="123">
          <cell r="H123">
            <v>4090340022225</v>
          </cell>
          <cell r="I123" t="str">
            <v>RECURSO CON RESULTADO DE FONDO</v>
          </cell>
          <cell r="J123" t="str">
            <v>HUGO ALBERTO, JIMENEZ SUCLLA</v>
          </cell>
          <cell r="K123" t="str">
            <v>TERESITA MILAGROS, QUEZADA VILLAR</v>
          </cell>
          <cell r="L123" t="str">
            <v>OTRAS SANCIONES_LEY_DELITOS_ADUANEROS</v>
          </cell>
          <cell r="M123" t="str">
            <v>INFUNDADO</v>
          </cell>
          <cell r="N123">
            <v>4090140017861</v>
          </cell>
        </row>
        <row r="124">
          <cell r="H124">
            <v>4090340021355</v>
          </cell>
          <cell r="I124" t="str">
            <v>RECURSO CON RESULTADO DE FONDO</v>
          </cell>
          <cell r="J124" t="str">
            <v>CELSO FELIX, SANCHEZ GARRIDO</v>
          </cell>
          <cell r="K124" t="str">
            <v>ALLISON ERIKA, CASTRO LAGOS</v>
          </cell>
          <cell r="L124" t="str">
            <v>DEVOLUCIONES - TPI</v>
          </cell>
          <cell r="M124" t="str">
            <v>INFUNDADO</v>
          </cell>
          <cell r="N124">
            <v>4090140017976</v>
          </cell>
        </row>
        <row r="125">
          <cell r="H125">
            <v>4090340021351</v>
          </cell>
          <cell r="I125" t="str">
            <v>RECURSO CON RESULTADO DE FONDO</v>
          </cell>
          <cell r="J125" t="str">
            <v>CELSO FELIX, SANCHEZ GARRIDO</v>
          </cell>
          <cell r="K125" t="str">
            <v>ALLISON ERIKA, CASTRO LAGOS</v>
          </cell>
          <cell r="L125" t="str">
            <v>DEVOLUCIONES - TPI</v>
          </cell>
          <cell r="M125" t="str">
            <v>INFUNDADO</v>
          </cell>
          <cell r="N125">
            <v>4090140017863</v>
          </cell>
        </row>
        <row r="126">
          <cell r="H126">
            <v>4090340021078</v>
          </cell>
          <cell r="I126" t="str">
            <v>RECURSO CON RESULTADO DE FONDO</v>
          </cell>
          <cell r="J126" t="str">
            <v>CELSO FELIX, SANCHEZ GARRIDO</v>
          </cell>
          <cell r="K126" t="str">
            <v>ALLISON ERIKA, CASTRO LAGOS</v>
          </cell>
          <cell r="L126" t="str">
            <v>DEVOLUCION AJUSTE DE VALOR</v>
          </cell>
          <cell r="M126" t="str">
            <v>FUNDADO EN PARTE</v>
          </cell>
          <cell r="N126">
            <v>4090140017888</v>
          </cell>
        </row>
        <row r="127">
          <cell r="H127">
            <v>4090340021076</v>
          </cell>
          <cell r="I127" t="str">
            <v>RECURSO CON RESULTADO DE FONDO</v>
          </cell>
          <cell r="J127" t="str">
            <v>CELSO FELIX, SANCHEZ GARRIDO</v>
          </cell>
          <cell r="K127" t="str">
            <v>ALLISON ERIKA, CASTRO LAGOS</v>
          </cell>
          <cell r="L127" t="str">
            <v>DEVOLUCIONES - TPI</v>
          </cell>
          <cell r="M127" t="str">
            <v>FUNDADO EN PARTE</v>
          </cell>
          <cell r="N127">
            <v>4090140017889</v>
          </cell>
        </row>
        <row r="128">
          <cell r="H128">
            <v>4090340021074</v>
          </cell>
          <cell r="I128" t="str">
            <v>RECURSO CON RESULTADO DE FONDO</v>
          </cell>
          <cell r="J128" t="str">
            <v>CELSO FELIX, SANCHEZ GARRIDO</v>
          </cell>
          <cell r="K128" t="str">
            <v>ALLISON ERIKA, CASTRO LAGOS</v>
          </cell>
          <cell r="L128" t="str">
            <v>DEVOLUCIONES - TPI</v>
          </cell>
          <cell r="M128" t="str">
            <v>FUNDADO EN PARTE</v>
          </cell>
          <cell r="N128">
            <v>4090140017818</v>
          </cell>
        </row>
        <row r="129">
          <cell r="H129">
            <v>4090340021021</v>
          </cell>
          <cell r="I129" t="str">
            <v>RECURSO CON RESULTADO DE FONDO</v>
          </cell>
          <cell r="J129" t="str">
            <v>MARITZA, MOLLINEDO CATUNTA</v>
          </cell>
          <cell r="K129" t="str">
            <v>GLADYS ANGELITA, SANTILLAN VALDIVIA</v>
          </cell>
          <cell r="L129" t="str">
            <v>DEVOLUCIONES - TPI</v>
          </cell>
          <cell r="M129" t="str">
            <v>INFUNDADO</v>
          </cell>
          <cell r="N129">
            <v>4090140017704</v>
          </cell>
        </row>
        <row r="130">
          <cell r="H130">
            <v>4090340021365</v>
          </cell>
          <cell r="I130" t="str">
            <v>RECURSO CON RESULTADO DE FONDO</v>
          </cell>
          <cell r="J130" t="str">
            <v>MARITZA, MOLLINEDO CATUNTA</v>
          </cell>
          <cell r="K130" t="str">
            <v>GLADYS ANGELITA, SANTILLAN VALDIVIA</v>
          </cell>
          <cell r="L130" t="str">
            <v>MULTA LGA</v>
          </cell>
          <cell r="M130" t="str">
            <v>INFUNDADO</v>
          </cell>
          <cell r="N130">
            <v>4090140017542</v>
          </cell>
        </row>
        <row r="131">
          <cell r="H131">
            <v>4090340020993</v>
          </cell>
          <cell r="I131" t="str">
            <v>RECURSO CON RESULTADO DE FONDO</v>
          </cell>
          <cell r="J131" t="str">
            <v>HUGO ALBERTO, JIMENEZ SUCLLA</v>
          </cell>
          <cell r="K131" t="str">
            <v>TERESITA MILAGROS, QUEZADA VILLAR</v>
          </cell>
          <cell r="L131" t="str">
            <v>OTRAS SANCIONES_LEY_DELITOS_ADUANEROS</v>
          </cell>
          <cell r="M131" t="str">
            <v>INFUNDADO</v>
          </cell>
          <cell r="N131">
            <v>4090140017862</v>
          </cell>
        </row>
        <row r="132">
          <cell r="H132">
            <v>4090340020924</v>
          </cell>
          <cell r="I132" t="str">
            <v>RECURSO CON RESULTADO DE FONDO</v>
          </cell>
          <cell r="J132" t="str">
            <v>MARITZA, MOLLINEDO CATUNTA</v>
          </cell>
          <cell r="K132" t="str">
            <v>GLADYS ANGELITA, SANTILLAN VALDIVIA</v>
          </cell>
          <cell r="L132" t="str">
            <v>OTRAS DEVOLUCIONES</v>
          </cell>
          <cell r="M132" t="str">
            <v>INFUNDADO</v>
          </cell>
          <cell r="N132">
            <v>4090140017540</v>
          </cell>
        </row>
        <row r="133">
          <cell r="H133">
            <v>4090340021026</v>
          </cell>
          <cell r="I133" t="str">
            <v>RECURSO CON RESULTADO DE FONDO</v>
          </cell>
          <cell r="J133" t="str">
            <v>HUGO ALBERTO, JIMENEZ SUCLLA</v>
          </cell>
          <cell r="K133" t="str">
            <v>TERESITA MILAGROS, QUEZADA VILLAR</v>
          </cell>
          <cell r="L133" t="str">
            <v>OTRAS SANCIONES_LEY_DELITOS_ADUANEROS</v>
          </cell>
          <cell r="M133" t="str">
            <v>INFUNDADO</v>
          </cell>
          <cell r="N133">
            <v>4090140017941</v>
          </cell>
        </row>
        <row r="134">
          <cell r="H134">
            <v>4090340021045</v>
          </cell>
          <cell r="I134" t="str">
            <v>RECURSO CON RESULTADO DE FONDO</v>
          </cell>
          <cell r="J134" t="str">
            <v>CAROLINA MARCELA, CAVERO CARRION</v>
          </cell>
          <cell r="K134" t="str">
            <v>ALLISON ERIKA, CASTRO LAGOS</v>
          </cell>
          <cell r="L134" t="str">
            <v>REEMBARQUE</v>
          </cell>
          <cell r="M134" t="str">
            <v>INFUNDADO</v>
          </cell>
          <cell r="N134">
            <v>4090140017858</v>
          </cell>
        </row>
        <row r="135">
          <cell r="H135">
            <v>4090340020598</v>
          </cell>
          <cell r="I135" t="str">
            <v>RECURSO CON RESULTADO DE FONDO</v>
          </cell>
          <cell r="J135" t="str">
            <v>CAROLINA MARCELA, CAVERO CARRION</v>
          </cell>
          <cell r="K135" t="str">
            <v>ALLISON ERIKA, CASTRO LAGOS</v>
          </cell>
          <cell r="L135" t="str">
            <v>REEMBARQUE</v>
          </cell>
          <cell r="M135" t="str">
            <v>INFUNDADO</v>
          </cell>
          <cell r="N135">
            <v>4090140017776</v>
          </cell>
        </row>
        <row r="136">
          <cell r="H136">
            <v>4090340020523</v>
          </cell>
          <cell r="I136" t="str">
            <v>RECURSO CON RESULTADO DE FONDO</v>
          </cell>
          <cell r="J136" t="str">
            <v>CAROLINA MARCELA, CAVERO CARRION</v>
          </cell>
          <cell r="K136" t="str">
            <v>ALLISON ERIKA, CASTRO LAGOS</v>
          </cell>
          <cell r="L136" t="str">
            <v>DEVOLUCIONES - TPI</v>
          </cell>
          <cell r="M136" t="str">
            <v>FUNDADO</v>
          </cell>
          <cell r="N136">
            <v>4090140017978</v>
          </cell>
        </row>
        <row r="137">
          <cell r="H137">
            <v>4090340020489</v>
          </cell>
          <cell r="I137" t="str">
            <v>RECURSO CON RESULTADO DE FONDO</v>
          </cell>
          <cell r="J137" t="str">
            <v>CAROLINA MARCELA, CAVERO CARRION</v>
          </cell>
          <cell r="K137" t="str">
            <v>ALLISON ERIKA, CASTRO LAGOS</v>
          </cell>
          <cell r="L137" t="str">
            <v>DEVOLUCIONES - TPI</v>
          </cell>
          <cell r="M137" t="str">
            <v>INFUNDADO</v>
          </cell>
          <cell r="N137">
            <v>4090140017959</v>
          </cell>
        </row>
        <row r="138">
          <cell r="H138">
            <v>4090340020300</v>
          </cell>
          <cell r="I138" t="str">
            <v>RECURSO CON RESULTADO DE FONDO</v>
          </cell>
          <cell r="J138" t="str">
            <v>CAROLINA MARCELA, CAVERO CARRION</v>
          </cell>
          <cell r="K138" t="str">
            <v>ALLISON ERIKA, CASTRO LAGOS</v>
          </cell>
          <cell r="L138" t="str">
            <v>MULTA LGA</v>
          </cell>
          <cell r="M138" t="str">
            <v>NULIDAD</v>
          </cell>
          <cell r="N138">
            <v>4090140017654</v>
          </cell>
        </row>
        <row r="139">
          <cell r="H139">
            <v>4090340020404</v>
          </cell>
          <cell r="I139" t="str">
            <v>RECURSO CON RESULTADO DE FONDO</v>
          </cell>
          <cell r="J139" t="str">
            <v>CAROLINA MARCELA, CAVERO CARRION</v>
          </cell>
          <cell r="K139" t="str">
            <v>ALLISON ERIKA, CASTRO LAGOS</v>
          </cell>
          <cell r="L139" t="str">
            <v>COMISO LGA</v>
          </cell>
          <cell r="M139" t="str">
            <v>INFUNDADO</v>
          </cell>
          <cell r="N139">
            <v>4090140017715</v>
          </cell>
        </row>
        <row r="140">
          <cell r="H140">
            <v>4090340020359</v>
          </cell>
          <cell r="I140" t="str">
            <v>RECURSO CON RESULTADO DE FONDO</v>
          </cell>
          <cell r="J140" t="str">
            <v>CAROLINA MARCELA, CAVERO CARRION</v>
          </cell>
          <cell r="K140" t="str">
            <v>ALLISON ERIKA, CASTRO LAGOS</v>
          </cell>
          <cell r="L140" t="str">
            <v>COMISO LGA</v>
          </cell>
          <cell r="M140" t="str">
            <v>INFUNDADO</v>
          </cell>
          <cell r="N140">
            <v>4090140017656</v>
          </cell>
        </row>
        <row r="141">
          <cell r="H141">
            <v>4090340020327</v>
          </cell>
          <cell r="I141" t="str">
            <v>RECURSO CON RESULTADO DE FONDO</v>
          </cell>
          <cell r="J141" t="str">
            <v>CAROLINA MARCELA, CAVERO CARRION</v>
          </cell>
          <cell r="K141" t="str">
            <v>ALLISON ERIKA, CASTRO LAGOS</v>
          </cell>
          <cell r="L141" t="str">
            <v>DEVOLUCIONES - TPI</v>
          </cell>
          <cell r="M141" t="str">
            <v>INFUNDADO</v>
          </cell>
          <cell r="N141">
            <v>4090140017979</v>
          </cell>
        </row>
        <row r="142">
          <cell r="H142">
            <v>4090340020323</v>
          </cell>
          <cell r="I142" t="str">
            <v>RECURSO CON RESULTADO DE FONDO</v>
          </cell>
          <cell r="J142" t="str">
            <v>CAROLINA MARCELA, CAVERO CARRION</v>
          </cell>
          <cell r="K142" t="str">
            <v>ALLISON ERIKA, CASTRO LAGOS</v>
          </cell>
          <cell r="L142" t="str">
            <v>DEVOLUCIONES - TPI</v>
          </cell>
          <cell r="M142" t="str">
            <v>INFUNDADO</v>
          </cell>
          <cell r="N142">
            <v>4090140017655</v>
          </cell>
        </row>
        <row r="143">
          <cell r="H143">
            <v>4090340018956</v>
          </cell>
          <cell r="I143" t="str">
            <v>RECURSO CON RESULTADO DE FONDO</v>
          </cell>
          <cell r="J143" t="str">
            <v>WILLIAN ARNALDO, GODOY ESCALANTE</v>
          </cell>
          <cell r="K143" t="str">
            <v>TERESITA MILAGROS, QUEZADA VILLAR</v>
          </cell>
          <cell r="L143" t="str">
            <v>AJUSTE DE VALOR</v>
          </cell>
          <cell r="M143" t="str">
            <v>INFUNDADO</v>
          </cell>
          <cell r="N143">
            <v>4090140018014</v>
          </cell>
        </row>
        <row r="144">
          <cell r="H144">
            <v>4090340018971</v>
          </cell>
          <cell r="I144" t="str">
            <v>RECURSO CON RESULTADO DE FONDO</v>
          </cell>
          <cell r="J144" t="str">
            <v>JORGE LUIS, SANCHEZ TORRES</v>
          </cell>
          <cell r="K144" t="str">
            <v>GLADYS ANGELITA, SANTILLAN VALDIVIA</v>
          </cell>
          <cell r="L144" t="str">
            <v>AJUSTE DE VALOR</v>
          </cell>
          <cell r="M144" t="str">
            <v>INFUNDADO</v>
          </cell>
          <cell r="N144">
            <v>4090140017843</v>
          </cell>
        </row>
        <row r="145">
          <cell r="H145">
            <v>4090340018908</v>
          </cell>
          <cell r="I145" t="str">
            <v>RECURSO CON RESULTADO DE FONDO</v>
          </cell>
          <cell r="J145" t="str">
            <v>JORGE ENRIQUE, JARA YUPANQUI</v>
          </cell>
          <cell r="K145" t="str">
            <v>TERESITA MILAGROS, QUEZADA VILLAR</v>
          </cell>
          <cell r="L145" t="str">
            <v>AJUSTE DE VALOR</v>
          </cell>
          <cell r="M145" t="str">
            <v>INFUNDADO</v>
          </cell>
          <cell r="N145">
            <v>4090140018075</v>
          </cell>
        </row>
        <row r="146">
          <cell r="H146">
            <v>4090340018946</v>
          </cell>
          <cell r="I146" t="str">
            <v>RECURSO CON RESULTADO DE FONDO</v>
          </cell>
          <cell r="J146" t="str">
            <v>HECTOR JESUS, CHAHUARA VIGO</v>
          </cell>
          <cell r="K146" t="str">
            <v>TERESITA MILAGROS, QUEZADA VILLAR</v>
          </cell>
          <cell r="L146" t="str">
            <v>AJUSTE DE VALOR</v>
          </cell>
          <cell r="M146" t="str">
            <v>INFUNDADO</v>
          </cell>
          <cell r="N146">
            <v>4090140017997</v>
          </cell>
        </row>
        <row r="147">
          <cell r="H147">
            <v>4090340018943</v>
          </cell>
          <cell r="I147" t="str">
            <v>RECURSO CON RESULTADO DE FONDO</v>
          </cell>
          <cell r="J147" t="str">
            <v>HECTOR JESUS, CHAHUARA VIGO</v>
          </cell>
          <cell r="K147" t="str">
            <v>TERESITA MILAGROS, QUEZADA VILLAR</v>
          </cell>
          <cell r="L147" t="str">
            <v>AJUSTE DE VALOR</v>
          </cell>
          <cell r="M147" t="str">
            <v>INFUNDADO</v>
          </cell>
          <cell r="N147">
            <v>4090140018013</v>
          </cell>
        </row>
        <row r="148">
          <cell r="H148">
            <v>4090340018941</v>
          </cell>
          <cell r="I148" t="str">
            <v>RECURSO CON RESULTADO DE FONDO</v>
          </cell>
          <cell r="J148" t="str">
            <v>ANDRES EDUARDO, ANGULO FARFAN</v>
          </cell>
          <cell r="K148" t="str">
            <v>GLADYS ANGELITA, SANTILLAN VALDIVIA</v>
          </cell>
          <cell r="L148" t="str">
            <v>AJUSTE DE VALOR</v>
          </cell>
          <cell r="M148" t="str">
            <v>INFUNDADO</v>
          </cell>
          <cell r="N148">
            <v>4090140017691</v>
          </cell>
        </row>
        <row r="149">
          <cell r="H149">
            <v>4090340018940</v>
          </cell>
          <cell r="I149" t="str">
            <v>RECURSO CON RESULTADO DE FONDO</v>
          </cell>
          <cell r="J149" t="str">
            <v>JORGE LUIS, SANCHEZ TORRES</v>
          </cell>
          <cell r="K149" t="str">
            <v>GLADYS ANGELITA, SANTILLAN VALDIVIA</v>
          </cell>
          <cell r="L149" t="str">
            <v>AJUSTE DE VALOR</v>
          </cell>
          <cell r="M149" t="str">
            <v>INFUNDADO</v>
          </cell>
          <cell r="N149">
            <v>4090140017975</v>
          </cell>
        </row>
        <row r="150">
          <cell r="H150">
            <v>4090340018917</v>
          </cell>
          <cell r="I150" t="str">
            <v>RECURSO CON RESULTADO DE FONDO</v>
          </cell>
          <cell r="J150" t="str">
            <v>MILAGROS, LOPEZ AUQUI</v>
          </cell>
          <cell r="K150" t="str">
            <v>GLADYS ANGELITA, SANTILLAN VALDIVIA</v>
          </cell>
          <cell r="L150" t="str">
            <v>AJUSTE DE VALOR</v>
          </cell>
          <cell r="M150" t="str">
            <v>INFUNDADO</v>
          </cell>
          <cell r="N150">
            <v>4090140017909</v>
          </cell>
        </row>
        <row r="151">
          <cell r="H151">
            <v>4090340018915</v>
          </cell>
          <cell r="I151" t="str">
            <v>RECURSO CON RESULTADO DE FONDO</v>
          </cell>
          <cell r="J151" t="str">
            <v>JULIO RAMIRO, CASTAÑEDA CALDERON</v>
          </cell>
          <cell r="K151" t="str">
            <v>GLADYS ANGELITA, SANTILLAN VALDIVIA</v>
          </cell>
          <cell r="L151" t="str">
            <v>AJUSTE DE VALOR</v>
          </cell>
          <cell r="M151" t="str">
            <v>INFUNDADO</v>
          </cell>
          <cell r="N151">
            <v>4090140017878</v>
          </cell>
        </row>
        <row r="152">
          <cell r="H152">
            <v>4090340018914</v>
          </cell>
          <cell r="I152" t="str">
            <v>RECURSO CON RESULTADO DE FONDO</v>
          </cell>
          <cell r="J152" t="str">
            <v>JORGE ENRIQUE, JARA YUPANQUI</v>
          </cell>
          <cell r="K152" t="str">
            <v>TERESITA MILAGROS, QUEZADA VILLAR</v>
          </cell>
          <cell r="L152" t="str">
            <v>AJUSTE DE VALOR</v>
          </cell>
          <cell r="M152" t="str">
            <v>INFUNDADO</v>
          </cell>
          <cell r="N152">
            <v>4090140018079</v>
          </cell>
        </row>
        <row r="153">
          <cell r="H153">
            <v>4090340018893</v>
          </cell>
          <cell r="I153" t="str">
            <v>RECURSO CON RESULTADO DE FONDO</v>
          </cell>
          <cell r="J153" t="str">
            <v>HECTOR JESUS, CHAHUARA VIGO</v>
          </cell>
          <cell r="K153" t="str">
            <v>TERESITA MILAGROS, QUEZADA VILLAR</v>
          </cell>
          <cell r="L153" t="str">
            <v>AJUSTE DE VALOR</v>
          </cell>
          <cell r="M153" t="str">
            <v>INFUNDADO</v>
          </cell>
          <cell r="N153">
            <v>4090140017854</v>
          </cell>
        </row>
        <row r="154">
          <cell r="H154">
            <v>4090340018904</v>
          </cell>
          <cell r="I154" t="str">
            <v>RECURSO CON RESULTADO DE FONDO</v>
          </cell>
          <cell r="J154" t="str">
            <v>VICTORIA AGUSTINA, SANTA CRUZ MARTINEZ</v>
          </cell>
          <cell r="K154" t="str">
            <v>ALLISON ERIKA, CASTRO LAGOS</v>
          </cell>
          <cell r="L154" t="str">
            <v>AJUSTE DE VALOR</v>
          </cell>
          <cell r="M154" t="str">
            <v>INFUNDADO</v>
          </cell>
          <cell r="N154">
            <v>4090140018021</v>
          </cell>
        </row>
        <row r="155">
          <cell r="H155">
            <v>4090340018921</v>
          </cell>
          <cell r="I155" t="str">
            <v>RECURSO CON RESULTADO DE FONDO</v>
          </cell>
          <cell r="J155" t="str">
            <v>HECTOR JESUS, CHAHUARA VIGO</v>
          </cell>
          <cell r="K155" t="str">
            <v>TERESITA MILAGROS, QUEZADA VILLAR</v>
          </cell>
          <cell r="L155" t="str">
            <v>AJUSTE DE VALOR</v>
          </cell>
          <cell r="M155" t="str">
            <v>INFUNDADO</v>
          </cell>
          <cell r="N155">
            <v>4090140017853</v>
          </cell>
        </row>
        <row r="156">
          <cell r="H156">
            <v>4090340018890</v>
          </cell>
          <cell r="I156" t="str">
            <v>RECURSO CON RESULTADO DE FONDO</v>
          </cell>
          <cell r="J156" t="str">
            <v>WILLIAN ARNALDO, GODOY ESCALANTE</v>
          </cell>
          <cell r="K156" t="str">
            <v>TERESITA MILAGROS, QUEZADA VILLAR</v>
          </cell>
          <cell r="L156" t="str">
            <v>AJUSTE DE VALOR</v>
          </cell>
          <cell r="M156" t="str">
            <v>INFUNDADO</v>
          </cell>
          <cell r="N156">
            <v>4090140018012</v>
          </cell>
        </row>
        <row r="157">
          <cell r="H157">
            <v>4090340018840</v>
          </cell>
          <cell r="I157" t="str">
            <v>RECURSO CON RESULTADO DE FONDO</v>
          </cell>
          <cell r="J157" t="str">
            <v>JORGE LUIS, SANCHEZ TORRES</v>
          </cell>
          <cell r="K157" t="str">
            <v>GLADYS ANGELITA, SANTILLAN VALDIVIA</v>
          </cell>
          <cell r="L157" t="str">
            <v>AJUSTE DE VALOR</v>
          </cell>
          <cell r="M157" t="str">
            <v>INFUNDADO</v>
          </cell>
          <cell r="N157">
            <v>4090140017836</v>
          </cell>
        </row>
        <row r="158">
          <cell r="H158">
            <v>4090340018887</v>
          </cell>
          <cell r="I158" t="str">
            <v>RECURSO CON RESULTADO DE FONDO</v>
          </cell>
          <cell r="J158" t="str">
            <v>LUIS ALBERTO, CORDOVA MEZA</v>
          </cell>
          <cell r="K158" t="str">
            <v>GLADYS ANGELITA, SANTILLAN VALDIVIA</v>
          </cell>
          <cell r="L158" t="str">
            <v>AJUSTE DE VALOR</v>
          </cell>
          <cell r="M158" t="str">
            <v>INFUNDADO</v>
          </cell>
          <cell r="N158">
            <v>4090140017877</v>
          </cell>
        </row>
        <row r="159">
          <cell r="H159">
            <v>4090340018886</v>
          </cell>
          <cell r="I159" t="str">
            <v>RECURSO CON RESULTADO DE FONDO</v>
          </cell>
          <cell r="J159" t="str">
            <v>EDGAR FERNANDO, COSIO JARA</v>
          </cell>
          <cell r="K159" t="str">
            <v>ALLISON ERIKA, CASTRO LAGOS</v>
          </cell>
          <cell r="L159" t="str">
            <v>AJUSTE DE VALOR</v>
          </cell>
          <cell r="M159" t="str">
            <v>INFUNDADO</v>
          </cell>
          <cell r="N159">
            <v>4090140018080</v>
          </cell>
        </row>
        <row r="160">
          <cell r="H160">
            <v>4090340018839</v>
          </cell>
          <cell r="I160" t="str">
            <v>RECURSO CON RESULTADO DE FONDO</v>
          </cell>
          <cell r="J160" t="str">
            <v>VICTORIA AGUSTINA, SANTA CRUZ MARTINEZ</v>
          </cell>
          <cell r="K160" t="str">
            <v>ALLISON ERIKA, CASTRO LAGOS</v>
          </cell>
          <cell r="L160" t="str">
            <v>AJUSTE DE VALOR</v>
          </cell>
          <cell r="M160" t="str">
            <v>INFUNDADO</v>
          </cell>
          <cell r="N160">
            <v>4090140017993</v>
          </cell>
        </row>
        <row r="161">
          <cell r="H161">
            <v>4090340018838</v>
          </cell>
          <cell r="I161" t="str">
            <v>RECURSO CON RESULTADO DE FONDO</v>
          </cell>
          <cell r="J161" t="str">
            <v>VICTORIA AGUSTINA, SANTA CRUZ MARTINEZ</v>
          </cell>
          <cell r="K161" t="str">
            <v>ALLISON ERIKA, CASTRO LAGOS</v>
          </cell>
          <cell r="L161" t="str">
            <v>AJUSTE DE VALOR</v>
          </cell>
          <cell r="M161" t="str">
            <v>INFUNDADO</v>
          </cell>
          <cell r="N161">
            <v>4090140017991</v>
          </cell>
        </row>
        <row r="162">
          <cell r="H162">
            <v>4090340018885</v>
          </cell>
          <cell r="I162" t="str">
            <v>RECURSO CON RESULTADO DE FONDO</v>
          </cell>
          <cell r="J162" t="str">
            <v>JAVIER GUSTAVO, OYARSE CRUZ</v>
          </cell>
          <cell r="K162" t="str">
            <v>TERESITA MILAGROS, QUEZADA VILLAR</v>
          </cell>
          <cell r="L162" t="str">
            <v>AJUSTE DE VALOR</v>
          </cell>
          <cell r="M162" t="str">
            <v>INFUNDADO</v>
          </cell>
          <cell r="N162">
            <v>4090140017930</v>
          </cell>
        </row>
        <row r="163">
          <cell r="H163">
            <v>4090340018837</v>
          </cell>
          <cell r="I163" t="str">
            <v>RECURSO CON RESULTADO DE FONDO</v>
          </cell>
          <cell r="J163" t="str">
            <v>VICTORIA AGUSTINA, SANTA CRUZ MARTINEZ</v>
          </cell>
          <cell r="K163" t="str">
            <v>ALLISON ERIKA, CASTRO LAGOS</v>
          </cell>
          <cell r="L163" t="str">
            <v>AJUSTE DE VALOR</v>
          </cell>
          <cell r="M163" t="str">
            <v>INFUNDADO</v>
          </cell>
          <cell r="N163">
            <v>4090140017990</v>
          </cell>
        </row>
        <row r="164">
          <cell r="H164">
            <v>4090340018883</v>
          </cell>
          <cell r="I164" t="str">
            <v>RECURSO CON RESULTADO DE FONDO</v>
          </cell>
          <cell r="J164" t="str">
            <v>AZHIR YUSSEF, SANDOVAL GUEVARA</v>
          </cell>
          <cell r="K164" t="str">
            <v>GLADYS ANGELITA, SANTILLAN VALDIVIA</v>
          </cell>
          <cell r="L164" t="str">
            <v>AJUSTE DE VALOR</v>
          </cell>
          <cell r="M164" t="str">
            <v>INFUNDADO</v>
          </cell>
          <cell r="N164">
            <v>4090140017777</v>
          </cell>
        </row>
        <row r="165">
          <cell r="H165">
            <v>4090340018882</v>
          </cell>
          <cell r="I165" t="str">
            <v>RECURSO CON RESULTADO DE FONDO</v>
          </cell>
          <cell r="J165" t="str">
            <v>MARCO ANTONIO, TREGEAR JIMENEZ</v>
          </cell>
          <cell r="K165" t="str">
            <v>GLADYS ANGELITA, SANTILLAN VALDIVIA</v>
          </cell>
          <cell r="L165" t="str">
            <v>AJUSTE DE VALOR</v>
          </cell>
          <cell r="M165" t="str">
            <v>INFUNDADO</v>
          </cell>
          <cell r="N165">
            <v>4090140017591</v>
          </cell>
        </row>
        <row r="166">
          <cell r="H166">
            <v>4090340018880</v>
          </cell>
          <cell r="I166" t="str">
            <v>RECURSO CON RESULTADO DE FONDO</v>
          </cell>
          <cell r="J166" t="str">
            <v>LYDIA CAROLINA, ARESTEGUI PEREYRA</v>
          </cell>
          <cell r="K166" t="str">
            <v>ALLISON ERIKA, CASTRO LAGOS</v>
          </cell>
          <cell r="L166" t="str">
            <v>AJUSTE DE VALOR</v>
          </cell>
          <cell r="M166" t="str">
            <v>INFUNDADO</v>
          </cell>
          <cell r="N166">
            <v>4090140017657</v>
          </cell>
        </row>
        <row r="167">
          <cell r="H167">
            <v>4090340018878</v>
          </cell>
          <cell r="I167" t="str">
            <v>RECURSO CON RESULTADO DE FONDO</v>
          </cell>
          <cell r="J167" t="str">
            <v>LYDIA CAROLINA, ARESTEGUI PEREYRA</v>
          </cell>
          <cell r="K167" t="str">
            <v>ALLISON ERIKA, CASTRO LAGOS</v>
          </cell>
          <cell r="L167" t="str">
            <v>AJUSTE DE VALOR</v>
          </cell>
          <cell r="M167" t="str">
            <v>INFUNDADO</v>
          </cell>
          <cell r="N167">
            <v>4090140017595</v>
          </cell>
        </row>
        <row r="168">
          <cell r="H168">
            <v>4090340018877</v>
          </cell>
          <cell r="I168" t="str">
            <v>RECURSO CON RESULTADO DE FONDO</v>
          </cell>
          <cell r="J168" t="str">
            <v>JAVIER GUSTAVO, OYARSE CRUZ</v>
          </cell>
          <cell r="K168" t="str">
            <v>TERESITA MILAGROS, QUEZADA VILLAR</v>
          </cell>
          <cell r="L168" t="str">
            <v>AJUSTE DE VALOR</v>
          </cell>
          <cell r="M168" t="str">
            <v>INFUNDADO</v>
          </cell>
          <cell r="N168">
            <v>4090140017927</v>
          </cell>
        </row>
        <row r="169">
          <cell r="H169">
            <v>4090340018874</v>
          </cell>
          <cell r="I169" t="str">
            <v>RECURSO CON RESULTADO DE FONDO</v>
          </cell>
          <cell r="J169" t="str">
            <v>JAVIER GUSTAVO, OYARSE CRUZ</v>
          </cell>
          <cell r="K169" t="str">
            <v>TERESITA MILAGROS, QUEZADA VILLAR</v>
          </cell>
          <cell r="L169" t="str">
            <v>AJUSTE DE VALOR</v>
          </cell>
          <cell r="M169" t="str">
            <v>INFUNDADO</v>
          </cell>
          <cell r="N169">
            <v>4090140017922</v>
          </cell>
        </row>
        <row r="170">
          <cell r="H170">
            <v>4090340018872</v>
          </cell>
          <cell r="I170" t="str">
            <v>RECURSO CON RESULTADO DE FONDO</v>
          </cell>
          <cell r="J170" t="str">
            <v>VICTORIA AGUSTINA, SANTA CRUZ MARTINEZ</v>
          </cell>
          <cell r="K170" t="str">
            <v>ALLISON ERIKA, CASTRO LAGOS</v>
          </cell>
          <cell r="L170" t="str">
            <v>AJUSTE DE VALOR</v>
          </cell>
          <cell r="M170" t="str">
            <v>INFUNDADO</v>
          </cell>
          <cell r="N170">
            <v>4090140017995</v>
          </cell>
        </row>
        <row r="171">
          <cell r="H171">
            <v>4090340018871</v>
          </cell>
          <cell r="I171" t="str">
            <v>RECURSO CON RESULTADO DE FONDO</v>
          </cell>
          <cell r="J171" t="str">
            <v>JAVIER GUSTAVO, OYARSE CRUZ</v>
          </cell>
          <cell r="K171" t="str">
            <v>TERESITA MILAGROS, QUEZADA VILLAR</v>
          </cell>
          <cell r="L171" t="str">
            <v>AJUSTE DE VALOR</v>
          </cell>
          <cell r="M171" t="str">
            <v>INFUNDADO</v>
          </cell>
          <cell r="N171">
            <v>4090140017921</v>
          </cell>
        </row>
        <row r="172">
          <cell r="H172">
            <v>4090340018868</v>
          </cell>
          <cell r="I172" t="str">
            <v>RECURSO CON RESULTADO DE FONDO</v>
          </cell>
          <cell r="J172" t="str">
            <v>HECTOR JESUS, CHAHUARA VIGO</v>
          </cell>
          <cell r="K172" t="str">
            <v>TERESITA MILAGROS, QUEZADA VILLAR</v>
          </cell>
          <cell r="L172" t="str">
            <v>AJUSTE DE VALOR</v>
          </cell>
          <cell r="M172" t="str">
            <v>INFUNDADO</v>
          </cell>
          <cell r="N172">
            <v>4090140018011</v>
          </cell>
        </row>
        <row r="173">
          <cell r="H173">
            <v>4090340018933</v>
          </cell>
          <cell r="I173" t="str">
            <v>RECURSO CON RESULTADO DE FONDO</v>
          </cell>
          <cell r="J173" t="str">
            <v>AZHIR YUSSEF, SANDOVAL GUEVARA</v>
          </cell>
          <cell r="K173" t="str">
            <v>GLADYS ANGELITA, SANTILLAN VALDIVIA</v>
          </cell>
          <cell r="L173" t="str">
            <v>AJUSTE DE VALOR</v>
          </cell>
          <cell r="M173" t="str">
            <v>INFUNDADO</v>
          </cell>
          <cell r="N173">
            <v>4090140017876</v>
          </cell>
        </row>
        <row r="174">
          <cell r="H174">
            <v>4090340018891</v>
          </cell>
          <cell r="I174" t="str">
            <v>RECURSO CON RESULTADO DE FONDO</v>
          </cell>
          <cell r="J174" t="str">
            <v>JORGE ENRIQUE, JARA YUPANQUI</v>
          </cell>
          <cell r="K174" t="str">
            <v>TERESITA MILAGROS, QUEZADA VILLAR</v>
          </cell>
          <cell r="L174" t="str">
            <v>AJUSTE DE VALOR</v>
          </cell>
          <cell r="M174" t="str">
            <v>INFUNDADO</v>
          </cell>
          <cell r="N174">
            <v>4090140018053</v>
          </cell>
        </row>
        <row r="175">
          <cell r="H175">
            <v>4090340018835</v>
          </cell>
          <cell r="I175" t="str">
            <v>RECURSO CON RESULTADO DE FONDO</v>
          </cell>
          <cell r="J175" t="str">
            <v>AZHIR YUSSEF, SANDOVAL GUEVARA</v>
          </cell>
          <cell r="K175" t="str">
            <v>GLADYS ANGELITA, SANTILLAN VALDIVIA</v>
          </cell>
          <cell r="L175" t="str">
            <v>DEVOLUCION AJUSTE DE VALOR</v>
          </cell>
          <cell r="M175" t="str">
            <v>INFUNDADO</v>
          </cell>
          <cell r="N175">
            <v>4090140017793</v>
          </cell>
        </row>
        <row r="176">
          <cell r="H176">
            <v>4090340018834</v>
          </cell>
          <cell r="I176" t="str">
            <v>RECURSO CON RESULTADO DE FONDO</v>
          </cell>
          <cell r="J176" t="str">
            <v>CESAR VICTOR, LINARES ALCANTARA</v>
          </cell>
          <cell r="K176" t="str">
            <v>ALLISON ERIKA, CASTRO LAGOS</v>
          </cell>
          <cell r="L176" t="str">
            <v>AJUSTE DE VALOR</v>
          </cell>
          <cell r="M176" t="str">
            <v>NULIDAD</v>
          </cell>
          <cell r="N176">
            <v>4090140018052</v>
          </cell>
        </row>
        <row r="177">
          <cell r="H177">
            <v>4090340018881</v>
          </cell>
          <cell r="I177" t="str">
            <v>RECURSO CON RESULTADO DE FONDO</v>
          </cell>
          <cell r="J177" t="str">
            <v>LUIS ALBERTO, CORDOVA MEZA</v>
          </cell>
          <cell r="K177" t="str">
            <v>GLADYS ANGELITA, SANTILLAN VALDIVIA</v>
          </cell>
          <cell r="L177" t="str">
            <v>AJUSTE DE VALOR</v>
          </cell>
          <cell r="M177" t="str">
            <v>INFUNDADO</v>
          </cell>
          <cell r="N177">
            <v>4090140017590</v>
          </cell>
        </row>
        <row r="178">
          <cell r="H178">
            <v>4090340018833</v>
          </cell>
          <cell r="I178" t="str">
            <v>RECURSO CON RESULTADO DE FONDO</v>
          </cell>
          <cell r="J178" t="str">
            <v>CESAR VICTOR, LINARES ALCANTARA</v>
          </cell>
          <cell r="K178" t="str">
            <v>ALLISON ERIKA, CASTRO LAGOS</v>
          </cell>
          <cell r="L178" t="str">
            <v>AJUSTE DE VALOR</v>
          </cell>
          <cell r="M178" t="str">
            <v>NULIDAD</v>
          </cell>
          <cell r="N178">
            <v>4090140018020</v>
          </cell>
        </row>
        <row r="179">
          <cell r="H179">
            <v>4090340018832</v>
          </cell>
          <cell r="I179" t="str">
            <v>RECURSO CON RESULTADO DE FONDO</v>
          </cell>
          <cell r="J179" t="str">
            <v>ALLISON ERIKA, CASTRO LAGOS</v>
          </cell>
          <cell r="K179" t="str">
            <v>ALLISON ERIKA, CASTRO LAGOS</v>
          </cell>
          <cell r="L179" t="str">
            <v>AJUSTE DE VALOR</v>
          </cell>
          <cell r="M179" t="str">
            <v>INFUNDADO</v>
          </cell>
          <cell r="N179">
            <v>4090140017778</v>
          </cell>
        </row>
        <row r="180">
          <cell r="H180">
            <v>4090340018870</v>
          </cell>
          <cell r="I180" t="str">
            <v>RECURSO CON RESULTADO DE FONDO</v>
          </cell>
          <cell r="J180" t="str">
            <v>MILAGROS, LOPEZ AUQUI</v>
          </cell>
          <cell r="K180" t="str">
            <v>GLADYS ANGELITA, SANTILLAN VALDIVIA</v>
          </cell>
          <cell r="L180" t="str">
            <v>AJUSTE DE VALOR</v>
          </cell>
          <cell r="M180" t="str">
            <v>INFUNDADO</v>
          </cell>
          <cell r="N180">
            <v>4090140017732</v>
          </cell>
        </row>
        <row r="181">
          <cell r="H181">
            <v>4090340018867</v>
          </cell>
          <cell r="I181" t="str">
            <v>RECURSO CON RESULTADO DE FONDO</v>
          </cell>
          <cell r="J181" t="str">
            <v>MILAGROS, LOPEZ AUQUI</v>
          </cell>
          <cell r="K181" t="str">
            <v>GLADYS ANGELITA, SANTILLAN VALDIVIA</v>
          </cell>
          <cell r="L181" t="str">
            <v>AJUSTE DE VALOR</v>
          </cell>
          <cell r="M181" t="str">
            <v>INFUNDADO</v>
          </cell>
          <cell r="N181">
            <v>4090140017733</v>
          </cell>
        </row>
        <row r="182">
          <cell r="H182">
            <v>4090340018865</v>
          </cell>
          <cell r="I182" t="str">
            <v>RECURSO CON RESULTADO DE FONDO</v>
          </cell>
          <cell r="J182" t="str">
            <v>MILAGROS, LOPEZ AUQUI</v>
          </cell>
          <cell r="K182" t="str">
            <v>GLADYS ANGELITA, SANTILLAN VALDIVIA</v>
          </cell>
          <cell r="L182" t="str">
            <v>AJUSTE DE VALOR</v>
          </cell>
          <cell r="M182" t="str">
            <v>INFUNDADO</v>
          </cell>
          <cell r="N182">
            <v>4090140017734</v>
          </cell>
        </row>
        <row r="183">
          <cell r="H183">
            <v>4090340018862</v>
          </cell>
          <cell r="I183" t="str">
            <v>RECURSO CON RESULTADO DE FONDO</v>
          </cell>
          <cell r="J183" t="str">
            <v>JULIO RAMIRO, CASTAÑEDA CALDERON</v>
          </cell>
          <cell r="K183" t="str">
            <v>GLADYS ANGELITA, SANTILLAN VALDIVIA</v>
          </cell>
          <cell r="L183" t="str">
            <v>AJUSTE DE VALOR</v>
          </cell>
          <cell r="M183" t="str">
            <v>INFUNDADO</v>
          </cell>
          <cell r="N183">
            <v>4090140017898</v>
          </cell>
        </row>
        <row r="184">
          <cell r="H184">
            <v>4090340018861</v>
          </cell>
          <cell r="I184" t="str">
            <v>RECURSO CON RESULTADO DE FONDO</v>
          </cell>
          <cell r="J184" t="str">
            <v>MILAGROS, LOPEZ AUQUI</v>
          </cell>
          <cell r="K184" t="str">
            <v>GLADYS ANGELITA, SANTILLAN VALDIVIA</v>
          </cell>
          <cell r="L184" t="str">
            <v>AJUSTE DE VALOR</v>
          </cell>
          <cell r="M184" t="str">
            <v>INFUNDADO</v>
          </cell>
          <cell r="N184">
            <v>4090140017910</v>
          </cell>
        </row>
        <row r="185">
          <cell r="H185">
            <v>4090340018857</v>
          </cell>
          <cell r="I185" t="str">
            <v>RECURSO CON RESULTADO DE FONDO</v>
          </cell>
          <cell r="J185" t="str">
            <v>MILAGROS, LOPEZ AUQUI</v>
          </cell>
          <cell r="K185" t="str">
            <v>GLADYS ANGELITA, SANTILLAN VALDIVIA</v>
          </cell>
          <cell r="L185" t="str">
            <v>AJUSTE DE VALOR</v>
          </cell>
          <cell r="M185" t="str">
            <v>INFUNDADO</v>
          </cell>
          <cell r="N185">
            <v>4090140017727</v>
          </cell>
        </row>
        <row r="186">
          <cell r="H186">
            <v>4090340018856</v>
          </cell>
          <cell r="I186" t="str">
            <v>RECURSO CON RESULTADO DE FONDO</v>
          </cell>
          <cell r="J186" t="str">
            <v>ANDRES EDUARDO, ANGULO FARFAN</v>
          </cell>
          <cell r="K186" t="str">
            <v>GLADYS ANGELITA, SANTILLAN VALDIVIA</v>
          </cell>
          <cell r="L186" t="str">
            <v>AJUSTE DE VALOR</v>
          </cell>
          <cell r="M186" t="str">
            <v>NULIDAD</v>
          </cell>
          <cell r="N186">
            <v>4090140017937</v>
          </cell>
        </row>
        <row r="187">
          <cell r="H187">
            <v>4090340018855</v>
          </cell>
          <cell r="I187" t="str">
            <v>RECURSO CON RESULTADO DE FONDO</v>
          </cell>
          <cell r="J187" t="str">
            <v>MILAGROS, LOPEZ AUQUI</v>
          </cell>
          <cell r="K187" t="str">
            <v>GLADYS ANGELITA, SANTILLAN VALDIVIA</v>
          </cell>
          <cell r="L187" t="str">
            <v>AJUSTE DE VALOR</v>
          </cell>
          <cell r="M187" t="str">
            <v>INFUNDADO</v>
          </cell>
          <cell r="N187">
            <v>4090140017723</v>
          </cell>
        </row>
        <row r="188">
          <cell r="H188">
            <v>4090340018854</v>
          </cell>
          <cell r="I188" t="str">
            <v>RECURSO CON RESULTADO DE FONDO</v>
          </cell>
          <cell r="J188" t="str">
            <v>ALLISON ERIKA, CASTRO LAGOS</v>
          </cell>
          <cell r="K188" t="str">
            <v>ALLISON ERIKA, CASTRO LAGOS</v>
          </cell>
          <cell r="L188" t="str">
            <v>AJUSTE DE VALOR</v>
          </cell>
          <cell r="M188" t="str">
            <v>INFUNDADO</v>
          </cell>
          <cell r="N188">
            <v>4090140017701</v>
          </cell>
        </row>
        <row r="189">
          <cell r="H189">
            <v>4090340018850</v>
          </cell>
          <cell r="I189" t="str">
            <v>RECURSO CON RESULTADO DE FONDO</v>
          </cell>
          <cell r="J189" t="str">
            <v>MILAGROS, LOPEZ AUQUI</v>
          </cell>
          <cell r="K189" t="str">
            <v>GLADYS ANGELITA, SANTILLAN VALDIVIA</v>
          </cell>
          <cell r="L189" t="str">
            <v>AJUSTE DE VALOR</v>
          </cell>
          <cell r="M189" t="str">
            <v>INFUNDADO</v>
          </cell>
          <cell r="N189">
            <v>4090140017875</v>
          </cell>
        </row>
        <row r="190">
          <cell r="H190">
            <v>4090340018844</v>
          </cell>
          <cell r="I190" t="str">
            <v>RECURSO CON RESULTADO DE FONDO</v>
          </cell>
          <cell r="J190" t="str">
            <v>AZHIR YUSSEF, SANDOVAL GUEVARA</v>
          </cell>
          <cell r="K190" t="str">
            <v>GLADYS ANGELITA, SANTILLAN VALDIVIA</v>
          </cell>
          <cell r="L190" t="str">
            <v>AJUSTE DE VALOR</v>
          </cell>
          <cell r="M190" t="str">
            <v>INFUNDADO</v>
          </cell>
          <cell r="N190">
            <v>4090140017794</v>
          </cell>
        </row>
        <row r="191">
          <cell r="H191">
            <v>4090340018831</v>
          </cell>
          <cell r="I191" t="str">
            <v>RECURSO CON RESULTADO DE FONDO</v>
          </cell>
          <cell r="J191" t="str">
            <v>CARLA, VILCAPAZA AMARO</v>
          </cell>
          <cell r="K191" t="str">
            <v>TERESITA MILAGROS, QUEZADA VILLAR</v>
          </cell>
          <cell r="L191" t="str">
            <v>AJUSTE DE VALOR</v>
          </cell>
          <cell r="M191" t="str">
            <v>INFUNDADO</v>
          </cell>
          <cell r="N191">
            <v>4090140018046</v>
          </cell>
        </row>
        <row r="192">
          <cell r="H192">
            <v>4090340018800</v>
          </cell>
          <cell r="I192" t="str">
            <v>RECURSO CON RESULTADO DE FONDO</v>
          </cell>
          <cell r="J192" t="str">
            <v>MILAGROS, LOPEZ AUQUI</v>
          </cell>
          <cell r="K192" t="str">
            <v>GLADYS ANGELITA, SANTILLAN VALDIVIA</v>
          </cell>
          <cell r="L192" t="str">
            <v>AJUSTE DE VALOR</v>
          </cell>
          <cell r="M192" t="str">
            <v>INFUNDADO</v>
          </cell>
          <cell r="N192">
            <v>4090140017722</v>
          </cell>
        </row>
        <row r="193">
          <cell r="H193">
            <v>4090340018793</v>
          </cell>
          <cell r="I193" t="str">
            <v>RECURSO CON RESULTADO DE FONDO</v>
          </cell>
          <cell r="J193" t="str">
            <v>MILAGROS, LOPEZ AUQUI</v>
          </cell>
          <cell r="K193" t="str">
            <v>GLADYS ANGELITA, SANTILLAN VALDIVIA</v>
          </cell>
          <cell r="L193" t="str">
            <v>AJUSTE DE VALOR</v>
          </cell>
          <cell r="M193" t="str">
            <v>INFUNDADO</v>
          </cell>
          <cell r="N193">
            <v>4090140017631</v>
          </cell>
        </row>
        <row r="194">
          <cell r="H194">
            <v>4090340018845</v>
          </cell>
          <cell r="I194" t="str">
            <v>RECURSO CON RESULTADO DE FONDO</v>
          </cell>
          <cell r="J194" t="str">
            <v>MILAGROS, LOPEZ AUQUI</v>
          </cell>
          <cell r="K194" t="str">
            <v>GLADYS ANGELITA, SANTILLAN VALDIVIA</v>
          </cell>
          <cell r="L194" t="str">
            <v>AJUSTE DE VALOR</v>
          </cell>
          <cell r="M194" t="str">
            <v>NULIDAD</v>
          </cell>
          <cell r="N194">
            <v>4090140018016</v>
          </cell>
        </row>
        <row r="195">
          <cell r="H195">
            <v>4090340018687</v>
          </cell>
          <cell r="I195" t="str">
            <v>RECURSO CON RESULTADO DE FONDO</v>
          </cell>
          <cell r="J195" t="str">
            <v>JULIO RAMIRO, CASTAÑEDA CALDERON</v>
          </cell>
          <cell r="K195" t="str">
            <v>GLADYS ANGELITA, SANTILLAN VALDIVIA</v>
          </cell>
          <cell r="L195" t="str">
            <v>AJUSTE DE VALOR</v>
          </cell>
          <cell r="M195" t="str">
            <v>INFUNDADO</v>
          </cell>
          <cell r="N195">
            <v>4090140017586</v>
          </cell>
        </row>
        <row r="196">
          <cell r="H196">
            <v>4090340018784</v>
          </cell>
          <cell r="I196" t="str">
            <v>RECURSO CON RESULTADO DE FONDO</v>
          </cell>
          <cell r="J196" t="str">
            <v>CARLA, VILCAPAZA AMARO</v>
          </cell>
          <cell r="K196" t="str">
            <v>TERESITA MILAGROS, QUEZADA VILLAR</v>
          </cell>
          <cell r="L196" t="str">
            <v>AJUSTE DE VALOR</v>
          </cell>
          <cell r="M196" t="str">
            <v>INFUNDADO</v>
          </cell>
          <cell r="N196">
            <v>4090140018040</v>
          </cell>
        </row>
        <row r="197">
          <cell r="H197">
            <v>4090340018738</v>
          </cell>
          <cell r="I197" t="str">
            <v>RECURSO CON RESULTADO DE FONDO</v>
          </cell>
          <cell r="J197" t="str">
            <v>CARLA, VILCAPAZA AMARO</v>
          </cell>
          <cell r="K197" t="str">
            <v>TERESITA MILAGROS, QUEZADA VILLAR</v>
          </cell>
          <cell r="L197" t="str">
            <v>AJUSTE DE VALOR</v>
          </cell>
          <cell r="M197" t="str">
            <v>INFUNDADO</v>
          </cell>
          <cell r="N197">
            <v>4090140018035</v>
          </cell>
        </row>
        <row r="198">
          <cell r="H198">
            <v>4090340018901</v>
          </cell>
          <cell r="I198" t="str">
            <v>RECURSO CON RESULTADO DE FONDO</v>
          </cell>
          <cell r="J198" t="str">
            <v>VICTORIA AGUSTINA, SANTA CRUZ MARTINEZ</v>
          </cell>
          <cell r="K198" t="str">
            <v>ALLISON ERIKA, CASTRO LAGOS</v>
          </cell>
          <cell r="L198" t="str">
            <v>AJUSTE DE VALOR</v>
          </cell>
          <cell r="M198" t="str">
            <v>INFUNDADO</v>
          </cell>
          <cell r="N198">
            <v>4090140018065</v>
          </cell>
        </row>
        <row r="199">
          <cell r="H199">
            <v>4090340018826</v>
          </cell>
          <cell r="I199" t="str">
            <v>RECURSO CON RESULTADO DE FONDO</v>
          </cell>
          <cell r="J199" t="str">
            <v>JULIO RAMIRO, CASTAÑEDA CALDERON</v>
          </cell>
          <cell r="K199" t="str">
            <v>GLADYS ANGELITA, SANTILLAN VALDIVIA</v>
          </cell>
          <cell r="L199" t="str">
            <v>AJUSTE DE VALOR</v>
          </cell>
          <cell r="M199" t="str">
            <v>FUNDADO</v>
          </cell>
          <cell r="N199">
            <v>4090140017779</v>
          </cell>
        </row>
        <row r="200">
          <cell r="H200">
            <v>4090340018825</v>
          </cell>
          <cell r="I200" t="str">
            <v>RECURSO CON RESULTADO DE FONDO</v>
          </cell>
          <cell r="J200" t="str">
            <v>JULIO RAMIRO, CASTAÑEDA CALDERON</v>
          </cell>
          <cell r="K200" t="str">
            <v>GLADYS ANGELITA, SANTILLAN VALDIVIA</v>
          </cell>
          <cell r="L200" t="str">
            <v>AJUSTE DE VALOR</v>
          </cell>
          <cell r="M200" t="str">
            <v>FUNDADO</v>
          </cell>
          <cell r="N200">
            <v>4090140017904</v>
          </cell>
        </row>
        <row r="201">
          <cell r="H201">
            <v>4090340018824</v>
          </cell>
          <cell r="I201" t="str">
            <v>RECURSO CON RESULTADO DE FONDO</v>
          </cell>
          <cell r="J201" t="str">
            <v>ANDRES EDUARDO, ANGULO FARFAN</v>
          </cell>
          <cell r="K201" t="str">
            <v>GLADYS ANGELITA, SANTILLAN VALDIVIA</v>
          </cell>
          <cell r="L201" t="str">
            <v>AJUSTE DE VALOR</v>
          </cell>
          <cell r="M201" t="str">
            <v>INFUNDADO</v>
          </cell>
          <cell r="N201">
            <v>4090140017735</v>
          </cell>
        </row>
        <row r="202">
          <cell r="H202">
            <v>4090340018823</v>
          </cell>
          <cell r="I202" t="str">
            <v>RECURSO CON RESULTADO DE FONDO</v>
          </cell>
          <cell r="J202" t="str">
            <v>JULIO RAMIRO, CASTAÑEDA CALDERON</v>
          </cell>
          <cell r="K202" t="str">
            <v>GLADYS ANGELITA, SANTILLAN VALDIVIA</v>
          </cell>
          <cell r="L202" t="str">
            <v>AJUSTE DE VALOR</v>
          </cell>
          <cell r="M202" t="str">
            <v>FUNDADO</v>
          </cell>
          <cell r="N202">
            <v>4090140017911</v>
          </cell>
        </row>
        <row r="203">
          <cell r="H203">
            <v>4090340018822</v>
          </cell>
          <cell r="I203" t="str">
            <v>RECURSO CON RESULTADO DE FONDO</v>
          </cell>
          <cell r="J203" t="str">
            <v>HECTOR JESUS, CHAHUARA VIGO</v>
          </cell>
          <cell r="K203" t="str">
            <v>TERESITA MILAGROS, QUEZADA VILLAR</v>
          </cell>
          <cell r="L203" t="str">
            <v>AJUSTE DE VALOR</v>
          </cell>
          <cell r="M203" t="str">
            <v>INFUNDADO</v>
          </cell>
          <cell r="N203">
            <v>4090140018050</v>
          </cell>
        </row>
        <row r="204">
          <cell r="H204">
            <v>4090340018819</v>
          </cell>
          <cell r="I204" t="str">
            <v>RECURSO CON RESULTADO DE FONDO</v>
          </cell>
          <cell r="J204" t="str">
            <v>JAVIER GUSTAVO, OYARSE CRUZ</v>
          </cell>
          <cell r="K204" t="str">
            <v>TERESITA MILAGROS, QUEZADA VILLAR</v>
          </cell>
          <cell r="L204" t="str">
            <v>AJUSTE DE VALOR</v>
          </cell>
          <cell r="M204" t="str">
            <v>INFUNDADO</v>
          </cell>
          <cell r="N204">
            <v>4090140017938</v>
          </cell>
        </row>
        <row r="205">
          <cell r="H205">
            <v>4090340018764</v>
          </cell>
          <cell r="I205" t="str">
            <v>RECURSO CON RESULTADO DE FONDO</v>
          </cell>
          <cell r="J205" t="str">
            <v>CARLA, VILCAPAZA AMARO</v>
          </cell>
          <cell r="K205" t="str">
            <v>TERESITA MILAGROS, QUEZADA VILLAR</v>
          </cell>
          <cell r="L205" t="str">
            <v>AJUSTE DE VALOR</v>
          </cell>
          <cell r="M205" t="str">
            <v>INFUNDADO</v>
          </cell>
          <cell r="N205">
            <v>4090140018036</v>
          </cell>
        </row>
        <row r="206">
          <cell r="H206">
            <v>4090340018809</v>
          </cell>
          <cell r="I206" t="str">
            <v>RECURSO CON RESULTADO DE FONDO</v>
          </cell>
          <cell r="J206" t="str">
            <v>JAVIER GUSTAVO, OYARSE CRUZ</v>
          </cell>
          <cell r="K206" t="str">
            <v>TERESITA MILAGROS, QUEZADA VILLAR</v>
          </cell>
          <cell r="L206" t="str">
            <v>AJUSTE DE VALOR</v>
          </cell>
          <cell r="M206" t="str">
            <v>INFUNDADO</v>
          </cell>
          <cell r="N206">
            <v>4090140017924</v>
          </cell>
        </row>
        <row r="207">
          <cell r="H207">
            <v>4090340018807</v>
          </cell>
          <cell r="I207" t="str">
            <v>RECURSO CON RESULTADO DE FONDO</v>
          </cell>
          <cell r="J207" t="str">
            <v>ALLISON ERIKA, CASTRO LAGOS</v>
          </cell>
          <cell r="K207" t="str">
            <v>ALLISON ERIKA, CASTRO LAGOS</v>
          </cell>
          <cell r="L207" t="str">
            <v>AJUSTE DE VALOR</v>
          </cell>
          <cell r="M207" t="str">
            <v>FUNDADO EN PARTE</v>
          </cell>
          <cell r="N207">
            <v>4090140017891</v>
          </cell>
        </row>
        <row r="208">
          <cell r="H208">
            <v>4090340018805</v>
          </cell>
          <cell r="I208" t="str">
            <v>RECURSO CON RESULTADO DE FONDO</v>
          </cell>
          <cell r="J208" t="str">
            <v>JAVIER GUSTAVO, OYARSE CRUZ</v>
          </cell>
          <cell r="K208" t="str">
            <v>TERESITA MILAGROS, QUEZADA VILLAR</v>
          </cell>
          <cell r="L208" t="str">
            <v>AJUSTE DE VALOR</v>
          </cell>
          <cell r="M208" t="str">
            <v>INFUNDADO</v>
          </cell>
          <cell r="N208">
            <v>4090140017926</v>
          </cell>
        </row>
        <row r="209">
          <cell r="H209">
            <v>4090340018801</v>
          </cell>
          <cell r="I209" t="str">
            <v>RECURSO CON RESULTADO DE FONDO</v>
          </cell>
          <cell r="J209" t="str">
            <v>ANDRES EDUARDO, ANGULO FARFAN</v>
          </cell>
          <cell r="K209" t="str">
            <v>GLADYS ANGELITA, SANTILLAN VALDIVIA</v>
          </cell>
          <cell r="L209" t="str">
            <v>AJUSTE DE VALOR</v>
          </cell>
          <cell r="M209" t="str">
            <v>NULIDAD</v>
          </cell>
          <cell r="N209">
            <v>4090140017746</v>
          </cell>
        </row>
        <row r="210">
          <cell r="H210">
            <v>4090340018696</v>
          </cell>
          <cell r="I210" t="str">
            <v>RECURSO CON RESULTADO DE FONDO</v>
          </cell>
          <cell r="J210" t="str">
            <v>AZHIR YUSSEF, SANDOVAL GUEVARA</v>
          </cell>
          <cell r="K210" t="str">
            <v>GLADYS ANGELITA, SANTILLAN VALDIVIA</v>
          </cell>
          <cell r="L210" t="str">
            <v>AJUSTE DE VALOR</v>
          </cell>
          <cell r="M210" t="str">
            <v>INFUNDADO</v>
          </cell>
          <cell r="N210">
            <v>4090140017800</v>
          </cell>
        </row>
        <row r="211">
          <cell r="H211">
            <v>4090340018695</v>
          </cell>
          <cell r="I211" t="str">
            <v>RECURSO CON RESULTADO DE FONDO</v>
          </cell>
          <cell r="J211" t="str">
            <v>AZHIR YUSSEF, SANDOVAL GUEVARA</v>
          </cell>
          <cell r="K211" t="str">
            <v>GLADYS ANGELITA, SANTILLAN VALDIVIA</v>
          </cell>
          <cell r="L211" t="str">
            <v>AJUSTE DE VALOR</v>
          </cell>
          <cell r="M211" t="str">
            <v>INFUNDADO</v>
          </cell>
          <cell r="N211">
            <v>4090140017802</v>
          </cell>
        </row>
        <row r="212">
          <cell r="H212">
            <v>4090340018694</v>
          </cell>
          <cell r="I212" t="str">
            <v>RECURSO CON RESULTADO DE FONDO</v>
          </cell>
          <cell r="J212" t="str">
            <v>AZHIR YUSSEF, SANDOVAL GUEVARA</v>
          </cell>
          <cell r="K212" t="str">
            <v>GLADYS ANGELITA, SANTILLAN VALDIVIA</v>
          </cell>
          <cell r="L212" t="str">
            <v>AJUSTE DE VALOR</v>
          </cell>
          <cell r="M212" t="str">
            <v>INFUNDADO</v>
          </cell>
          <cell r="N212">
            <v>4090140017803</v>
          </cell>
        </row>
        <row r="213">
          <cell r="H213">
            <v>4090340018748</v>
          </cell>
          <cell r="I213" t="str">
            <v>RECURSO CON RESULTADO DE FONDO</v>
          </cell>
          <cell r="J213" t="str">
            <v>CARLA, VILCAPAZA AMARO</v>
          </cell>
          <cell r="K213" t="str">
            <v>TERESITA MILAGROS, QUEZADA VILLAR</v>
          </cell>
          <cell r="L213" t="str">
            <v>AJUSTE DE VALOR</v>
          </cell>
          <cell r="M213" t="str">
            <v>INFUNDADO</v>
          </cell>
          <cell r="N213">
            <v>4090140018047</v>
          </cell>
        </row>
        <row r="214">
          <cell r="H214">
            <v>4090340018743</v>
          </cell>
          <cell r="I214" t="str">
            <v>RECURSO CON RESULTADO DE FONDO</v>
          </cell>
          <cell r="J214" t="str">
            <v>HECTOR JESUS, CHAHUARA VIGO</v>
          </cell>
          <cell r="K214" t="str">
            <v>TERESITA MILAGROS, QUEZADA VILLAR</v>
          </cell>
          <cell r="L214" t="str">
            <v>AJUSTE DE VALOR</v>
          </cell>
          <cell r="M214" t="str">
            <v>INFUNDADO</v>
          </cell>
          <cell r="N214">
            <v>4090140018023</v>
          </cell>
        </row>
        <row r="215">
          <cell r="H215">
            <v>4090340018739</v>
          </cell>
          <cell r="I215" t="str">
            <v>RECURSO CON RESULTADO DE FONDO</v>
          </cell>
          <cell r="J215" t="str">
            <v>JORGE LUIS, SANCHEZ TORRES</v>
          </cell>
          <cell r="K215" t="str">
            <v>GLADYS ANGELITA, SANTILLAN VALDIVIA</v>
          </cell>
          <cell r="L215" t="str">
            <v>AJUSTE DE VALOR</v>
          </cell>
          <cell r="M215" t="str">
            <v>INFUNDADO</v>
          </cell>
          <cell r="N215">
            <v>4090140017587</v>
          </cell>
        </row>
        <row r="216">
          <cell r="H216">
            <v>4090340018730</v>
          </cell>
          <cell r="I216" t="str">
            <v>RECURSO CON RESULTADO DE FONDO</v>
          </cell>
          <cell r="J216" t="str">
            <v>HECTOR JESUS, CHAHUARA VIGO</v>
          </cell>
          <cell r="K216" t="str">
            <v>TERESITA MILAGROS, QUEZADA VILLAR</v>
          </cell>
          <cell r="L216" t="str">
            <v>AJUSTE DE VALOR</v>
          </cell>
          <cell r="M216" t="str">
            <v>INFUNDADO</v>
          </cell>
          <cell r="N216">
            <v>4090140017954</v>
          </cell>
        </row>
        <row r="217">
          <cell r="H217">
            <v>4090340018777</v>
          </cell>
          <cell r="I217" t="str">
            <v>RECURSO CON RESULTADO DE FONDO</v>
          </cell>
          <cell r="J217" t="str">
            <v>JAVIER GUSTAVO, OYARSE CRUZ</v>
          </cell>
          <cell r="K217" t="str">
            <v>TERESITA MILAGROS, QUEZADA VILLAR</v>
          </cell>
          <cell r="L217" t="str">
            <v>AJUSTE DE VALOR</v>
          </cell>
          <cell r="M217" t="str">
            <v>INFUNDADO</v>
          </cell>
          <cell r="N217">
            <v>4090140018019</v>
          </cell>
        </row>
        <row r="218">
          <cell r="H218">
            <v>4090340018788</v>
          </cell>
          <cell r="I218" t="str">
            <v>RECURSO CON RESULTADO DE FONDO</v>
          </cell>
          <cell r="J218" t="str">
            <v>JULIO RAMIRO, CASTAÑEDA CALDERON</v>
          </cell>
          <cell r="K218" t="str">
            <v>GLADYS ANGELITA, SANTILLAN VALDIVIA</v>
          </cell>
          <cell r="L218" t="str">
            <v>AJUSTE DE VALOR</v>
          </cell>
          <cell r="M218" t="str">
            <v>INFUNDADO</v>
          </cell>
          <cell r="N218" t="str">
            <v>-</v>
          </cell>
        </row>
        <row r="219">
          <cell r="H219">
            <v>4090340019206</v>
          </cell>
          <cell r="I219" t="str">
            <v>RECURSO CON RESULTADO DE FONDO</v>
          </cell>
          <cell r="J219" t="str">
            <v>VICTORIA AGUSTINA, SANTA CRUZ MARTINEZ</v>
          </cell>
          <cell r="K219" t="str">
            <v>ALLISON ERIKA, CASTRO LAGOS</v>
          </cell>
          <cell r="L219" t="str">
            <v>AJUSTE DE VALOR</v>
          </cell>
          <cell r="M219" t="str">
            <v>INFUNDADO</v>
          </cell>
          <cell r="N219">
            <v>4090140018066</v>
          </cell>
        </row>
        <row r="220">
          <cell r="H220">
            <v>4090340018753</v>
          </cell>
          <cell r="I220" t="str">
            <v>RECURSO CON RESULTADO DE FONDO</v>
          </cell>
          <cell r="J220" t="str">
            <v>ANDRES EDUARDO, ANGULO FARFAN</v>
          </cell>
          <cell r="K220" t="str">
            <v>GLADYS ANGELITA, SANTILLAN VALDIVIA</v>
          </cell>
          <cell r="L220" t="str">
            <v>AJUSTE DE VALOR</v>
          </cell>
          <cell r="M220" t="str">
            <v>INFUNDADO</v>
          </cell>
          <cell r="N220">
            <v>4090140017736</v>
          </cell>
        </row>
        <row r="221">
          <cell r="H221">
            <v>4090340018693</v>
          </cell>
          <cell r="I221" t="str">
            <v>RECURSO CON RESULTADO DE FONDO</v>
          </cell>
          <cell r="J221" t="str">
            <v>HECTOR JESUS, CHAHUARA VIGO</v>
          </cell>
          <cell r="K221" t="str">
            <v>TERESITA MILAGROS, QUEZADA VILLAR</v>
          </cell>
          <cell r="L221" t="str">
            <v>AJUSTE DE VALOR</v>
          </cell>
          <cell r="M221" t="str">
            <v>INFUNDADO</v>
          </cell>
          <cell r="N221">
            <v>4090140017852</v>
          </cell>
        </row>
        <row r="222">
          <cell r="H222">
            <v>4090340018691</v>
          </cell>
          <cell r="I222" t="str">
            <v>RECURSO CON RESULTADO DE FONDO</v>
          </cell>
          <cell r="J222" t="str">
            <v>ANDRES EDUARDO, ANGULO FARFAN</v>
          </cell>
          <cell r="K222" t="str">
            <v>GLADYS ANGELITA, SANTILLAN VALDIVIA</v>
          </cell>
          <cell r="L222" t="str">
            <v>AJUSTE DE VALOR</v>
          </cell>
          <cell r="M222" t="str">
            <v>NULIDAD</v>
          </cell>
          <cell r="N222">
            <v>4090140018064</v>
          </cell>
        </row>
        <row r="223">
          <cell r="H223">
            <v>4090340018749</v>
          </cell>
          <cell r="I223" t="str">
            <v>RECURSO CON RESULTADO DE FONDO</v>
          </cell>
          <cell r="J223" t="str">
            <v>EDGAR FERNANDO, COSIO JARA</v>
          </cell>
          <cell r="K223" t="str">
            <v>ALLISON ERIKA, CASTRO LAGOS</v>
          </cell>
          <cell r="L223" t="str">
            <v>AJUSTE DE VALOR</v>
          </cell>
          <cell r="M223" t="str">
            <v>INFUNDADO</v>
          </cell>
          <cell r="N223">
            <v>4090140017880</v>
          </cell>
        </row>
        <row r="224">
          <cell r="H224">
            <v>4090340018688</v>
          </cell>
          <cell r="I224" t="str">
            <v>RECURSO CON RESULTADO DE FONDO</v>
          </cell>
          <cell r="J224" t="str">
            <v>ANDRES EDUARDO, ANGULO FARFAN</v>
          </cell>
          <cell r="K224" t="str">
            <v>GLADYS ANGELITA, SANTILLAN VALDIVIA</v>
          </cell>
          <cell r="L224" t="str">
            <v>AJUSTE DE VALOR</v>
          </cell>
          <cell r="M224" t="str">
            <v>INFUNDADO</v>
          </cell>
          <cell r="N224">
            <v>4090140018030</v>
          </cell>
        </row>
        <row r="225">
          <cell r="H225">
            <v>4090340018741</v>
          </cell>
          <cell r="I225" t="str">
            <v>RECURSO CON RESULTADO DE FONDO</v>
          </cell>
          <cell r="J225" t="str">
            <v>HECTOR JESUS, CHAHUARA VIGO</v>
          </cell>
          <cell r="K225" t="str">
            <v>TERESITA MILAGROS, QUEZADA VILLAR</v>
          </cell>
          <cell r="L225" t="str">
            <v>AJUSTE DE VALOR</v>
          </cell>
          <cell r="M225" t="str">
            <v>INFUNDADO</v>
          </cell>
          <cell r="N225">
            <v>4090140017983</v>
          </cell>
        </row>
        <row r="226">
          <cell r="H226">
            <v>4090340018740</v>
          </cell>
          <cell r="I226" t="str">
            <v>RECURSO CON RESULTADO DE FONDO</v>
          </cell>
          <cell r="J226" t="str">
            <v>HECTOR JESUS, CHAHUARA VIGO</v>
          </cell>
          <cell r="K226" t="str">
            <v>TERESITA MILAGROS, QUEZADA VILLAR</v>
          </cell>
          <cell r="L226" t="str">
            <v>AJUSTE DE VALOR</v>
          </cell>
          <cell r="M226" t="str">
            <v>NULIDAD</v>
          </cell>
          <cell r="N226">
            <v>4090140017974</v>
          </cell>
        </row>
        <row r="227">
          <cell r="H227">
            <v>4090340018737</v>
          </cell>
          <cell r="I227" t="str">
            <v>RECURSO CON RESULTADO DE FONDO</v>
          </cell>
          <cell r="J227" t="str">
            <v>ANA MARIA, DIAZ JURADO</v>
          </cell>
          <cell r="K227" t="str">
            <v>ALLISON ERIKA, CASTRO LAGOS</v>
          </cell>
          <cell r="L227" t="str">
            <v>AJUSTE DE VALOR</v>
          </cell>
          <cell r="M227" t="str">
            <v>NULIDAD</v>
          </cell>
          <cell r="N227">
            <v>4090140017855</v>
          </cell>
        </row>
        <row r="228">
          <cell r="H228">
            <v>4090340018781</v>
          </cell>
          <cell r="I228" t="str">
            <v>RECURSO CON RESULTADO DE FONDO</v>
          </cell>
          <cell r="J228" t="str">
            <v>MILAGROS, LOPEZ AUQUI</v>
          </cell>
          <cell r="K228" t="str">
            <v>GLADYS ANGELITA, SANTILLAN VALDIVIA</v>
          </cell>
          <cell r="L228" t="str">
            <v>AJUSTE DE VALOR</v>
          </cell>
          <cell r="M228" t="str">
            <v>INFUNDADO</v>
          </cell>
          <cell r="N228">
            <v>4090140017632</v>
          </cell>
        </row>
        <row r="229">
          <cell r="H229">
            <v>4090340018735</v>
          </cell>
          <cell r="I229" t="str">
            <v>RECURSO CON RESULTADO DE FONDO</v>
          </cell>
          <cell r="J229" t="str">
            <v>ANA MARIA, DIAZ JURADO</v>
          </cell>
          <cell r="K229" t="str">
            <v>ALLISON ERIKA, CASTRO LAGOS</v>
          </cell>
          <cell r="L229" t="str">
            <v>AJUSTE DE VALOR</v>
          </cell>
          <cell r="M229" t="str">
            <v>NULIDAD</v>
          </cell>
          <cell r="N229">
            <v>4090140017881</v>
          </cell>
        </row>
        <row r="230">
          <cell r="H230">
            <v>4090340018779</v>
          </cell>
          <cell r="I230" t="str">
            <v>RECURSO CON RESULTADO DE FONDO</v>
          </cell>
          <cell r="J230" t="str">
            <v>HECTOR JESUS, CHAHUARA VIGO</v>
          </cell>
          <cell r="K230" t="str">
            <v>TERESITA MILAGROS, QUEZADA VILLAR</v>
          </cell>
          <cell r="L230" t="str">
            <v>AJUSTE DE VALOR</v>
          </cell>
          <cell r="M230" t="str">
            <v>INFUNDADO</v>
          </cell>
          <cell r="N230">
            <v>4090140017988</v>
          </cell>
        </row>
        <row r="231">
          <cell r="H231">
            <v>4090340018734</v>
          </cell>
          <cell r="I231" t="str">
            <v>RECURSO CON RESULTADO DE FONDO</v>
          </cell>
          <cell r="J231" t="str">
            <v>ANA MARIA, DIAZ JURADO</v>
          </cell>
          <cell r="K231" t="str">
            <v>ALLISON ERIKA, CASTRO LAGOS</v>
          </cell>
          <cell r="L231" t="str">
            <v>AJUSTE DE VALOR</v>
          </cell>
          <cell r="M231" t="str">
            <v>NULIDAD</v>
          </cell>
          <cell r="N231">
            <v>4090140017857</v>
          </cell>
        </row>
        <row r="232">
          <cell r="H232">
            <v>4090340018725</v>
          </cell>
          <cell r="I232" t="str">
            <v>RECURSO CON RESULTADO DE FONDO</v>
          </cell>
          <cell r="J232" t="str">
            <v>HECTOR JESUS, CHAHUARA VIGO</v>
          </cell>
          <cell r="K232" t="str">
            <v>TERESITA MILAGROS, QUEZADA VILLAR</v>
          </cell>
          <cell r="L232" t="str">
            <v>AJUSTE DE VALOR</v>
          </cell>
          <cell r="M232" t="str">
            <v>INFUNDADO</v>
          </cell>
          <cell r="N232">
            <v>4090140018024</v>
          </cell>
        </row>
        <row r="233">
          <cell r="H233">
            <v>4090340018724</v>
          </cell>
          <cell r="I233" t="str">
            <v>RECURSO CON RESULTADO DE FONDO</v>
          </cell>
          <cell r="J233" t="str">
            <v>CARLA, VILCAPAZA AMARO</v>
          </cell>
          <cell r="K233" t="str">
            <v>TERESITA MILAGROS, QUEZADA VILLAR</v>
          </cell>
          <cell r="L233" t="str">
            <v>AJUSTE DE VALOR</v>
          </cell>
          <cell r="M233" t="str">
            <v>INFUNDADO</v>
          </cell>
          <cell r="N233">
            <v>4090140018048</v>
          </cell>
        </row>
        <row r="234">
          <cell r="H234">
            <v>4090340018723</v>
          </cell>
          <cell r="I234" t="str">
            <v>RECURSO CON RESULTADO DE FONDO</v>
          </cell>
          <cell r="J234" t="str">
            <v>LUIS ALBERTO, CORDOVA MEZA</v>
          </cell>
          <cell r="K234" t="str">
            <v>GLADYS ANGELITA, SANTILLAN VALDIVIA</v>
          </cell>
          <cell r="L234" t="str">
            <v>AJUSTE DE VALOR</v>
          </cell>
          <cell r="M234" t="str">
            <v>INFUNDADO</v>
          </cell>
          <cell r="N234">
            <v>4090140017866</v>
          </cell>
        </row>
        <row r="235">
          <cell r="H235">
            <v>4090340018721</v>
          </cell>
          <cell r="I235" t="str">
            <v>RECURSO CON RESULTADO DE FONDO</v>
          </cell>
          <cell r="J235" t="str">
            <v>LUIS ALBERTO, CORDOVA MEZA</v>
          </cell>
          <cell r="K235" t="str">
            <v>GLADYS ANGELITA, SANTILLAN VALDIVIA</v>
          </cell>
          <cell r="L235" t="str">
            <v>AJUSTE DE VALOR</v>
          </cell>
          <cell r="M235" t="str">
            <v>INFUNDADO</v>
          </cell>
          <cell r="N235">
            <v>4090140017873</v>
          </cell>
        </row>
        <row r="236">
          <cell r="H236">
            <v>4090340018714</v>
          </cell>
          <cell r="I236" t="str">
            <v>RECURSO CON RESULTADO DE FONDO</v>
          </cell>
          <cell r="J236" t="str">
            <v>JULIO RAMIRO, CASTAÑEDA CALDERON</v>
          </cell>
          <cell r="K236" t="str">
            <v>GLADYS ANGELITA, SANTILLAN VALDIVIA</v>
          </cell>
          <cell r="L236" t="str">
            <v>AJUSTE DE VALOR</v>
          </cell>
          <cell r="M236" t="str">
            <v>INFUNDADO</v>
          </cell>
          <cell r="N236">
            <v>4090140017692</v>
          </cell>
        </row>
        <row r="237">
          <cell r="H237">
            <v>4090340018712</v>
          </cell>
          <cell r="I237" t="str">
            <v>RECURSO CON RESULTADO DE FONDO</v>
          </cell>
          <cell r="J237" t="str">
            <v>CARLA, VILCAPAZA AMARO</v>
          </cell>
          <cell r="K237" t="str">
            <v>TERESITA MILAGROS, QUEZADA VILLAR</v>
          </cell>
          <cell r="L237" t="str">
            <v>AJUSTE DE VALOR</v>
          </cell>
          <cell r="M237" t="str">
            <v>NULIDAD</v>
          </cell>
          <cell r="N237">
            <v>4090140018045</v>
          </cell>
        </row>
        <row r="238">
          <cell r="H238">
            <v>4090340018898</v>
          </cell>
          <cell r="I238" t="str">
            <v>RECURSO CON RESULTADO DE FONDO</v>
          </cell>
          <cell r="J238" t="str">
            <v>ALLISON ERIKA, CASTRO LAGOS</v>
          </cell>
          <cell r="K238" t="str">
            <v>ALLISON ERIKA, CASTRO LAGOS</v>
          </cell>
          <cell r="L238" t="str">
            <v>AJUSTE DE VALOR</v>
          </cell>
          <cell r="M238" t="str">
            <v>INFUNDADO</v>
          </cell>
          <cell r="N238">
            <v>4090140017824</v>
          </cell>
        </row>
        <row r="239">
          <cell r="H239">
            <v>4090340018704</v>
          </cell>
          <cell r="I239" t="str">
            <v>RECURSO CON RESULTADO DE FONDO</v>
          </cell>
          <cell r="J239" t="str">
            <v>MARCO ANTONIO, TREGEAR JIMENEZ</v>
          </cell>
          <cell r="K239" t="str">
            <v>GLADYS ANGELITA, SANTILLAN VALDIVIA</v>
          </cell>
          <cell r="L239" t="str">
            <v>AJUSTE DE VALOR</v>
          </cell>
          <cell r="M239" t="str">
            <v>INFUNDADO</v>
          </cell>
          <cell r="N239">
            <v>4090140017992</v>
          </cell>
        </row>
        <row r="240">
          <cell r="H240">
            <v>4090340018702</v>
          </cell>
          <cell r="I240" t="str">
            <v>RECURSO CON RESULTADO DE FONDO</v>
          </cell>
          <cell r="J240" t="str">
            <v>LUIS ALBERTO, CORDOVA MEZA</v>
          </cell>
          <cell r="K240" t="str">
            <v>GLADYS ANGELITA, SANTILLAN VALDIVIA</v>
          </cell>
          <cell r="L240" t="str">
            <v>AJUSTE DE VALOR</v>
          </cell>
          <cell r="M240" t="str">
            <v>INFUNDADO</v>
          </cell>
          <cell r="N240">
            <v>4090140017872</v>
          </cell>
        </row>
        <row r="241">
          <cell r="H241">
            <v>4090340018787</v>
          </cell>
          <cell r="I241" t="str">
            <v>RECURSO CON RESULTADO DE FONDO</v>
          </cell>
          <cell r="J241" t="str">
            <v>AZHIR YUSSEF, SANDOVAL GUEVARA</v>
          </cell>
          <cell r="K241" t="str">
            <v>GLADYS ANGELITA, SANTILLAN VALDIVIA</v>
          </cell>
          <cell r="L241" t="str">
            <v>DEVOLUCION AJUSTE DE VALOR</v>
          </cell>
          <cell r="M241" t="str">
            <v>INFUNDADO</v>
          </cell>
          <cell r="N241">
            <v>4090140017804</v>
          </cell>
        </row>
        <row r="242">
          <cell r="H242">
            <v>4090340018701</v>
          </cell>
          <cell r="I242" t="str">
            <v>RECURSO CON RESULTADO DE FONDO</v>
          </cell>
          <cell r="J242" t="str">
            <v>MARCO ANTONIO, TREGEAR JIMENEZ</v>
          </cell>
          <cell r="K242" t="str">
            <v>GLADYS ANGELITA, SANTILLAN VALDIVIA</v>
          </cell>
          <cell r="L242" t="str">
            <v>AJUSTE DE VALOR</v>
          </cell>
          <cell r="M242" t="str">
            <v>INFUNDADO</v>
          </cell>
          <cell r="N242">
            <v>4090140017871</v>
          </cell>
        </row>
        <row r="243">
          <cell r="H243">
            <v>4090340018685</v>
          </cell>
          <cell r="I243" t="str">
            <v>RECURSO CON RESULTADO DE FONDO</v>
          </cell>
          <cell r="J243" t="str">
            <v>ANDRES EDUARDO, ANGULO FARFAN</v>
          </cell>
          <cell r="K243" t="str">
            <v>GLADYS ANGELITA, SANTILLAN VALDIVIA</v>
          </cell>
          <cell r="L243" t="str">
            <v>AJUSTE DE VALOR</v>
          </cell>
          <cell r="M243" t="str">
            <v>INFUNDADO</v>
          </cell>
          <cell r="N243">
            <v>4090140017693</v>
          </cell>
        </row>
        <row r="244">
          <cell r="H244">
            <v>4090340018684</v>
          </cell>
          <cell r="I244" t="str">
            <v>RECURSO CON RESULTADO DE FONDO</v>
          </cell>
          <cell r="J244" t="str">
            <v>EDGAR FERNANDO, COSIO JARA</v>
          </cell>
          <cell r="K244" t="str">
            <v>ALLISON ERIKA, CASTRO LAGOS</v>
          </cell>
          <cell r="L244" t="str">
            <v>AJUSTE DE VALOR</v>
          </cell>
          <cell r="M244" t="str">
            <v>INFUNDADO</v>
          </cell>
          <cell r="N244">
            <v>4090140018018</v>
          </cell>
        </row>
        <row r="245">
          <cell r="H245">
            <v>4090340018682</v>
          </cell>
          <cell r="I245" t="str">
            <v>RECURSO CON RESULTADO DE FONDO</v>
          </cell>
          <cell r="J245" t="str">
            <v>HECTOR JESUS, CHAHUARA VIGO</v>
          </cell>
          <cell r="K245" t="str">
            <v>TERESITA MILAGROS, QUEZADA VILLAR</v>
          </cell>
          <cell r="L245" t="str">
            <v>AJUSTE DE VALOR</v>
          </cell>
          <cell r="M245" t="str">
            <v>INFUNDADO</v>
          </cell>
          <cell r="N245">
            <v>4090140017851</v>
          </cell>
        </row>
        <row r="246">
          <cell r="H246">
            <v>4090340018663</v>
          </cell>
          <cell r="I246" t="str">
            <v>RECURSO CON RESULTADO DE FONDO</v>
          </cell>
          <cell r="J246" t="str">
            <v>MILAGROS, LOPEZ AUQUI</v>
          </cell>
          <cell r="K246" t="str">
            <v>GLADYS ANGELITA, SANTILLAN VALDIVIA</v>
          </cell>
          <cell r="L246" t="str">
            <v>AJUSTE DE VALOR</v>
          </cell>
          <cell r="M246" t="str">
            <v>INFUNDADO</v>
          </cell>
          <cell r="N246">
            <v>4090140017903</v>
          </cell>
        </row>
        <row r="247">
          <cell r="H247">
            <v>4090340018700</v>
          </cell>
          <cell r="I247" t="str">
            <v>RECURSO CON RESULTADO DE FONDO</v>
          </cell>
          <cell r="J247" t="str">
            <v>LUIS ALBERTO, CORDOVA MEZA</v>
          </cell>
          <cell r="K247" t="str">
            <v>GLADYS ANGELITA, SANTILLAN VALDIVIA</v>
          </cell>
          <cell r="L247" t="str">
            <v>AJUSTE DE VALOR</v>
          </cell>
          <cell r="M247" t="str">
            <v>INFUNDADO</v>
          </cell>
          <cell r="N247">
            <v>4090140017870</v>
          </cell>
        </row>
        <row r="248">
          <cell r="H248">
            <v>4090340019469</v>
          </cell>
          <cell r="I248" t="str">
            <v>RECURSO CON RESULTADO DE FONDO</v>
          </cell>
          <cell r="J248" t="str">
            <v>MARITZA, MOLLINEDO CATUNTA</v>
          </cell>
          <cell r="K248" t="str">
            <v>GLADYS ANGELITA, SANTILLAN VALDIVIA</v>
          </cell>
          <cell r="L248" t="str">
            <v>COMISO LDA</v>
          </cell>
          <cell r="M248" t="str">
            <v>INFUNDADO</v>
          </cell>
          <cell r="N248">
            <v>4090140017716</v>
          </cell>
        </row>
        <row r="249">
          <cell r="H249">
            <v>4090340018658</v>
          </cell>
          <cell r="I249" t="str">
            <v>RECURSO CON RESULTADO DE FONDO</v>
          </cell>
          <cell r="J249" t="str">
            <v>ANA MARIA, DIAZ JURADO</v>
          </cell>
          <cell r="K249" t="str">
            <v>ALLISON ERIKA, CASTRO LAGOS</v>
          </cell>
          <cell r="L249" t="str">
            <v>AJUSTE DE VALOR</v>
          </cell>
          <cell r="M249" t="str">
            <v>NULIDAD</v>
          </cell>
          <cell r="N249">
            <v>4090140017856</v>
          </cell>
        </row>
        <row r="250">
          <cell r="H250">
            <v>4090340018657</v>
          </cell>
          <cell r="I250" t="str">
            <v>RECURSO CON RESULTADO DE FONDO</v>
          </cell>
          <cell r="J250" t="str">
            <v>LUIS ALBERTO, CORDOVA MEZA</v>
          </cell>
          <cell r="K250" t="str">
            <v>GLADYS ANGELITA, SANTILLAN VALDIVIA</v>
          </cell>
          <cell r="L250" t="str">
            <v>AJUSTE DE VALOR</v>
          </cell>
          <cell r="M250" t="str">
            <v>INFUNDADO</v>
          </cell>
          <cell r="N250">
            <v>4090140017940</v>
          </cell>
        </row>
        <row r="251">
          <cell r="H251">
            <v>4090340018655</v>
          </cell>
          <cell r="I251" t="str">
            <v>RECURSO CON RESULTADO DE FONDO</v>
          </cell>
          <cell r="J251" t="str">
            <v>ANA MARIA, DIAZ JURADO</v>
          </cell>
          <cell r="K251" t="str">
            <v>ALLISON ERIKA, CASTRO LAGOS</v>
          </cell>
          <cell r="L251" t="str">
            <v>AJUSTE DE VALOR</v>
          </cell>
          <cell r="M251" t="str">
            <v>NULIDAD</v>
          </cell>
          <cell r="N251">
            <v>4090140017850</v>
          </cell>
        </row>
        <row r="252">
          <cell r="H252">
            <v>4090340018649</v>
          </cell>
          <cell r="I252" t="str">
            <v>RECURSO CON RESULTADO DE FONDO</v>
          </cell>
          <cell r="J252" t="str">
            <v>ANA MARIA, DIAZ JURADO</v>
          </cell>
          <cell r="K252" t="str">
            <v>ALLISON ERIKA, CASTRO LAGOS</v>
          </cell>
          <cell r="L252" t="str">
            <v>AJUSTE DE VALOR</v>
          </cell>
          <cell r="M252" t="str">
            <v>NULIDAD</v>
          </cell>
          <cell r="N252">
            <v>4090140017849</v>
          </cell>
        </row>
        <row r="253">
          <cell r="H253">
            <v>4090340018646</v>
          </cell>
          <cell r="I253" t="str">
            <v>RECURSO CON RESULTADO DE FONDO</v>
          </cell>
          <cell r="J253" t="str">
            <v>AZHIR YUSSEF, SANDOVAL GUEVARA</v>
          </cell>
          <cell r="K253" t="str">
            <v>GLADYS ANGELITA, SANTILLAN VALDIVIA</v>
          </cell>
          <cell r="L253" t="str">
            <v>AJUSTE DE VALOR</v>
          </cell>
          <cell r="M253" t="str">
            <v>NULIDAD</v>
          </cell>
          <cell r="N253">
            <v>4090140017842</v>
          </cell>
        </row>
        <row r="254">
          <cell r="H254">
            <v>4090340018643</v>
          </cell>
          <cell r="I254" t="str">
            <v>RECURSO CON RESULTADO DE FONDO</v>
          </cell>
          <cell r="J254" t="str">
            <v>ANA MARIA, DIAZ JURADO</v>
          </cell>
          <cell r="K254" t="str">
            <v>ALLISON ERIKA, CASTRO LAGOS</v>
          </cell>
          <cell r="L254" t="str">
            <v>AJUSTE DE VALOR</v>
          </cell>
          <cell r="M254" t="str">
            <v>NULIDAD</v>
          </cell>
          <cell r="N254">
            <v>4090140017848</v>
          </cell>
        </row>
        <row r="255">
          <cell r="H255">
            <v>4090340018634</v>
          </cell>
          <cell r="I255" t="str">
            <v>RECURSO CON RESULTADO DE FONDO</v>
          </cell>
          <cell r="J255" t="str">
            <v>HECTOR JESUS, CHAHUARA VIGO</v>
          </cell>
          <cell r="K255" t="str">
            <v>TERESITA MILAGROS, QUEZADA VILLAR</v>
          </cell>
          <cell r="L255" t="str">
            <v>AJUSTE DE VALOR</v>
          </cell>
          <cell r="M255" t="str">
            <v>INFUNDADO</v>
          </cell>
          <cell r="N255">
            <v>4090140017847</v>
          </cell>
        </row>
        <row r="256">
          <cell r="H256">
            <v>4090340018633</v>
          </cell>
          <cell r="I256" t="str">
            <v>RECURSO CON RESULTADO DE FONDO</v>
          </cell>
          <cell r="J256" t="str">
            <v>LUIS ALBERTO, CORDOVA MEZA</v>
          </cell>
          <cell r="K256" t="str">
            <v>GLADYS ANGELITA, SANTILLAN VALDIVIA</v>
          </cell>
          <cell r="L256" t="str">
            <v>AJUSTE DE VALOR</v>
          </cell>
          <cell r="M256" t="str">
            <v>INFUNDADO</v>
          </cell>
          <cell r="N256">
            <v>4090140017865</v>
          </cell>
        </row>
        <row r="257">
          <cell r="H257">
            <v>4090340018610</v>
          </cell>
          <cell r="I257" t="str">
            <v>RECURSO CON RESULTADO DE FONDO</v>
          </cell>
          <cell r="J257" t="str">
            <v>JULIO RAMIRO, CASTAÑEDA CALDERON</v>
          </cell>
          <cell r="K257" t="str">
            <v>GLADYS ANGELITA, SANTILLAN VALDIVIA</v>
          </cell>
          <cell r="L257" t="str">
            <v>Devoluciones</v>
          </cell>
          <cell r="M257" t="str">
            <v>INFUNDADO</v>
          </cell>
          <cell r="N257">
            <v>4090140017914</v>
          </cell>
        </row>
        <row r="258">
          <cell r="H258">
            <v>4090340018608</v>
          </cell>
          <cell r="I258" t="str">
            <v>RECURSO CON RESULTADO DE FONDO</v>
          </cell>
          <cell r="J258" t="str">
            <v>AZHIR YUSSEF, SANDOVAL GUEVARA</v>
          </cell>
          <cell r="K258" t="str">
            <v>GLADYS ANGELITA, SANTILLAN VALDIVIA</v>
          </cell>
          <cell r="L258" t="str">
            <v>AJUSTE DE VALOR</v>
          </cell>
          <cell r="M258" t="str">
            <v>INFUNDADO</v>
          </cell>
          <cell r="N258">
            <v>4090140017805</v>
          </cell>
        </row>
        <row r="259">
          <cell r="H259">
            <v>4090340018595</v>
          </cell>
          <cell r="I259" t="str">
            <v>RECURSO CON RESULTADO DE FONDO</v>
          </cell>
          <cell r="J259" t="str">
            <v>MARCO ANTONIO, TREGEAR JIMENEZ</v>
          </cell>
          <cell r="K259" t="str">
            <v>GLADYS ANGELITA, SANTILLAN VALDIVIA</v>
          </cell>
          <cell r="L259" t="str">
            <v>AJUSTE DE VALOR</v>
          </cell>
          <cell r="M259" t="str">
            <v>INFUNDADO</v>
          </cell>
          <cell r="N259">
            <v>4090140017984</v>
          </cell>
        </row>
        <row r="260">
          <cell r="H260">
            <v>4090340018593</v>
          </cell>
          <cell r="I260" t="str">
            <v>RECURSO CON RESULTADO DE FONDO</v>
          </cell>
          <cell r="J260" t="str">
            <v>AZHIR YUSSEF, SANDOVAL GUEVARA</v>
          </cell>
          <cell r="K260" t="str">
            <v>GLADYS ANGELITA, SANTILLAN VALDIVIA</v>
          </cell>
          <cell r="L260" t="str">
            <v>AJUSTE DE VALOR</v>
          </cell>
          <cell r="M260" t="str">
            <v>INFUNDADO</v>
          </cell>
          <cell r="N260">
            <v>4090140017806</v>
          </cell>
        </row>
        <row r="261">
          <cell r="H261">
            <v>4090340018625</v>
          </cell>
          <cell r="I261" t="str">
            <v>RECURSO CON RESULTADO DE FONDO</v>
          </cell>
          <cell r="J261" t="str">
            <v>ANDRES EDUARDO, ANGULO FARFAN</v>
          </cell>
          <cell r="K261" t="str">
            <v>GLADYS ANGELITA, SANTILLAN VALDIVIA</v>
          </cell>
          <cell r="L261" t="str">
            <v>AJUSTE DE VALOR</v>
          </cell>
          <cell r="M261" t="str">
            <v>INFUNDADO</v>
          </cell>
          <cell r="N261">
            <v>4090140017807</v>
          </cell>
        </row>
        <row r="262">
          <cell r="H262">
            <v>4090340018623</v>
          </cell>
          <cell r="I262" t="str">
            <v>RECURSO CON RESULTADO DE FONDO</v>
          </cell>
          <cell r="J262" t="str">
            <v>ANA MARIA, DIAZ JURADO</v>
          </cell>
          <cell r="K262" t="str">
            <v>ALLISON ERIKA, CASTRO LAGOS</v>
          </cell>
          <cell r="L262" t="str">
            <v>AJUSTE DE VALOR</v>
          </cell>
          <cell r="M262" t="str">
            <v>NULIDAD</v>
          </cell>
          <cell r="N262">
            <v>4090140017808</v>
          </cell>
        </row>
        <row r="263">
          <cell r="H263">
            <v>4090340018638</v>
          </cell>
          <cell r="I263" t="str">
            <v>RECURSO CON RESULTADO DE FONDO</v>
          </cell>
          <cell r="J263" t="str">
            <v>MARCO ANTONIO, TREGEAR JIMENEZ</v>
          </cell>
          <cell r="K263" t="str">
            <v>GLADYS ANGELITA, SANTILLAN VALDIVIA</v>
          </cell>
          <cell r="L263" t="str">
            <v>AJUSTE DE VALOR</v>
          </cell>
          <cell r="M263" t="str">
            <v>INFUNDADO</v>
          </cell>
          <cell r="N263">
            <v>4090140017869</v>
          </cell>
        </row>
        <row r="264">
          <cell r="H264">
            <v>4090340018637</v>
          </cell>
          <cell r="I264" t="str">
            <v>RECURSO CON RESULTADO DE FONDO</v>
          </cell>
          <cell r="J264" t="str">
            <v>MARCO ANTONIO, TREGEAR JIMENEZ</v>
          </cell>
          <cell r="K264" t="str">
            <v>GLADYS ANGELITA, SANTILLAN VALDIVIA</v>
          </cell>
          <cell r="L264" t="str">
            <v>AJUSTE DE VALOR</v>
          </cell>
          <cell r="M264" t="str">
            <v>INFUNDADO</v>
          </cell>
          <cell r="N264">
            <v>4090140017841</v>
          </cell>
        </row>
        <row r="265">
          <cell r="H265">
            <v>4090340018636</v>
          </cell>
          <cell r="I265" t="str">
            <v>RECURSO CON RESULTADO DE FONDO</v>
          </cell>
          <cell r="J265" t="str">
            <v>JULIO RAMIRO, CASTAÑEDA CALDERON</v>
          </cell>
          <cell r="K265" t="str">
            <v>GLADYS ANGELITA, SANTILLAN VALDIVIA</v>
          </cell>
          <cell r="L265" t="str">
            <v>AJUSTE DE VALOR</v>
          </cell>
          <cell r="M265" t="str">
            <v>INFUNDADO</v>
          </cell>
          <cell r="N265">
            <v>4090140017868</v>
          </cell>
        </row>
        <row r="266">
          <cell r="H266">
            <v>4090340018600</v>
          </cell>
          <cell r="I266" t="str">
            <v>RECURSO CON RESULTADO DE FONDO</v>
          </cell>
          <cell r="J266" t="str">
            <v>AZHIR YUSSEF, SANDOVAL GUEVARA</v>
          </cell>
          <cell r="K266" t="str">
            <v>GLADYS ANGELITA, SANTILLAN VALDIVIA</v>
          </cell>
          <cell r="L266" t="str">
            <v>AJUSTE DE VALOR</v>
          </cell>
          <cell r="M266" t="str">
            <v>INFUNDADO</v>
          </cell>
          <cell r="N266">
            <v>4090140017809</v>
          </cell>
        </row>
        <row r="267">
          <cell r="H267">
            <v>4090340018599</v>
          </cell>
          <cell r="I267" t="str">
            <v>RECURSO CON RESULTADO DE FONDO</v>
          </cell>
          <cell r="J267" t="str">
            <v>AZHIR YUSSEF, SANDOVAL GUEVARA</v>
          </cell>
          <cell r="K267" t="str">
            <v>GLADYS ANGELITA, SANTILLAN VALDIVIA</v>
          </cell>
          <cell r="L267" t="str">
            <v>AJUSTE DE VALOR</v>
          </cell>
          <cell r="M267" t="str">
            <v>INFUNDADO</v>
          </cell>
          <cell r="N267">
            <v>4090140017810</v>
          </cell>
        </row>
        <row r="268">
          <cell r="H268">
            <v>4090340018598</v>
          </cell>
          <cell r="I268" t="str">
            <v>RECURSO CON RESULTADO DE FONDO</v>
          </cell>
          <cell r="J268" t="str">
            <v>AZHIR YUSSEF, SANDOVAL GUEVARA</v>
          </cell>
          <cell r="K268" t="str">
            <v>GLADYS ANGELITA, SANTILLAN VALDIVIA</v>
          </cell>
          <cell r="L268" t="str">
            <v>AJUSTE DE VALOR</v>
          </cell>
          <cell r="M268" t="str">
            <v>INFUNDADO</v>
          </cell>
          <cell r="N268">
            <v>4090140017811</v>
          </cell>
        </row>
        <row r="269">
          <cell r="H269">
            <v>4090340018597</v>
          </cell>
          <cell r="I269" t="str">
            <v>RECURSO CON RESULTADO DE FONDO</v>
          </cell>
          <cell r="J269" t="str">
            <v>AZHIR YUSSEF, SANDOVAL GUEVARA</v>
          </cell>
          <cell r="K269" t="str">
            <v>GLADYS ANGELITA, SANTILLAN VALDIVIA</v>
          </cell>
          <cell r="L269" t="str">
            <v>AJUSTE DE VALOR</v>
          </cell>
          <cell r="M269" t="str">
            <v>INFUNDADO</v>
          </cell>
          <cell r="N269">
            <v>4090140017812</v>
          </cell>
        </row>
        <row r="270">
          <cell r="H270">
            <v>4090340018588</v>
          </cell>
          <cell r="I270" t="str">
            <v>RECURSO CON RESULTADO DE FONDO</v>
          </cell>
          <cell r="J270" t="str">
            <v>JULIO RAMIRO, CASTAÑEDA CALDERON</v>
          </cell>
          <cell r="K270" t="str">
            <v>GLADYS ANGELITA, SANTILLAN VALDIVIA</v>
          </cell>
          <cell r="L270" t="str">
            <v>AJUSTE DE VALOR</v>
          </cell>
          <cell r="M270" t="str">
            <v>INFUNDADO</v>
          </cell>
          <cell r="N270">
            <v>4090140017720</v>
          </cell>
        </row>
        <row r="271">
          <cell r="H271">
            <v>4090340018577</v>
          </cell>
          <cell r="I271" t="str">
            <v>RECURSO CON RESULTADO DE FONDO</v>
          </cell>
          <cell r="J271" t="str">
            <v>MARCO ANTONIO, TREGEAR JIMENEZ</v>
          </cell>
          <cell r="K271" t="str">
            <v>GLADYS ANGELITA, SANTILLAN VALDIVIA</v>
          </cell>
          <cell r="L271" t="str">
            <v>AJUSTE DE VALOR</v>
          </cell>
          <cell r="M271" t="str">
            <v>INFUNDADO</v>
          </cell>
          <cell r="N271">
            <v>4090140017840</v>
          </cell>
        </row>
        <row r="272">
          <cell r="H272">
            <v>4090340018573</v>
          </cell>
          <cell r="I272" t="str">
            <v>RECURSO CON RESULTADO DE FONDO</v>
          </cell>
          <cell r="J272" t="str">
            <v>JAVIER GUSTAVO, OYARSE CRUZ</v>
          </cell>
          <cell r="K272" t="str">
            <v>TERESITA MILAGROS, QUEZADA VILLAR</v>
          </cell>
          <cell r="L272" t="str">
            <v>AJUSTE DE VALOR</v>
          </cell>
          <cell r="M272" t="str">
            <v>INFUNDADO</v>
          </cell>
          <cell r="N272">
            <v>4090140017917</v>
          </cell>
        </row>
        <row r="273">
          <cell r="H273">
            <v>4090340018570</v>
          </cell>
          <cell r="I273" t="str">
            <v>RECURSO CON RESULTADO DE FONDO</v>
          </cell>
          <cell r="J273" t="str">
            <v>MARCO ANTONIO, TREGEAR JIMENEZ</v>
          </cell>
          <cell r="K273" t="str">
            <v>GLADYS ANGELITA, SANTILLAN VALDIVIA</v>
          </cell>
          <cell r="L273" t="str">
            <v>AJUSTE DE VALOR</v>
          </cell>
          <cell r="M273" t="str">
            <v>INFUNDADO</v>
          </cell>
          <cell r="N273">
            <v>4090140017769</v>
          </cell>
        </row>
        <row r="274">
          <cell r="H274">
            <v>4090340018569</v>
          </cell>
          <cell r="I274" t="str">
            <v>RECURSO CON RESULTADO DE FONDO</v>
          </cell>
          <cell r="J274" t="str">
            <v>JULIO RAMIRO, CASTAÑEDA CALDERON</v>
          </cell>
          <cell r="K274" t="str">
            <v>GLADYS ANGELITA, SANTILLAN VALDIVIA</v>
          </cell>
          <cell r="L274" t="str">
            <v>AJUSTE DE VALOR</v>
          </cell>
          <cell r="M274" t="str">
            <v>NULIDAD</v>
          </cell>
          <cell r="N274">
            <v>4090140017721</v>
          </cell>
        </row>
        <row r="275">
          <cell r="H275">
            <v>4090340018560</v>
          </cell>
          <cell r="I275" t="str">
            <v>RECURSO CON RESULTADO DE FONDO</v>
          </cell>
          <cell r="J275" t="str">
            <v>MARCO ANTONIO, TREGEAR JIMENEZ</v>
          </cell>
          <cell r="K275" t="str">
            <v>GLADYS ANGELITA, SANTILLAN VALDIVIA</v>
          </cell>
          <cell r="L275" t="str">
            <v>AJUSTE DE VALOR</v>
          </cell>
          <cell r="M275" t="str">
            <v>INFUNDADO</v>
          </cell>
          <cell r="N275">
            <v>4090140017839</v>
          </cell>
        </row>
        <row r="276">
          <cell r="H276">
            <v>4090340018558</v>
          </cell>
          <cell r="I276" t="str">
            <v>RECURSO CON RESULTADO DE FONDO</v>
          </cell>
          <cell r="J276" t="str">
            <v>MARCO ANTONIO, TREGEAR JIMENEZ</v>
          </cell>
          <cell r="K276" t="str">
            <v>GLADYS ANGELITA, SANTILLAN VALDIVIA</v>
          </cell>
          <cell r="L276" t="str">
            <v>AJUSTE DE VALOR</v>
          </cell>
          <cell r="M276" t="str">
            <v>INFUNDADO</v>
          </cell>
          <cell r="N276">
            <v>4090140017838</v>
          </cell>
        </row>
        <row r="277">
          <cell r="H277">
            <v>4090340018557</v>
          </cell>
          <cell r="I277" t="str">
            <v>RECURSO CON RESULTADO DE FONDO</v>
          </cell>
          <cell r="J277" t="str">
            <v>ANA MARIA, DIAZ JURADO</v>
          </cell>
          <cell r="K277" t="str">
            <v>ALLISON ERIKA, CASTRO LAGOS</v>
          </cell>
          <cell r="L277" t="str">
            <v>AJUSTE DE VALOR</v>
          </cell>
          <cell r="M277" t="str">
            <v>INFUNDADO</v>
          </cell>
          <cell r="N277">
            <v>4090140017761</v>
          </cell>
        </row>
        <row r="278">
          <cell r="H278">
            <v>4090340018555</v>
          </cell>
          <cell r="I278" t="str">
            <v>RECURSO CON RESULTADO DE FONDO</v>
          </cell>
          <cell r="J278" t="str">
            <v>CARLA, VILCAPAZA AMARO</v>
          </cell>
          <cell r="K278" t="str">
            <v>TERESITA MILAGROS, QUEZADA VILLAR</v>
          </cell>
          <cell r="L278" t="str">
            <v>AJUSTE DE VALOR</v>
          </cell>
          <cell r="M278" t="str">
            <v>INFUNDADO</v>
          </cell>
          <cell r="N278">
            <v>4090140018034</v>
          </cell>
        </row>
        <row r="279">
          <cell r="H279">
            <v>4090340018554</v>
          </cell>
          <cell r="I279" t="str">
            <v>RECURSO CON RESULTADO DE FONDO</v>
          </cell>
          <cell r="J279" t="str">
            <v>CARLA, VILCAPAZA AMARO</v>
          </cell>
          <cell r="K279" t="str">
            <v>TERESITA MILAGROS, QUEZADA VILLAR</v>
          </cell>
          <cell r="L279" t="str">
            <v>AJUSTE DE VALOR</v>
          </cell>
          <cell r="M279" t="str">
            <v>INFUNDADO</v>
          </cell>
          <cell r="N279">
            <v>4090140018032</v>
          </cell>
        </row>
        <row r="280">
          <cell r="H280">
            <v>4090340018550</v>
          </cell>
          <cell r="I280" t="str">
            <v>RECURSO CON RESULTADO DE FONDO</v>
          </cell>
          <cell r="J280" t="str">
            <v>CARLA, VILCAPAZA AMARO</v>
          </cell>
          <cell r="K280" t="str">
            <v>TERESITA MILAGROS, QUEZADA VILLAR</v>
          </cell>
          <cell r="L280" t="str">
            <v>AJUSTE DE VALOR</v>
          </cell>
          <cell r="M280" t="str">
            <v>INFUNDADO</v>
          </cell>
          <cell r="N280">
            <v>4090140018031</v>
          </cell>
        </row>
        <row r="281">
          <cell r="H281">
            <v>4090340018548</v>
          </cell>
          <cell r="I281" t="str">
            <v>RECURSO CON RESULTADO DE FONDO</v>
          </cell>
          <cell r="J281" t="str">
            <v>ANA MARIA, DIAZ JURADO</v>
          </cell>
          <cell r="K281" t="str">
            <v>ALLISON ERIKA, CASTRO LAGOS</v>
          </cell>
          <cell r="L281" t="str">
            <v>AJUSTE DE VALOR</v>
          </cell>
          <cell r="M281" t="str">
            <v>NULIDAD</v>
          </cell>
          <cell r="N281">
            <v>4090140017579</v>
          </cell>
        </row>
        <row r="282">
          <cell r="H282">
            <v>4090340018544</v>
          </cell>
          <cell r="I282" t="str">
            <v>RECURSO CON RESULTADO DE FONDO</v>
          </cell>
          <cell r="J282" t="str">
            <v>JAVIER GUSTAVO, OYARSE CRUZ</v>
          </cell>
          <cell r="K282" t="str">
            <v>TERESITA MILAGROS, QUEZADA VILLAR</v>
          </cell>
          <cell r="L282" t="str">
            <v>AJUSTE DE VALOR</v>
          </cell>
          <cell r="M282" t="str">
            <v>INFUNDADO</v>
          </cell>
          <cell r="N282">
            <v>4090140017913</v>
          </cell>
        </row>
        <row r="283">
          <cell r="H283">
            <v>4090340018590</v>
          </cell>
          <cell r="I283" t="str">
            <v>RECURSO CON RESULTADO DE FONDO</v>
          </cell>
          <cell r="J283" t="str">
            <v>ANA MARIA, DIAZ JURADO</v>
          </cell>
          <cell r="K283" t="str">
            <v>ALLISON ERIKA, CASTRO LAGOS</v>
          </cell>
          <cell r="L283" t="str">
            <v>AJUSTE DE VALOR</v>
          </cell>
          <cell r="M283" t="str">
            <v>NULIDAD</v>
          </cell>
          <cell r="N283">
            <v>4090140017724</v>
          </cell>
        </row>
        <row r="284">
          <cell r="H284">
            <v>4090340023424</v>
          </cell>
          <cell r="I284" t="str">
            <v>RECURSO CON RESULTADO DE FONDO</v>
          </cell>
          <cell r="J284" t="str">
            <v>MARITZA, MOLLINEDO CATUNTA</v>
          </cell>
          <cell r="K284" t="str">
            <v>GLADYS ANGELITA, SANTILLAN VALDIVIA</v>
          </cell>
          <cell r="L284" t="str">
            <v>IGV_ISC_DERECHOS_ESPECÍFICOS</v>
          </cell>
          <cell r="M284" t="str">
            <v>INFUNDADO</v>
          </cell>
          <cell r="N284">
            <v>4090140017768</v>
          </cell>
        </row>
        <row r="285">
          <cell r="H285">
            <v>4090340018525</v>
          </cell>
          <cell r="I285" t="str">
            <v>RECURSO CON RESULTADO DE FONDO</v>
          </cell>
          <cell r="J285" t="str">
            <v>ANDRES EDUARDO, ANGULO FARFAN</v>
          </cell>
          <cell r="K285" t="str">
            <v>GLADYS ANGELITA, SANTILLAN VALDIVIA</v>
          </cell>
          <cell r="L285" t="str">
            <v>AJUSTE DE VALOR</v>
          </cell>
          <cell r="M285" t="str">
            <v>FUNDADO</v>
          </cell>
          <cell r="N285">
            <v>4090140017814</v>
          </cell>
        </row>
        <row r="286">
          <cell r="H286">
            <v>4090340018524</v>
          </cell>
          <cell r="I286" t="str">
            <v>RECURSO CON RESULTADO DE FONDO</v>
          </cell>
          <cell r="J286" t="str">
            <v>ANDRES EDUARDO, ANGULO FARFAN</v>
          </cell>
          <cell r="K286" t="str">
            <v>GLADYS ANGELITA, SANTILLAN VALDIVIA</v>
          </cell>
          <cell r="L286" t="str">
            <v>AJUSTE DE VALOR</v>
          </cell>
          <cell r="M286" t="str">
            <v>INFUNDADO</v>
          </cell>
          <cell r="N286">
            <v>4090140017813</v>
          </cell>
        </row>
        <row r="287">
          <cell r="H287">
            <v>4090340018492</v>
          </cell>
          <cell r="I287" t="str">
            <v>RECURSO CON RESULTADO DE FONDO</v>
          </cell>
          <cell r="J287" t="str">
            <v>EDGAR FERNANDO, COSIO JARA</v>
          </cell>
          <cell r="K287" t="str">
            <v>ALLISON ERIKA, CASTRO LAGOS</v>
          </cell>
          <cell r="L287" t="str">
            <v>AJUSTE DE VALOR</v>
          </cell>
          <cell r="M287" t="str">
            <v>INFUNDADO</v>
          </cell>
          <cell r="N287">
            <v>4090140018076</v>
          </cell>
        </row>
        <row r="288">
          <cell r="H288">
            <v>4090340018515</v>
          </cell>
          <cell r="I288" t="str">
            <v>RECURSO CON RESULTADO DE FONDO</v>
          </cell>
          <cell r="J288" t="str">
            <v>ANA MARIA, DIAZ JURADO</v>
          </cell>
          <cell r="K288" t="str">
            <v>ALLISON ERIKA, CASTRO LAGOS</v>
          </cell>
          <cell r="L288" t="str">
            <v>AJUSTE DE VALOR</v>
          </cell>
          <cell r="M288" t="str">
            <v>NULIDAD</v>
          </cell>
          <cell r="N288">
            <v>4090140017837</v>
          </cell>
        </row>
        <row r="289">
          <cell r="H289">
            <v>4090340018512</v>
          </cell>
          <cell r="I289" t="str">
            <v>RECURSO CON RESULTADO DE FONDO</v>
          </cell>
          <cell r="J289" t="str">
            <v>CELSO FELIX, SANCHEZ GARRIDO</v>
          </cell>
          <cell r="K289" t="str">
            <v>ALLISON ERIKA, CASTRO LAGOS</v>
          </cell>
          <cell r="L289" t="str">
            <v>AJUSTE DE VALOR</v>
          </cell>
          <cell r="M289" t="str">
            <v>NULIDAD</v>
          </cell>
          <cell r="N289">
            <v>4090140018028</v>
          </cell>
        </row>
        <row r="290">
          <cell r="H290">
            <v>4090340018476</v>
          </cell>
          <cell r="I290" t="str">
            <v>RECURSO CON RESULTADO DE FONDO</v>
          </cell>
          <cell r="J290" t="str">
            <v>WILLIAN ARNALDO, GODOY ESCALANTE</v>
          </cell>
          <cell r="K290" t="str">
            <v>TERESITA MILAGROS, QUEZADA VILLAR</v>
          </cell>
          <cell r="L290" t="str">
            <v>AJUSTE DE VALOR</v>
          </cell>
          <cell r="M290" t="str">
            <v>INFUNDADO</v>
          </cell>
          <cell r="N290">
            <v>4090140018010</v>
          </cell>
        </row>
        <row r="291">
          <cell r="H291">
            <v>4090340018505</v>
          </cell>
          <cell r="I291" t="str">
            <v>RECURSO CON RESULTADO DE FONDO</v>
          </cell>
          <cell r="J291" t="str">
            <v>ANDRES EDUARDO, ANGULO FARFAN</v>
          </cell>
          <cell r="K291" t="str">
            <v>GLADYS ANGELITA, SANTILLAN VALDIVIA</v>
          </cell>
          <cell r="L291" t="str">
            <v>AJUSTE DE VALOR</v>
          </cell>
          <cell r="M291" t="str">
            <v>INFUNDADO</v>
          </cell>
          <cell r="N291">
            <v>4090140017977</v>
          </cell>
        </row>
        <row r="292">
          <cell r="H292">
            <v>4090340018527</v>
          </cell>
          <cell r="I292" t="str">
            <v>RECURSO CON RESULTADO DE FONDO</v>
          </cell>
          <cell r="J292" t="str">
            <v>JAVIER GUSTAVO, OYARSE CRUZ</v>
          </cell>
          <cell r="K292" t="str">
            <v>TERESITA MILAGROS, QUEZADA VILLAR</v>
          </cell>
          <cell r="L292" t="str">
            <v>AJUSTE DE VALOR</v>
          </cell>
          <cell r="M292" t="str">
            <v>INFUNDADO</v>
          </cell>
          <cell r="N292">
            <v>4090140018017</v>
          </cell>
        </row>
        <row r="293">
          <cell r="H293">
            <v>4090340018490</v>
          </cell>
          <cell r="I293" t="str">
            <v>RECURSO CON RESULTADO DE FONDO</v>
          </cell>
          <cell r="J293" t="str">
            <v>MARCO ANTONIO, TREGEAR JIMENEZ</v>
          </cell>
          <cell r="K293" t="str">
            <v>GLADYS ANGELITA, SANTILLAN VALDIVIA</v>
          </cell>
          <cell r="L293" t="str">
            <v>AJUSTE DE VALOR</v>
          </cell>
          <cell r="M293" t="str">
            <v>INFUNDADO</v>
          </cell>
          <cell r="N293">
            <v>4090140017646</v>
          </cell>
        </row>
        <row r="294">
          <cell r="H294">
            <v>4090340018489</v>
          </cell>
          <cell r="I294" t="str">
            <v>RECURSO CON RESULTADO DE FONDO</v>
          </cell>
          <cell r="J294" t="str">
            <v>EDGAR FERNANDO, COSIO JARA</v>
          </cell>
          <cell r="K294" t="str">
            <v>ALLISON ERIKA, CASTRO LAGOS</v>
          </cell>
          <cell r="L294" t="str">
            <v>AJUSTE DE VALOR</v>
          </cell>
          <cell r="M294" t="str">
            <v>INFUNDADO</v>
          </cell>
          <cell r="N294">
            <v>4090140017867</v>
          </cell>
        </row>
        <row r="295">
          <cell r="H295">
            <v>4090340018484</v>
          </cell>
          <cell r="I295" t="str">
            <v>RECURSO CON RESULTADO DE FONDO</v>
          </cell>
          <cell r="J295" t="str">
            <v>ANA MARIA, DIAZ JURADO</v>
          </cell>
          <cell r="K295" t="str">
            <v>ALLISON ERIKA, CASTRO LAGOS</v>
          </cell>
          <cell r="L295" t="str">
            <v>AJUSTE DE VALOR</v>
          </cell>
          <cell r="M295" t="str">
            <v>NULIDAD</v>
          </cell>
          <cell r="N295">
            <v>4090140017658</v>
          </cell>
        </row>
        <row r="296">
          <cell r="H296">
            <v>4090340018482</v>
          </cell>
          <cell r="I296" t="str">
            <v>RECURSO CON RESULTADO DE FONDO</v>
          </cell>
          <cell r="J296" t="str">
            <v>JAVIER GUSTAVO, OYARSE CRUZ</v>
          </cell>
          <cell r="K296" t="str">
            <v>TERESITA MILAGROS, QUEZADA VILLAR</v>
          </cell>
          <cell r="L296" t="str">
            <v>AJUSTE DE VALOR</v>
          </cell>
          <cell r="M296" t="str">
            <v>INFUNDADO</v>
          </cell>
          <cell r="N296">
            <v>4090140017908</v>
          </cell>
        </row>
        <row r="297">
          <cell r="H297">
            <v>4090340018480</v>
          </cell>
          <cell r="I297" t="str">
            <v>RECURSO CON RESULTADO DE FONDO</v>
          </cell>
          <cell r="J297" t="str">
            <v>CARLA, VILCAPAZA AMARO</v>
          </cell>
          <cell r="K297" t="str">
            <v>TERESITA MILAGROS, QUEZADA VILLAR</v>
          </cell>
          <cell r="L297" t="str">
            <v>AJUSTE DE VALOR</v>
          </cell>
          <cell r="M297" t="str">
            <v>INFUNDADO</v>
          </cell>
          <cell r="N297">
            <v>4090140018044</v>
          </cell>
        </row>
        <row r="298">
          <cell r="H298">
            <v>4090340018479</v>
          </cell>
          <cell r="I298" t="str">
            <v>RECURSO CON RESULTADO DE FONDO</v>
          </cell>
          <cell r="J298" t="str">
            <v>ANA MARIA, DIAZ JURADO</v>
          </cell>
          <cell r="K298" t="str">
            <v>ALLISON ERIKA, CASTRO LAGOS</v>
          </cell>
          <cell r="L298" t="str">
            <v>AJUSTE DE VALOR</v>
          </cell>
          <cell r="M298" t="str">
            <v>NULIDAD</v>
          </cell>
          <cell r="N298">
            <v>4090140017659</v>
          </cell>
        </row>
        <row r="299">
          <cell r="H299">
            <v>4090340018473</v>
          </cell>
          <cell r="I299" t="str">
            <v>RECURSO CON RESULTADO DE FONDO</v>
          </cell>
          <cell r="J299" t="str">
            <v>MARITZA, MOLLINEDO CATUNTA</v>
          </cell>
          <cell r="K299" t="str">
            <v>GLADYS ANGELITA, SANTILLAN VALDIVIA</v>
          </cell>
          <cell r="L299" t="str">
            <v>OTRAS DEVOLUCIONES</v>
          </cell>
          <cell r="M299" t="str">
            <v>INFUNDADO</v>
          </cell>
          <cell r="N299">
            <v>4090140017772</v>
          </cell>
        </row>
        <row r="300">
          <cell r="H300">
            <v>4090340018467</v>
          </cell>
          <cell r="I300" t="str">
            <v>RECURSO CON RESULTADO DE FONDO</v>
          </cell>
          <cell r="J300" t="str">
            <v>ANA MARIA, DIAZ JURADO</v>
          </cell>
          <cell r="K300" t="str">
            <v>ALLISON ERIKA, CASTRO LAGOS</v>
          </cell>
          <cell r="L300" t="str">
            <v>AJUSTE DE VALOR</v>
          </cell>
          <cell r="M300" t="str">
            <v>NULIDAD</v>
          </cell>
          <cell r="N300">
            <v>4090140017725</v>
          </cell>
        </row>
        <row r="301">
          <cell r="H301">
            <v>4090340018465</v>
          </cell>
          <cell r="I301" t="str">
            <v>RECURSO CON RESULTADO DE FONDO</v>
          </cell>
          <cell r="J301" t="str">
            <v>ANA MARIA, DIAZ JURADO</v>
          </cell>
          <cell r="K301" t="str">
            <v>ALLISON ERIKA, CASTRO LAGOS</v>
          </cell>
          <cell r="L301" t="str">
            <v>AJUSTE DE VALOR</v>
          </cell>
          <cell r="M301" t="str">
            <v>NULIDAD</v>
          </cell>
          <cell r="N301">
            <v>4090140017487</v>
          </cell>
        </row>
        <row r="302">
          <cell r="H302">
            <v>4090340018450</v>
          </cell>
          <cell r="I302" t="str">
            <v>RECURSO CON RESULTADO DE FONDO</v>
          </cell>
          <cell r="J302" t="str">
            <v>HECTOR JESUS, CHAHUARA VIGO</v>
          </cell>
          <cell r="K302" t="str">
            <v>TERESITA MILAGROS, QUEZADA VILLAR</v>
          </cell>
          <cell r="L302" t="str">
            <v>AJUSTE DE VALOR</v>
          </cell>
          <cell r="M302" t="str">
            <v>FUNDADO EN PARTE</v>
          </cell>
          <cell r="N302">
            <v>4090140017706</v>
          </cell>
        </row>
        <row r="303">
          <cell r="H303">
            <v>4090340018438</v>
          </cell>
          <cell r="I303" t="str">
            <v>RECURSO CON RESULTADO DE FONDO</v>
          </cell>
          <cell r="J303" t="str">
            <v>CARLA, VILCAPAZA AMARO</v>
          </cell>
          <cell r="K303" t="str">
            <v>TERESITA MILAGROS, QUEZADA VILLAR</v>
          </cell>
          <cell r="L303" t="str">
            <v>DEVOLUCION AJUSTE DE VALOR</v>
          </cell>
          <cell r="M303" t="str">
            <v>INFUNDADO</v>
          </cell>
          <cell r="N303">
            <v>4090140018049</v>
          </cell>
        </row>
        <row r="304">
          <cell r="H304">
            <v>4090340018471</v>
          </cell>
          <cell r="I304" t="str">
            <v>RECURSO CON RESULTADO DE FONDO</v>
          </cell>
          <cell r="J304" t="str">
            <v>LUIS ALBERTO, CORDOVA MEZA</v>
          </cell>
          <cell r="K304" t="str">
            <v>GLADYS ANGELITA, SANTILLAN VALDIVIA</v>
          </cell>
          <cell r="L304" t="str">
            <v>AJUSTE DE VALOR</v>
          </cell>
          <cell r="M304" t="str">
            <v>INFUNDADO</v>
          </cell>
          <cell r="N304">
            <v>4090140017933</v>
          </cell>
        </row>
        <row r="305">
          <cell r="H305">
            <v>4090340018470</v>
          </cell>
          <cell r="I305" t="str">
            <v>RECURSO CON RESULTADO DE FONDO</v>
          </cell>
          <cell r="J305" t="str">
            <v>JORGE LUIS, SANCHEZ TORRES</v>
          </cell>
          <cell r="K305" t="str">
            <v>GLADYS ANGELITA, SANTILLAN VALDIVIA</v>
          </cell>
          <cell r="L305" t="str">
            <v>AJUSTE DE VALOR</v>
          </cell>
          <cell r="M305" t="str">
            <v>INFUNDADO</v>
          </cell>
          <cell r="N305">
            <v>4090140017973</v>
          </cell>
        </row>
        <row r="306">
          <cell r="H306">
            <v>4090340018468</v>
          </cell>
          <cell r="I306" t="str">
            <v>RECURSO CON RESULTADO DE FONDO</v>
          </cell>
          <cell r="J306" t="str">
            <v>JORGE LUIS, SANCHEZ TORRES</v>
          </cell>
          <cell r="K306" t="str">
            <v>GLADYS ANGELITA, SANTILLAN VALDIVIA</v>
          </cell>
          <cell r="L306" t="str">
            <v>AJUSTE DE VALOR</v>
          </cell>
          <cell r="M306" t="str">
            <v>INFUNDADO</v>
          </cell>
          <cell r="N306">
            <v>4090140017835</v>
          </cell>
        </row>
        <row r="307">
          <cell r="H307">
            <v>4090340018440</v>
          </cell>
          <cell r="I307" t="str">
            <v>RECURSO CON RESULTADO DE FONDO</v>
          </cell>
          <cell r="J307" t="str">
            <v>JORGE LUIS, SANCHEZ TORRES</v>
          </cell>
          <cell r="K307" t="str">
            <v>GLADYS ANGELITA, SANTILLAN VALDIVIA</v>
          </cell>
          <cell r="L307" t="str">
            <v>AJUSTE DE VALOR</v>
          </cell>
          <cell r="M307" t="str">
            <v>INFUNDADO</v>
          </cell>
          <cell r="N307">
            <v>4090140017834</v>
          </cell>
        </row>
        <row r="308">
          <cell r="H308">
            <v>4090340018439</v>
          </cell>
          <cell r="I308" t="str">
            <v>RECURSO CON RESULTADO DE FONDO</v>
          </cell>
          <cell r="J308" t="str">
            <v>JORGE LUIS, SANCHEZ TORRES</v>
          </cell>
          <cell r="K308" t="str">
            <v>GLADYS ANGELITA, SANTILLAN VALDIVIA</v>
          </cell>
          <cell r="L308" t="str">
            <v>AJUSTE DE VALOR</v>
          </cell>
          <cell r="M308" t="str">
            <v>INFUNDADO</v>
          </cell>
          <cell r="N308">
            <v>4090140017833</v>
          </cell>
        </row>
        <row r="309">
          <cell r="H309">
            <v>4090340018437</v>
          </cell>
          <cell r="I309" t="str">
            <v>RECURSO CON RESULTADO DE FONDO</v>
          </cell>
          <cell r="J309" t="str">
            <v>ANA MARIA, DIAZ JURADO</v>
          </cell>
          <cell r="K309" t="str">
            <v>ALLISON ERIKA, CASTRO LAGOS</v>
          </cell>
          <cell r="L309" t="str">
            <v>AJUSTE DE VALOR</v>
          </cell>
          <cell r="M309" t="str">
            <v>NULIDAD</v>
          </cell>
          <cell r="N309">
            <v>4090140017582</v>
          </cell>
        </row>
        <row r="310">
          <cell r="H310">
            <v>4090340018431</v>
          </cell>
          <cell r="I310" t="str">
            <v>RECURSO CON RESULTADO DE FONDO</v>
          </cell>
          <cell r="J310" t="str">
            <v>HECTOR JESUS, CHAHUARA VIGO</v>
          </cell>
          <cell r="K310" t="str">
            <v>TERESITA MILAGROS, QUEZADA VILLAR</v>
          </cell>
          <cell r="L310" t="str">
            <v>AJUSTE DE VALOR</v>
          </cell>
          <cell r="M310" t="str">
            <v>INFUNDADO</v>
          </cell>
          <cell r="N310">
            <v>4090140018025</v>
          </cell>
        </row>
        <row r="311">
          <cell r="H311">
            <v>4090340018430</v>
          </cell>
          <cell r="I311" t="str">
            <v>RECURSO CON RESULTADO DE FONDO</v>
          </cell>
          <cell r="J311" t="str">
            <v>JORGE LUIS, SANCHEZ TORRES</v>
          </cell>
          <cell r="K311" t="str">
            <v>GLADYS ANGELITA, SANTILLAN VALDIVIA</v>
          </cell>
          <cell r="L311" t="str">
            <v>AJUSTE DE VALOR</v>
          </cell>
          <cell r="M311" t="str">
            <v>INFUNDADO</v>
          </cell>
          <cell r="N311">
            <v>4090140017832</v>
          </cell>
        </row>
        <row r="312">
          <cell r="H312">
            <v>4090340018429</v>
          </cell>
          <cell r="I312" t="str">
            <v>RECURSO CON RESULTADO DE FONDO</v>
          </cell>
          <cell r="J312" t="str">
            <v>JORGE LUIS, SANCHEZ TORRES</v>
          </cell>
          <cell r="K312" t="str">
            <v>GLADYS ANGELITA, SANTILLAN VALDIVIA</v>
          </cell>
          <cell r="L312" t="str">
            <v>AJUSTE DE VALOR</v>
          </cell>
          <cell r="M312" t="str">
            <v>INFUNDADO</v>
          </cell>
          <cell r="N312">
            <v>4090140017831</v>
          </cell>
        </row>
        <row r="313">
          <cell r="H313">
            <v>4090340018427</v>
          </cell>
          <cell r="I313" t="str">
            <v>RECURSO CON RESULTADO DE FONDO</v>
          </cell>
          <cell r="J313" t="str">
            <v>LUIS ALBERTO, CORDOVA MEZA</v>
          </cell>
          <cell r="K313" t="str">
            <v>GLADYS ANGELITA, SANTILLAN VALDIVIA</v>
          </cell>
          <cell r="L313" t="str">
            <v>AJUSTE DE VALOR</v>
          </cell>
          <cell r="M313" t="str">
            <v>INFUNDADO</v>
          </cell>
          <cell r="N313">
            <v>4090140017916</v>
          </cell>
        </row>
        <row r="314">
          <cell r="H314">
            <v>4090340018425</v>
          </cell>
          <cell r="I314" t="str">
            <v>RECURSO CON RESULTADO DE FONDO</v>
          </cell>
          <cell r="J314" t="str">
            <v>JAVIER GUSTAVO, OYARSE CRUZ</v>
          </cell>
          <cell r="K314" t="str">
            <v>TERESITA MILAGROS, QUEZADA VILLAR</v>
          </cell>
          <cell r="L314" t="str">
            <v>AJUSTE DE VALOR</v>
          </cell>
          <cell r="M314" t="str">
            <v>INFUNDADO</v>
          </cell>
          <cell r="N314">
            <v>4090140017905</v>
          </cell>
        </row>
        <row r="315">
          <cell r="H315">
            <v>4090340018423</v>
          </cell>
          <cell r="I315" t="str">
            <v>RECURSO CON RESULTADO DE FONDO</v>
          </cell>
          <cell r="J315" t="str">
            <v>MARIA LUISA, CHIRE TUNQUE</v>
          </cell>
          <cell r="K315" t="str">
            <v>TERESITA MILAGROS, QUEZADA VILLAR</v>
          </cell>
          <cell r="L315" t="str">
            <v>AJUSTE DE VALOR</v>
          </cell>
          <cell r="M315" t="str">
            <v>INFUNDADO</v>
          </cell>
          <cell r="N315">
            <v>4090140017952</v>
          </cell>
        </row>
        <row r="316">
          <cell r="H316">
            <v>4090340018392</v>
          </cell>
          <cell r="I316" t="str">
            <v>RECURSO CON RESULTADO DE FONDO</v>
          </cell>
          <cell r="J316" t="str">
            <v>LYDIA CAROLINA, ARESTEGUI PEREYRA</v>
          </cell>
          <cell r="K316" t="str">
            <v>ALLISON ERIKA, CASTRO LAGOS</v>
          </cell>
          <cell r="L316" t="str">
            <v>AJUSTE DE VALOR</v>
          </cell>
          <cell r="M316" t="str">
            <v>INFUNDADO</v>
          </cell>
          <cell r="N316">
            <v>4090140017521</v>
          </cell>
        </row>
        <row r="317">
          <cell r="H317">
            <v>4090340018443</v>
          </cell>
          <cell r="I317" t="str">
            <v>RECURSO CON RESULTADO DE FONDO</v>
          </cell>
          <cell r="J317" t="str">
            <v>MILAGROS, LOPEZ AUQUI</v>
          </cell>
          <cell r="K317" t="str">
            <v>GLADYS ANGELITA, SANTILLAN VALDIVIA</v>
          </cell>
          <cell r="L317" t="str">
            <v>DEVOLUCION AJUSTE DE VALOR</v>
          </cell>
          <cell r="M317" t="str">
            <v>FUNDADO EN PARTE</v>
          </cell>
          <cell r="N317">
            <v>4090140018029</v>
          </cell>
        </row>
        <row r="318">
          <cell r="H318">
            <v>4090340018389</v>
          </cell>
          <cell r="I318" t="str">
            <v>RECURSO CON RESULTADO DE FONDO</v>
          </cell>
          <cell r="J318" t="str">
            <v>LYDIA CAROLINA, ARESTEGUI PEREYRA</v>
          </cell>
          <cell r="K318" t="str">
            <v>ALLISON ERIKA, CASTRO LAGOS</v>
          </cell>
          <cell r="L318" t="str">
            <v>AJUSTE DE VALOR</v>
          </cell>
          <cell r="M318" t="str">
            <v>INFUNDADO</v>
          </cell>
          <cell r="N318">
            <v>4090140017660</v>
          </cell>
        </row>
        <row r="319">
          <cell r="H319">
            <v>4090340018385</v>
          </cell>
          <cell r="I319" t="str">
            <v>RECURSO CON RESULTADO DE FONDO</v>
          </cell>
          <cell r="J319" t="str">
            <v>JULIO RAMIRO, CASTAÑEDA CALDERON</v>
          </cell>
          <cell r="K319" t="str">
            <v>GLADYS ANGELITA, SANTILLAN VALDIVIA</v>
          </cell>
          <cell r="L319" t="str">
            <v>AJUSTE DE VALOR</v>
          </cell>
          <cell r="M319" t="str">
            <v>INFUNDADO</v>
          </cell>
          <cell r="N319">
            <v>4090140017616</v>
          </cell>
        </row>
        <row r="320">
          <cell r="H320">
            <v>4090340018384</v>
          </cell>
          <cell r="I320" t="str">
            <v>RECURSO CON RESULTADO DE FONDO</v>
          </cell>
          <cell r="J320" t="str">
            <v>JULIO RAMIRO, CASTAÑEDA CALDERON</v>
          </cell>
          <cell r="K320" t="str">
            <v>GLADYS ANGELITA, SANTILLAN VALDIVIA</v>
          </cell>
          <cell r="L320" t="str">
            <v>AJUSTE DE VALOR</v>
          </cell>
          <cell r="M320" t="str">
            <v>INFUNDADO</v>
          </cell>
          <cell r="N320">
            <v>4090140017694</v>
          </cell>
        </row>
        <row r="321">
          <cell r="H321">
            <v>4090340018416</v>
          </cell>
          <cell r="I321" t="str">
            <v>RECURSO CON RESULTADO DE FONDO</v>
          </cell>
          <cell r="J321" t="str">
            <v>JORGE LUIS, SANCHEZ TORRES</v>
          </cell>
          <cell r="K321" t="str">
            <v>GLADYS ANGELITA, SANTILLAN VALDIVIA</v>
          </cell>
          <cell r="L321" t="str">
            <v>AJUSTE DE VALOR</v>
          </cell>
          <cell r="M321" t="str">
            <v>INFUNDADO</v>
          </cell>
          <cell r="N321">
            <v>4090140017683</v>
          </cell>
        </row>
        <row r="322">
          <cell r="H322">
            <v>4090340018383</v>
          </cell>
          <cell r="I322" t="str">
            <v>RECURSO CON RESULTADO DE FONDO</v>
          </cell>
          <cell r="J322" t="str">
            <v>JULIO RAMIRO, CASTAÑEDA CALDERON</v>
          </cell>
          <cell r="K322" t="str">
            <v>GLADYS ANGELITA, SANTILLAN VALDIVIA</v>
          </cell>
          <cell r="L322" t="str">
            <v>AJUSTE DE VALOR</v>
          </cell>
          <cell r="M322" t="str">
            <v>INFUNDADO</v>
          </cell>
          <cell r="N322">
            <v>4090140017695</v>
          </cell>
        </row>
        <row r="323">
          <cell r="H323">
            <v>4090340018382</v>
          </cell>
          <cell r="I323" t="str">
            <v>RECURSO CON RESULTADO DE FONDO</v>
          </cell>
          <cell r="J323" t="str">
            <v>ANDRES EDUARDO, ANGULO FARFAN</v>
          </cell>
          <cell r="K323" t="str">
            <v>GLADYS ANGELITA, SANTILLAN VALDIVIA</v>
          </cell>
          <cell r="L323" t="str">
            <v>AJUSTE DE VALOR</v>
          </cell>
          <cell r="M323" t="str">
            <v>INFUNDADO</v>
          </cell>
          <cell r="N323">
            <v>4090140017890</v>
          </cell>
        </row>
        <row r="324">
          <cell r="H324">
            <v>4090340018411</v>
          </cell>
          <cell r="I324" t="str">
            <v>RECURSO CON RESULTADO DE FONDO</v>
          </cell>
          <cell r="J324" t="str">
            <v>LYDIA CAROLINA, ARESTEGUI PEREYRA</v>
          </cell>
          <cell r="K324" t="str">
            <v>ALLISON ERIKA, CASTRO LAGOS</v>
          </cell>
          <cell r="L324" t="str">
            <v>AJUSTE DE VALOR</v>
          </cell>
          <cell r="M324" t="str">
            <v>INFUNDADO</v>
          </cell>
          <cell r="N324">
            <v>4090140017545</v>
          </cell>
        </row>
        <row r="325">
          <cell r="H325">
            <v>4090340018410</v>
          </cell>
          <cell r="I325" t="str">
            <v>RECURSO CON RESULTADO DE FONDO</v>
          </cell>
          <cell r="J325" t="str">
            <v>ANA MARIA, DIAZ JURADO</v>
          </cell>
          <cell r="K325" t="str">
            <v>ALLISON ERIKA, CASTRO LAGOS</v>
          </cell>
          <cell r="L325" t="str">
            <v>AJUSTE DE VALOR</v>
          </cell>
          <cell r="M325" t="str">
            <v>NULIDAD</v>
          </cell>
          <cell r="N325">
            <v>4090140017506</v>
          </cell>
        </row>
        <row r="326">
          <cell r="H326">
            <v>4090340018409</v>
          </cell>
          <cell r="I326" t="str">
            <v>RECURSO CON RESULTADO DE FONDO</v>
          </cell>
          <cell r="J326" t="str">
            <v>ANA MARIA, DIAZ JURADO</v>
          </cell>
          <cell r="K326" t="str">
            <v>ALLISON ERIKA, CASTRO LAGOS</v>
          </cell>
          <cell r="L326" t="str">
            <v>AJUSTE DE VALOR</v>
          </cell>
          <cell r="M326" t="str">
            <v>NULIDAD</v>
          </cell>
          <cell r="N326">
            <v>4090140017508</v>
          </cell>
        </row>
        <row r="327">
          <cell r="H327">
            <v>4090340018408</v>
          </cell>
          <cell r="I327" t="str">
            <v>RECURSO CON RESULTADO DE FONDO</v>
          </cell>
          <cell r="J327" t="str">
            <v>ALLISON ERIKA, CASTRO LAGOS</v>
          </cell>
          <cell r="K327" t="str">
            <v>ALLISON ERIKA, CASTRO LAGOS</v>
          </cell>
          <cell r="L327" t="str">
            <v>AJUSTE DE VALOR</v>
          </cell>
          <cell r="M327" t="str">
            <v>INFUNDADO</v>
          </cell>
          <cell r="N327">
            <v>4090140017685</v>
          </cell>
        </row>
        <row r="328">
          <cell r="H328">
            <v>4090340018407</v>
          </cell>
          <cell r="I328" t="str">
            <v>RECURSO CON RESULTADO DE FONDO</v>
          </cell>
          <cell r="J328" t="str">
            <v>HECTOR JESUS, CHAHUARA VIGO</v>
          </cell>
          <cell r="K328" t="str">
            <v>TERESITA MILAGROS, QUEZADA VILLAR</v>
          </cell>
          <cell r="L328" t="str">
            <v>AJUSTE DE VALOR</v>
          </cell>
          <cell r="M328" t="str">
            <v>INFUNDADO</v>
          </cell>
          <cell r="N328">
            <v>4090140018026</v>
          </cell>
        </row>
        <row r="329">
          <cell r="H329">
            <v>4090340018406</v>
          </cell>
          <cell r="I329" t="str">
            <v>RECURSO CON RESULTADO DE FONDO</v>
          </cell>
          <cell r="J329" t="str">
            <v>LYDIA CAROLINA, ARESTEGUI PEREYRA</v>
          </cell>
          <cell r="K329" t="str">
            <v>ALLISON ERIKA, CASTRO LAGOS</v>
          </cell>
          <cell r="L329" t="str">
            <v>AJUSTE DE VALOR</v>
          </cell>
          <cell r="M329" t="str">
            <v>INFUNDADO</v>
          </cell>
          <cell r="N329">
            <v>4090140017520</v>
          </cell>
        </row>
        <row r="330">
          <cell r="H330">
            <v>4090340018399</v>
          </cell>
          <cell r="I330" t="str">
            <v>RECURSO CON RESULTADO DE FONDO</v>
          </cell>
          <cell r="J330" t="str">
            <v>MARIA LUISA, CHIRE TUNQUE</v>
          </cell>
          <cell r="K330" t="str">
            <v>TERESITA MILAGROS, QUEZADA VILLAR</v>
          </cell>
          <cell r="L330" t="str">
            <v>AJUSTE DE VALOR</v>
          </cell>
          <cell r="M330" t="str">
            <v>INFUNDADO</v>
          </cell>
          <cell r="N330">
            <v>4090140017951</v>
          </cell>
        </row>
        <row r="331">
          <cell r="H331">
            <v>4090340018449</v>
          </cell>
          <cell r="I331" t="str">
            <v>RECURSO CON RESULTADO DE FONDO</v>
          </cell>
          <cell r="J331" t="str">
            <v>MARIA LUISA, CHIRE TUNQUE</v>
          </cell>
          <cell r="K331" t="str">
            <v>TERESITA MILAGROS, QUEZADA VILLAR</v>
          </cell>
          <cell r="L331" t="str">
            <v>AJUSTE DE VALOR</v>
          </cell>
          <cell r="M331" t="str">
            <v>NULIDAD</v>
          </cell>
          <cell r="N331">
            <v>4090140018043</v>
          </cell>
        </row>
        <row r="332">
          <cell r="H332">
            <v>4090340018396</v>
          </cell>
          <cell r="I332" t="str">
            <v>RECURSO CON RESULTADO DE FONDO</v>
          </cell>
          <cell r="J332" t="str">
            <v>ALLISON ERIKA, CASTRO LAGOS</v>
          </cell>
          <cell r="K332" t="str">
            <v>ALLISON ERIKA, CASTRO LAGOS</v>
          </cell>
          <cell r="L332" t="str">
            <v>AJUSTE DE VALOR</v>
          </cell>
          <cell r="M332" t="str">
            <v>INFUNDADO</v>
          </cell>
          <cell r="N332">
            <v>4090140017661</v>
          </cell>
        </row>
        <row r="333">
          <cell r="H333">
            <v>4090340018397</v>
          </cell>
          <cell r="I333" t="str">
            <v>RECURSO CON RESULTADO DE FONDO</v>
          </cell>
          <cell r="J333" t="str">
            <v>EDGAR FERNANDO, COSIO JARA</v>
          </cell>
          <cell r="K333" t="str">
            <v>ALLISON ERIKA, CASTRO LAGOS</v>
          </cell>
          <cell r="L333" t="str">
            <v>AJUSTE DE VALOR</v>
          </cell>
          <cell r="M333" t="str">
            <v>INFUNDADO</v>
          </cell>
          <cell r="N333">
            <v>4090140017879</v>
          </cell>
        </row>
        <row r="334">
          <cell r="H334">
            <v>4090340018368</v>
          </cell>
          <cell r="I334" t="str">
            <v>RECURSO CON RESULTADO DE FONDO</v>
          </cell>
          <cell r="J334" t="str">
            <v>MARITZA, MOLLINEDO CATUNTA</v>
          </cell>
          <cell r="K334" t="str">
            <v>GLADYS ANGELITA, SANTILLAN VALDIVIA</v>
          </cell>
          <cell r="L334" t="str">
            <v>MULTA LGA</v>
          </cell>
          <cell r="M334" t="str">
            <v>INFUNDADO</v>
          </cell>
          <cell r="N334">
            <v>4090140017763</v>
          </cell>
        </row>
        <row r="335">
          <cell r="H335">
            <v>4090340018415</v>
          </cell>
          <cell r="I335" t="str">
            <v>RECURSO CON RESULTADO DE FONDO</v>
          </cell>
          <cell r="J335" t="str">
            <v>MARITZA, MOLLINEDO CATUNTA</v>
          </cell>
          <cell r="K335" t="str">
            <v>GLADYS ANGELITA, SANTILLAN VALDIVIA</v>
          </cell>
          <cell r="L335" t="str">
            <v>OTRAS DEVOLUCIONES</v>
          </cell>
          <cell r="M335" t="str">
            <v>INFUNDADO</v>
          </cell>
          <cell r="N335">
            <v>4090140017770</v>
          </cell>
        </row>
        <row r="336">
          <cell r="H336">
            <v>4090340018426</v>
          </cell>
          <cell r="I336" t="str">
            <v>RECURSO CON RESULTADO DE FONDO</v>
          </cell>
          <cell r="J336" t="str">
            <v>MILAGROS, LOPEZ AUQUI</v>
          </cell>
          <cell r="K336" t="str">
            <v>GLADYS ANGELITA, SANTILLAN VALDIVIA</v>
          </cell>
          <cell r="L336" t="str">
            <v>AJUSTE DE VALOR</v>
          </cell>
          <cell r="M336" t="str">
            <v>INFUNDADO</v>
          </cell>
          <cell r="N336">
            <v>4090140017633</v>
          </cell>
        </row>
        <row r="337">
          <cell r="H337">
            <v>4090340018405</v>
          </cell>
          <cell r="I337" t="str">
            <v>RECURSO CON RESULTADO DE FONDO</v>
          </cell>
          <cell r="J337" t="str">
            <v>ANDRES EDUARDO, ANGULO FARFAN</v>
          </cell>
          <cell r="K337" t="str">
            <v>GLADYS ANGELITA, SANTILLAN VALDIVIA</v>
          </cell>
          <cell r="L337" t="str">
            <v>AJUSTE DE VALOR</v>
          </cell>
          <cell r="M337" t="str">
            <v>INFUNDADO</v>
          </cell>
          <cell r="N337">
            <v>4090140017737</v>
          </cell>
        </row>
        <row r="338">
          <cell r="H338">
            <v>4090340018377</v>
          </cell>
          <cell r="I338" t="str">
            <v>RECURSO CON RESULTADO DE FONDO</v>
          </cell>
          <cell r="J338" t="str">
            <v>LYDIA CAROLINA, ARESTEGUI PEREYRA</v>
          </cell>
          <cell r="K338" t="str">
            <v>ALLISON ERIKA, CASTRO LAGOS</v>
          </cell>
          <cell r="L338" t="str">
            <v>AJUSTE DE VALOR</v>
          </cell>
          <cell r="M338" t="str">
            <v>INFUNDADO</v>
          </cell>
          <cell r="N338">
            <v>4090140017596</v>
          </cell>
        </row>
        <row r="339">
          <cell r="H339">
            <v>4090340018376</v>
          </cell>
          <cell r="I339" t="str">
            <v>RECURSO CON RESULTADO DE FONDO</v>
          </cell>
          <cell r="J339" t="str">
            <v>VICTORIA AGUSTINA, SANTA CRUZ MARTINEZ</v>
          </cell>
          <cell r="K339" t="str">
            <v>ALLISON ERIKA, CASTRO LAGOS</v>
          </cell>
          <cell r="L339" t="str">
            <v>AJUSTE DE VALOR</v>
          </cell>
          <cell r="M339" t="str">
            <v>INFUNDADO</v>
          </cell>
          <cell r="N339">
            <v>4090140017846</v>
          </cell>
        </row>
        <row r="340">
          <cell r="H340">
            <v>4090340018375</v>
          </cell>
          <cell r="I340" t="str">
            <v>RECURSO CON RESULTADO DE FONDO</v>
          </cell>
          <cell r="J340" t="str">
            <v>MARIA LUISA, CHIRE TUNQUE</v>
          </cell>
          <cell r="K340" t="str">
            <v>TERESITA MILAGROS, QUEZADA VILLAR</v>
          </cell>
          <cell r="L340" t="str">
            <v>AJUSTE DE VALOR</v>
          </cell>
          <cell r="M340" t="str">
            <v>INFUNDADO</v>
          </cell>
          <cell r="N340">
            <v>4090140017948</v>
          </cell>
        </row>
        <row r="341">
          <cell r="H341">
            <v>4090340018345</v>
          </cell>
          <cell r="I341" t="str">
            <v>RECURSO CON RESULTADO DE FONDO</v>
          </cell>
          <cell r="J341" t="str">
            <v>JAVIER GUSTAVO, OYARSE CRUZ</v>
          </cell>
          <cell r="K341" t="str">
            <v>TERESITA MILAGROS, QUEZADA VILLAR</v>
          </cell>
          <cell r="L341" t="str">
            <v>AJUSTE DE VALOR</v>
          </cell>
          <cell r="M341" t="str">
            <v>INFUNDADO</v>
          </cell>
          <cell r="N341">
            <v>4090140017901</v>
          </cell>
        </row>
        <row r="342">
          <cell r="H342">
            <v>4090340018342</v>
          </cell>
          <cell r="I342" t="str">
            <v>RECURSO CON RESULTADO DE FONDO</v>
          </cell>
          <cell r="J342" t="str">
            <v>ANDRES EDUARDO, ANGULO FARFAN</v>
          </cell>
          <cell r="K342" t="str">
            <v>GLADYS ANGELITA, SANTILLAN VALDIVIA</v>
          </cell>
          <cell r="L342" t="str">
            <v>AJUSTE DE VALOR</v>
          </cell>
          <cell r="M342" t="str">
            <v>INFUNDADO</v>
          </cell>
          <cell r="N342">
            <v>4090140017738</v>
          </cell>
        </row>
        <row r="343">
          <cell r="H343">
            <v>4090340018341</v>
          </cell>
          <cell r="I343" t="str">
            <v>RECURSO CON RESULTADO DE FONDO</v>
          </cell>
          <cell r="J343" t="str">
            <v>JORGE LUIS, SANCHEZ TORRES</v>
          </cell>
          <cell r="K343" t="str">
            <v>GLADYS ANGELITA, SANTILLAN VALDIVIA</v>
          </cell>
          <cell r="L343" t="str">
            <v>AJUSTE DE VALOR</v>
          </cell>
          <cell r="M343" t="str">
            <v>INFUNDADO</v>
          </cell>
          <cell r="N343">
            <v>4090140017686</v>
          </cell>
        </row>
        <row r="344">
          <cell r="H344">
            <v>4090340018366</v>
          </cell>
          <cell r="I344" t="str">
            <v>RECURSO CON RESULTADO DE FONDO</v>
          </cell>
          <cell r="J344" t="str">
            <v>EDGAR FERNANDO, COSIO JARA</v>
          </cell>
          <cell r="K344" t="str">
            <v>ALLISON ERIKA, CASTRO LAGOS</v>
          </cell>
          <cell r="L344" t="str">
            <v>AJUSTE DE VALOR</v>
          </cell>
          <cell r="M344" t="str">
            <v>NULIDAD</v>
          </cell>
          <cell r="N344">
            <v>4090140017918</v>
          </cell>
        </row>
        <row r="345">
          <cell r="H345">
            <v>4090340018337</v>
          </cell>
          <cell r="I345" t="str">
            <v>RECURSO CON RESULTADO DE FONDO</v>
          </cell>
          <cell r="J345" t="str">
            <v>JORGE ENRIQUE, JARA YUPANQUI</v>
          </cell>
          <cell r="K345" t="str">
            <v>TERESITA MILAGROS, QUEZADA VILLAR</v>
          </cell>
          <cell r="L345" t="str">
            <v>AJUSTE DE VALOR</v>
          </cell>
          <cell r="M345" t="str">
            <v>INFUNDADO</v>
          </cell>
          <cell r="N345">
            <v>4090140018051</v>
          </cell>
        </row>
        <row r="346">
          <cell r="H346">
            <v>4090340018363</v>
          </cell>
          <cell r="I346" t="str">
            <v>RECURSO CON RESULTADO DE FONDO</v>
          </cell>
          <cell r="J346" t="str">
            <v>AZHIR YUSSEF, SANDOVAL GUEVARA</v>
          </cell>
          <cell r="K346" t="str">
            <v>GLADYS ANGELITA, SANTILLAN VALDIVIA</v>
          </cell>
          <cell r="L346" t="str">
            <v>AJUSTE DE VALOR</v>
          </cell>
          <cell r="M346" t="str">
            <v>INFUNDADO</v>
          </cell>
          <cell r="N346">
            <v>4090140017792</v>
          </cell>
        </row>
        <row r="347">
          <cell r="H347">
            <v>4090340018361</v>
          </cell>
          <cell r="I347" t="str">
            <v>RECURSO CON RESULTADO DE FONDO</v>
          </cell>
          <cell r="J347" t="str">
            <v>CESAR VICTOR, LINARES ALCANTARA</v>
          </cell>
          <cell r="K347" t="str">
            <v>ALLISON ERIKA, CASTRO LAGOS</v>
          </cell>
          <cell r="L347" t="str">
            <v>AJUSTE DE VALOR</v>
          </cell>
          <cell r="M347" t="str">
            <v>INFUNDADO</v>
          </cell>
          <cell r="N347">
            <v>4090140018027</v>
          </cell>
        </row>
        <row r="348">
          <cell r="H348">
            <v>4090340018359</v>
          </cell>
          <cell r="I348" t="str">
            <v>RECURSO CON RESULTADO DE FONDO</v>
          </cell>
          <cell r="J348" t="str">
            <v>CESAR VICTOR, LINARES ALCANTARA</v>
          </cell>
          <cell r="K348" t="str">
            <v>ALLISON ERIKA, CASTRO LAGOS</v>
          </cell>
          <cell r="L348" t="str">
            <v>AJUSTE DE VALOR</v>
          </cell>
          <cell r="M348" t="str">
            <v>FUNDADO EN PARTE</v>
          </cell>
          <cell r="N348">
            <v>4090140018015</v>
          </cell>
        </row>
        <row r="349">
          <cell r="H349">
            <v>4090340018358</v>
          </cell>
          <cell r="I349" t="str">
            <v>RECURSO CON RESULTADO DE FONDO</v>
          </cell>
          <cell r="J349" t="str">
            <v>CESAR VICTOR, LINARES ALCANTARA</v>
          </cell>
          <cell r="K349" t="str">
            <v>ALLISON ERIKA, CASTRO LAGOS</v>
          </cell>
          <cell r="L349" t="str">
            <v>AJUSTE DE VALOR</v>
          </cell>
          <cell r="M349" t="str">
            <v>INFUNDADO</v>
          </cell>
          <cell r="N349">
            <v>4090140017980</v>
          </cell>
        </row>
        <row r="350">
          <cell r="H350">
            <v>4090340018353</v>
          </cell>
          <cell r="I350" t="str">
            <v>RECURSO CON RESULTADO DE FONDO</v>
          </cell>
          <cell r="J350" t="str">
            <v>JORGE LUIS, SANCHEZ TORRES</v>
          </cell>
          <cell r="K350" t="str">
            <v>GLADYS ANGELITA, SANTILLAN VALDIVIA</v>
          </cell>
          <cell r="L350" t="str">
            <v>AJUSTE DE VALOR</v>
          </cell>
          <cell r="M350" t="str">
            <v>INFUNDADO</v>
          </cell>
          <cell r="N350">
            <v>4090140017900</v>
          </cell>
        </row>
        <row r="351">
          <cell r="H351">
            <v>4090340018310</v>
          </cell>
          <cell r="I351" t="str">
            <v>RECURSO CON RESULTADO DE FONDO</v>
          </cell>
          <cell r="J351" t="str">
            <v>JAVIER GUSTAVO, OYARSE CRUZ</v>
          </cell>
          <cell r="K351" t="str">
            <v>TERESITA MILAGROS, QUEZADA VILLAR</v>
          </cell>
          <cell r="L351" t="str">
            <v>AJUSTE DE VALOR</v>
          </cell>
          <cell r="M351" t="str">
            <v>INFUNDADO</v>
          </cell>
          <cell r="N351">
            <v>4090140017902</v>
          </cell>
        </row>
        <row r="352">
          <cell r="H352">
            <v>4090340018308</v>
          </cell>
          <cell r="I352" t="str">
            <v>RECURSO CON RESULTADO DE FONDO</v>
          </cell>
          <cell r="J352" t="str">
            <v>AZHIR YUSSEF, SANDOVAL GUEVARA</v>
          </cell>
          <cell r="K352" t="str">
            <v>GLADYS ANGELITA, SANTILLAN VALDIVIA</v>
          </cell>
          <cell r="L352" t="str">
            <v>AJUSTE DE VALOR</v>
          </cell>
          <cell r="M352" t="str">
            <v>INFUNDADO</v>
          </cell>
          <cell r="N352">
            <v>4090140017791</v>
          </cell>
        </row>
        <row r="353">
          <cell r="H353">
            <v>4090340018303</v>
          </cell>
          <cell r="I353" t="str">
            <v>RECURSO CON RESULTADO DE FONDO</v>
          </cell>
          <cell r="J353" t="str">
            <v>VICTORIA AGUSTINA, SANTA CRUZ MARTINEZ</v>
          </cell>
          <cell r="K353" t="str">
            <v>ALLISON ERIKA, CASTRO LAGOS</v>
          </cell>
          <cell r="L353" t="str">
            <v>AJUSTE DE VALOR</v>
          </cell>
          <cell r="M353" t="str">
            <v>INFUNDADO</v>
          </cell>
          <cell r="N353">
            <v>4090140017989</v>
          </cell>
        </row>
        <row r="354">
          <cell r="H354">
            <v>4090340018302</v>
          </cell>
          <cell r="I354" t="str">
            <v>RECURSO CON RESULTADO DE FONDO</v>
          </cell>
          <cell r="J354" t="str">
            <v>VICTORIA AGUSTINA, SANTA CRUZ MARTINEZ</v>
          </cell>
          <cell r="K354" t="str">
            <v>ALLISON ERIKA, CASTRO LAGOS</v>
          </cell>
          <cell r="L354" t="str">
            <v>AJUSTE DE VALOR</v>
          </cell>
          <cell r="M354" t="str">
            <v>INFUNDADO</v>
          </cell>
          <cell r="N354">
            <v>4090140017845</v>
          </cell>
        </row>
        <row r="355">
          <cell r="H355">
            <v>4090340018301</v>
          </cell>
          <cell r="I355" t="str">
            <v>RECURSO CON RESULTADO DE FONDO</v>
          </cell>
          <cell r="J355" t="str">
            <v>VICTORIA AGUSTINA, SANTA CRUZ MARTINEZ</v>
          </cell>
          <cell r="K355" t="str">
            <v>ALLISON ERIKA, CASTRO LAGOS</v>
          </cell>
          <cell r="L355" t="str">
            <v>AJUSTE DE VALOR</v>
          </cell>
          <cell r="M355" t="str">
            <v>INFUNDADO</v>
          </cell>
          <cell r="N355">
            <v>4090140017844</v>
          </cell>
        </row>
        <row r="356">
          <cell r="H356">
            <v>4090340018299</v>
          </cell>
          <cell r="I356" t="str">
            <v>RECURSO CON RESULTADO DE FONDO</v>
          </cell>
          <cell r="J356" t="str">
            <v>VICTORIA AGUSTINA, SANTA CRUZ MARTINEZ</v>
          </cell>
          <cell r="K356" t="str">
            <v>ALLISON ERIKA, CASTRO LAGOS</v>
          </cell>
          <cell r="L356" t="str">
            <v>AJUSTE DE VALOR</v>
          </cell>
          <cell r="M356" t="str">
            <v>INFUNDADO</v>
          </cell>
          <cell r="N356">
            <v>4090140017981</v>
          </cell>
        </row>
        <row r="357">
          <cell r="H357">
            <v>4090340018336</v>
          </cell>
          <cell r="I357" t="str">
            <v>RECURSO CON RESULTADO DE FONDO</v>
          </cell>
          <cell r="J357" t="str">
            <v>JORGE LUIS, SANCHEZ TORRES</v>
          </cell>
          <cell r="K357" t="str">
            <v>GLADYS ANGELITA, SANTILLAN VALDIVIA</v>
          </cell>
          <cell r="L357" t="str">
            <v>AJUSTE DE VALOR</v>
          </cell>
          <cell r="M357" t="str">
            <v>INFUNDADO</v>
          </cell>
          <cell r="N357">
            <v>4090140017906</v>
          </cell>
        </row>
        <row r="358">
          <cell r="H358">
            <v>4090340018286</v>
          </cell>
          <cell r="I358" t="str">
            <v>RECURSO CON RESULTADO DE FONDO</v>
          </cell>
          <cell r="J358" t="str">
            <v>LYDIA CAROLINA, ARESTEGUI PEREYRA</v>
          </cell>
          <cell r="K358" t="str">
            <v>ALLISON ERIKA, CASTRO LAGOS</v>
          </cell>
          <cell r="L358" t="str">
            <v>AJUSTE DE VALOR</v>
          </cell>
          <cell r="M358" t="str">
            <v>INFUNDADO</v>
          </cell>
          <cell r="N358">
            <v>4090140017597</v>
          </cell>
        </row>
        <row r="359">
          <cell r="H359">
            <v>4090340018284</v>
          </cell>
          <cell r="I359" t="str">
            <v>RECURSO CON RESULTADO DE FONDO</v>
          </cell>
          <cell r="J359" t="str">
            <v>LYDIA CAROLINA, ARESTEGUI PEREYRA</v>
          </cell>
          <cell r="K359" t="str">
            <v>ALLISON ERIKA, CASTRO LAGOS</v>
          </cell>
          <cell r="L359" t="str">
            <v>AJUSTE DE VALOR</v>
          </cell>
          <cell r="M359" t="str">
            <v>INFUNDADO</v>
          </cell>
          <cell r="N359">
            <v>4090140017639</v>
          </cell>
        </row>
        <row r="360">
          <cell r="H360">
            <v>4090340018323</v>
          </cell>
          <cell r="I360" t="str">
            <v>RECURSO CON RESULTADO DE FONDO</v>
          </cell>
          <cell r="J360" t="str">
            <v>WILLIAN ARNALDO, GODOY ESCALANTE</v>
          </cell>
          <cell r="K360" t="str">
            <v>TERESITA MILAGROS, QUEZADA VILLAR</v>
          </cell>
          <cell r="L360" t="str">
            <v>AJUSTE DE VALOR</v>
          </cell>
          <cell r="M360" t="str">
            <v>INFUNDADO</v>
          </cell>
          <cell r="N360">
            <v>4090140018022</v>
          </cell>
        </row>
        <row r="361">
          <cell r="H361">
            <v>4090340018282</v>
          </cell>
          <cell r="I361" t="str">
            <v>RECURSO CON RESULTADO DE FONDO</v>
          </cell>
          <cell r="J361" t="str">
            <v>VICTORIA AGUSTINA, SANTA CRUZ MARTINEZ</v>
          </cell>
          <cell r="K361" t="str">
            <v>ALLISON ERIKA, CASTRO LAGOS</v>
          </cell>
          <cell r="L361" t="str">
            <v>AJUSTE DE VALOR</v>
          </cell>
          <cell r="M361" t="str">
            <v>INFUNDADO</v>
          </cell>
          <cell r="N361">
            <v>4090140017643</v>
          </cell>
        </row>
        <row r="362">
          <cell r="H362">
            <v>4090340018322</v>
          </cell>
          <cell r="I362" t="str">
            <v>RECURSO CON RESULTADO DE FONDO</v>
          </cell>
          <cell r="J362" t="str">
            <v>ALLISON ERIKA, CASTRO LAGOS</v>
          </cell>
          <cell r="K362" t="str">
            <v>ALLISON ERIKA, CASTRO LAGOS</v>
          </cell>
          <cell r="L362" t="str">
            <v>AJUSTE DE VALOR</v>
          </cell>
          <cell r="M362" t="str">
            <v>INFUNDADO</v>
          </cell>
          <cell r="N362">
            <v>4090140017488</v>
          </cell>
        </row>
        <row r="363">
          <cell r="H363">
            <v>4090340018319</v>
          </cell>
          <cell r="I363" t="str">
            <v>RECURSO CON RESULTADO DE FONDO</v>
          </cell>
          <cell r="J363" t="str">
            <v>ALLISON ERIKA, CASTRO LAGOS</v>
          </cell>
          <cell r="K363" t="str">
            <v>ALLISON ERIKA, CASTRO LAGOS</v>
          </cell>
          <cell r="L363" t="str">
            <v>AJUSTE DE VALOR</v>
          </cell>
          <cell r="M363" t="str">
            <v>INFUNDADO</v>
          </cell>
          <cell r="N363">
            <v>4090140017490</v>
          </cell>
        </row>
        <row r="364">
          <cell r="H364">
            <v>4090340018318</v>
          </cell>
          <cell r="I364" t="str">
            <v>RECURSO CON RESULTADO DE FONDO</v>
          </cell>
          <cell r="J364" t="str">
            <v>CESAR VICTOR, LINARES ALCANTARA</v>
          </cell>
          <cell r="K364" t="str">
            <v>ALLISON ERIKA, CASTRO LAGOS</v>
          </cell>
          <cell r="L364" t="str">
            <v>AJUSTE DE VALOR</v>
          </cell>
          <cell r="M364" t="str">
            <v>INFUNDADO</v>
          </cell>
          <cell r="N364">
            <v>4090140017961</v>
          </cell>
        </row>
        <row r="365">
          <cell r="H365">
            <v>4090340018317</v>
          </cell>
          <cell r="I365" t="str">
            <v>RECURSO CON RESULTADO DE FONDO</v>
          </cell>
          <cell r="J365" t="str">
            <v>JORGE LUIS, SANCHEZ TORRES</v>
          </cell>
          <cell r="K365" t="str">
            <v>GLADYS ANGELITA, SANTILLAN VALDIVIA</v>
          </cell>
          <cell r="L365" t="str">
            <v>AJUSTE DE VALOR</v>
          </cell>
          <cell r="M365" t="str">
            <v>INFUNDADO</v>
          </cell>
          <cell r="N365">
            <v>4090140017696</v>
          </cell>
        </row>
        <row r="366">
          <cell r="H366">
            <v>4090340018344</v>
          </cell>
          <cell r="I366" t="str">
            <v>RECURSO CON RESULTADO DE FONDO</v>
          </cell>
          <cell r="J366" t="str">
            <v>MARIA LOURDES, HURTADO CUSTODIO</v>
          </cell>
          <cell r="K366" t="str">
            <v>ALLISON ERIKA, CASTRO LAGOS</v>
          </cell>
          <cell r="L366" t="str">
            <v>AJUSTE DE VALOR</v>
          </cell>
          <cell r="M366" t="str">
            <v>NULIDAD</v>
          </cell>
          <cell r="N366">
            <v>4090140017982</v>
          </cell>
        </row>
        <row r="367">
          <cell r="H367">
            <v>4090340018305</v>
          </cell>
          <cell r="I367" t="str">
            <v>RECURSO CON RESULTADO DE FONDO</v>
          </cell>
          <cell r="J367" t="str">
            <v>MARIA LUISA, CHIRE TUNQUE</v>
          </cell>
          <cell r="K367" t="str">
            <v>TERESITA MILAGROS, QUEZADA VILLAR</v>
          </cell>
          <cell r="L367" t="str">
            <v>AJUSTE DE VALOR</v>
          </cell>
          <cell r="M367" t="str">
            <v>INFUNDADO</v>
          </cell>
          <cell r="N367">
            <v>4090140017739</v>
          </cell>
        </row>
        <row r="368">
          <cell r="H368">
            <v>4090340018300</v>
          </cell>
          <cell r="I368" t="str">
            <v>RECURSO CON RESULTADO DE FONDO</v>
          </cell>
          <cell r="J368" t="str">
            <v>ANA MARIA, DIAZ JURADO</v>
          </cell>
          <cell r="K368" t="str">
            <v>ALLISON ERIKA, CASTRO LAGOS</v>
          </cell>
          <cell r="L368" t="str">
            <v>AJUSTE DE VALOR</v>
          </cell>
          <cell r="M368" t="str">
            <v>NULIDAD</v>
          </cell>
          <cell r="N368">
            <v>4090140017489</v>
          </cell>
        </row>
        <row r="369">
          <cell r="H369">
            <v>4090340018298</v>
          </cell>
          <cell r="I369" t="str">
            <v>RECURSO CON RESULTADO DE FONDO</v>
          </cell>
          <cell r="J369" t="str">
            <v>WILLIAN ARNALDO, GODOY ESCALANTE</v>
          </cell>
          <cell r="K369" t="str">
            <v>TERESITA MILAGROS, QUEZADA VILLAR</v>
          </cell>
          <cell r="L369" t="str">
            <v>AJUSTE DE VALOR</v>
          </cell>
          <cell r="M369" t="str">
            <v>INFUNDADO</v>
          </cell>
          <cell r="N369">
            <v>4090140017830</v>
          </cell>
        </row>
        <row r="370">
          <cell r="H370">
            <v>4090340018296</v>
          </cell>
          <cell r="I370" t="str">
            <v>RECURSO CON RESULTADO DE FONDO</v>
          </cell>
          <cell r="J370" t="str">
            <v>ALLISON ERIKA, CASTRO LAGOS</v>
          </cell>
          <cell r="K370" t="str">
            <v>ALLISON ERIKA, CASTRO LAGOS</v>
          </cell>
          <cell r="L370" t="str">
            <v>AJUSTE DE VALOR</v>
          </cell>
          <cell r="M370" t="str">
            <v>INFUNDADO</v>
          </cell>
          <cell r="N370">
            <v>4090140017578</v>
          </cell>
        </row>
        <row r="371">
          <cell r="H371">
            <v>4090340018281</v>
          </cell>
          <cell r="I371" t="str">
            <v>RECURSO CON RESULTADO DE FONDO</v>
          </cell>
          <cell r="J371" t="str">
            <v>EDGAR FERNANDO, COSIO JARA</v>
          </cell>
          <cell r="K371" t="str">
            <v>ALLISON ERIKA, CASTRO LAGOS</v>
          </cell>
          <cell r="L371" t="str">
            <v>DEVOLUCION AJUSTE DE VALOR</v>
          </cell>
          <cell r="M371" t="str">
            <v>INFUNDADO</v>
          </cell>
          <cell r="N371">
            <v>4090140017931</v>
          </cell>
        </row>
        <row r="372">
          <cell r="H372">
            <v>4090340018280</v>
          </cell>
          <cell r="I372" t="str">
            <v>RECURSO CON RESULTADO DE FONDO</v>
          </cell>
          <cell r="J372" t="str">
            <v>JAVIER GUSTAVO, OYARSE CRUZ</v>
          </cell>
          <cell r="K372" t="str">
            <v>TERESITA MILAGROS, QUEZADA VILLAR</v>
          </cell>
          <cell r="L372" t="str">
            <v>AJUSTE DE VALOR</v>
          </cell>
          <cell r="M372" t="str">
            <v>INFUNDADO</v>
          </cell>
          <cell r="N372">
            <v>4090140017899</v>
          </cell>
        </row>
        <row r="373">
          <cell r="H373">
            <v>4090340018279</v>
          </cell>
          <cell r="I373" t="str">
            <v>RECURSO CON RESULTADO DE FONDO</v>
          </cell>
          <cell r="J373" t="str">
            <v>MARIA LUISA, CHIRE TUNQUE</v>
          </cell>
          <cell r="K373" t="str">
            <v>TERESITA MILAGROS, QUEZADA VILLAR</v>
          </cell>
          <cell r="L373" t="str">
            <v>AJUSTE DE VALOR</v>
          </cell>
          <cell r="M373" t="str">
            <v>INFUNDADO</v>
          </cell>
          <cell r="N373">
            <v>4090140017950</v>
          </cell>
        </row>
        <row r="374">
          <cell r="H374">
            <v>4090340018909</v>
          </cell>
          <cell r="I374" t="str">
            <v>RECURSO CON RESULTADO DE FONDO</v>
          </cell>
          <cell r="J374" t="str">
            <v>ANDRES EDUARDO, ANGULO FARFAN</v>
          </cell>
          <cell r="K374" t="str">
            <v>GLADYS ANGELITA, SANTILLAN VALDIVIA</v>
          </cell>
          <cell r="L374" t="str">
            <v>AJUSTE DE VALOR</v>
          </cell>
          <cell r="M374" t="str">
            <v>INFUNDADO</v>
          </cell>
          <cell r="N374">
            <v>4090190000111</v>
          </cell>
        </row>
        <row r="375">
          <cell r="H375">
            <v>4090340018510</v>
          </cell>
          <cell r="I375" t="str">
            <v>RECURSO CON RESULTADO DE FONDO</v>
          </cell>
          <cell r="J375" t="str">
            <v>ANA MARIA, DIAZ JURADO</v>
          </cell>
          <cell r="K375" t="str">
            <v>ALLISON ERIKA, CASTRO LAGOS</v>
          </cell>
          <cell r="L375" t="str">
            <v>AJUSTE DE VALOR</v>
          </cell>
          <cell r="M375" t="str">
            <v>NULIDAD</v>
          </cell>
          <cell r="N375">
            <v>4090140017668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"/>
  <sheetViews>
    <sheetView tabSelected="1" zoomScale="115" zoomScaleNormal="115" workbookViewId="0">
      <selection activeCell="F8" sqref="F8"/>
    </sheetView>
  </sheetViews>
  <sheetFormatPr baseColWidth="10" defaultColWidth="11.453125" defaultRowHeight="14.5" x14ac:dyDescent="0.35"/>
  <cols>
    <col min="1" max="1" width="17.81640625" style="7" customWidth="1"/>
    <col min="2" max="2" width="17.7265625" style="12" customWidth="1"/>
    <col min="3" max="3" width="26" customWidth="1"/>
    <col min="4" max="4" width="20" style="12" customWidth="1"/>
    <col min="5" max="5" width="21.90625" style="1" customWidth="1"/>
    <col min="6" max="6" width="100.453125" customWidth="1"/>
    <col min="7" max="7" width="27.7265625" customWidth="1"/>
  </cols>
  <sheetData>
    <row r="1" spans="1:7" ht="22" customHeight="1" x14ac:dyDescent="0.35">
      <c r="A1" s="9" t="s">
        <v>51</v>
      </c>
      <c r="B1" s="9" t="s">
        <v>0</v>
      </c>
      <c r="C1" s="10" t="s">
        <v>1</v>
      </c>
      <c r="D1" s="10" t="s">
        <v>2</v>
      </c>
      <c r="E1" s="9" t="s">
        <v>3</v>
      </c>
      <c r="F1" s="10" t="s">
        <v>4</v>
      </c>
      <c r="G1" s="10" t="s">
        <v>65</v>
      </c>
    </row>
    <row r="2" spans="1:7" x14ac:dyDescent="0.35">
      <c r="A2" s="2">
        <v>4090340018142</v>
      </c>
      <c r="B2" s="13" t="s">
        <v>5</v>
      </c>
      <c r="C2" s="3" t="s">
        <v>6</v>
      </c>
      <c r="D2" s="11" t="s">
        <v>7</v>
      </c>
      <c r="E2" s="4">
        <f>+VLOOKUP(A2,[1]Producción!$H$1:$N$375,7,0)</f>
        <v>4090140017687</v>
      </c>
      <c r="F2" s="3" t="s">
        <v>54</v>
      </c>
      <c r="G2" s="3" t="s">
        <v>8</v>
      </c>
    </row>
    <row r="3" spans="1:7" x14ac:dyDescent="0.35">
      <c r="A3" s="6">
        <v>4090340017717</v>
      </c>
      <c r="B3" s="13" t="s">
        <v>9</v>
      </c>
      <c r="C3" s="3" t="s">
        <v>6</v>
      </c>
      <c r="D3" s="11" t="s">
        <v>7</v>
      </c>
      <c r="E3" s="4">
        <f>+VLOOKUP(A3,[1]Producción!$H$1:$N$375,7,0)</f>
        <v>4090140017484</v>
      </c>
      <c r="F3" s="3" t="s">
        <v>53</v>
      </c>
      <c r="G3" s="3" t="s">
        <v>8</v>
      </c>
    </row>
    <row r="4" spans="1:7" x14ac:dyDescent="0.35">
      <c r="A4" s="6">
        <v>4090340017774</v>
      </c>
      <c r="B4" s="13" t="s">
        <v>9</v>
      </c>
      <c r="C4" s="3" t="s">
        <v>6</v>
      </c>
      <c r="D4" s="11" t="s">
        <v>7</v>
      </c>
      <c r="E4" s="4">
        <f>+VLOOKUP(A4,[1]Producción!$H$1:$N$375,7,0)</f>
        <v>4090140017507</v>
      </c>
      <c r="F4" s="3" t="s">
        <v>53</v>
      </c>
      <c r="G4" s="3" t="s">
        <v>10</v>
      </c>
    </row>
    <row r="5" spans="1:7" x14ac:dyDescent="0.35">
      <c r="A5" s="6">
        <v>4090340017812</v>
      </c>
      <c r="B5" s="13" t="s">
        <v>5</v>
      </c>
      <c r="C5" s="3" t="s">
        <v>11</v>
      </c>
      <c r="D5" s="11" t="s">
        <v>12</v>
      </c>
      <c r="E5" s="4">
        <f>+VLOOKUP(A5,[1]Producción!$H$1:$N$375,7,0)</f>
        <v>4090140017516</v>
      </c>
      <c r="F5" s="3" t="s">
        <v>55</v>
      </c>
      <c r="G5" s="3" t="s">
        <v>13</v>
      </c>
    </row>
    <row r="6" spans="1:7" x14ac:dyDescent="0.35">
      <c r="A6" s="6">
        <v>4090340017848</v>
      </c>
      <c r="B6" s="13" t="s">
        <v>9</v>
      </c>
      <c r="C6" s="3" t="s">
        <v>14</v>
      </c>
      <c r="D6" s="11" t="s">
        <v>12</v>
      </c>
      <c r="E6" s="4">
        <f>+VLOOKUP(A6,[1]Producción!$H$1:$N$375,7,0)</f>
        <v>4090140017600</v>
      </c>
      <c r="F6" s="3" t="s">
        <v>15</v>
      </c>
      <c r="G6" s="3" t="s">
        <v>16</v>
      </c>
    </row>
    <row r="7" spans="1:7" x14ac:dyDescent="0.35">
      <c r="A7" s="6">
        <v>4090340017917</v>
      </c>
      <c r="B7" s="13" t="s">
        <v>5</v>
      </c>
      <c r="C7" s="3" t="s">
        <v>6</v>
      </c>
      <c r="D7" s="11" t="s">
        <v>7</v>
      </c>
      <c r="E7" s="4">
        <f>+VLOOKUP(A7,[1]Producción!$H$1:$N$375,7,0)</f>
        <v>4090140017515</v>
      </c>
      <c r="F7" s="5" t="s">
        <v>56</v>
      </c>
      <c r="G7" s="3" t="s">
        <v>17</v>
      </c>
    </row>
    <row r="8" spans="1:7" x14ac:dyDescent="0.35">
      <c r="A8" s="6">
        <v>4090340017952</v>
      </c>
      <c r="B8" s="13" t="s">
        <v>5</v>
      </c>
      <c r="C8" s="3" t="s">
        <v>6</v>
      </c>
      <c r="D8" s="11" t="s">
        <v>7</v>
      </c>
      <c r="E8" s="4">
        <f>+VLOOKUP(A8,[1]Producción!$H$1:$N$375,7,0)</f>
        <v>4090140017699</v>
      </c>
      <c r="F8" s="5" t="s">
        <v>56</v>
      </c>
      <c r="G8" s="3" t="s">
        <v>18</v>
      </c>
    </row>
    <row r="9" spans="1:7" x14ac:dyDescent="0.35">
      <c r="A9" s="6">
        <v>4090340017961</v>
      </c>
      <c r="B9" s="13" t="s">
        <v>5</v>
      </c>
      <c r="C9" s="3" t="s">
        <v>6</v>
      </c>
      <c r="D9" s="11" t="s">
        <v>7</v>
      </c>
      <c r="E9" s="4">
        <f>+VLOOKUP(A9,[1]Producción!$H$1:$N$375,7,0)</f>
        <v>4090140017581</v>
      </c>
      <c r="F9" s="5" t="s">
        <v>56</v>
      </c>
      <c r="G9" s="3" t="s">
        <v>17</v>
      </c>
    </row>
    <row r="10" spans="1:7" x14ac:dyDescent="0.35">
      <c r="A10" s="6">
        <v>4090340018014</v>
      </c>
      <c r="B10" s="13" t="s">
        <v>5</v>
      </c>
      <c r="C10" s="3" t="s">
        <v>6</v>
      </c>
      <c r="D10" s="11" t="s">
        <v>7</v>
      </c>
      <c r="E10" s="4">
        <f>+VLOOKUP(A10,[1]Producción!$H$1:$N$375,7,0)</f>
        <v>4090140017664</v>
      </c>
      <c r="F10" s="5" t="s">
        <v>56</v>
      </c>
      <c r="G10" s="3" t="s">
        <v>19</v>
      </c>
    </row>
    <row r="11" spans="1:7" x14ac:dyDescent="0.35">
      <c r="A11" s="6">
        <v>4090340018030</v>
      </c>
      <c r="B11" s="13" t="s">
        <v>5</v>
      </c>
      <c r="C11" s="3" t="s">
        <v>6</v>
      </c>
      <c r="D11" s="11" t="s">
        <v>7</v>
      </c>
      <c r="E11" s="4">
        <f>+VLOOKUP(A11,[1]Producción!$H$1:$N$375,7,0)</f>
        <v>4090140017698</v>
      </c>
      <c r="F11" s="5" t="s">
        <v>45</v>
      </c>
      <c r="G11" s="3" t="s">
        <v>20</v>
      </c>
    </row>
    <row r="12" spans="1:7" x14ac:dyDescent="0.35">
      <c r="A12" s="6">
        <v>4090340018031</v>
      </c>
      <c r="B12" s="13" t="s">
        <v>5</v>
      </c>
      <c r="C12" s="3" t="s">
        <v>6</v>
      </c>
      <c r="D12" s="11" t="s">
        <v>7</v>
      </c>
      <c r="E12" s="4">
        <f>+VLOOKUP(A12,[1]Producción!$H$1:$N$375,7,0)</f>
        <v>4090140017674</v>
      </c>
      <c r="F12" s="5" t="s">
        <v>46</v>
      </c>
      <c r="G12" s="3" t="s">
        <v>19</v>
      </c>
    </row>
    <row r="13" spans="1:7" x14ac:dyDescent="0.35">
      <c r="A13" s="6">
        <v>4090340018068</v>
      </c>
      <c r="B13" s="13" t="s">
        <v>5</v>
      </c>
      <c r="C13" s="3" t="s">
        <v>6</v>
      </c>
      <c r="D13" s="11" t="s">
        <v>7</v>
      </c>
      <c r="E13" s="4">
        <f>+VLOOKUP(A13,[1]Producción!$H$1:$N$375,7,0)</f>
        <v>4090140017583</v>
      </c>
      <c r="F13" s="5" t="s">
        <v>56</v>
      </c>
      <c r="G13" s="3" t="s">
        <v>17</v>
      </c>
    </row>
    <row r="14" spans="1:7" x14ac:dyDescent="0.35">
      <c r="A14" s="6">
        <v>4090340018072</v>
      </c>
      <c r="B14" s="13" t="s">
        <v>9</v>
      </c>
      <c r="C14" s="3" t="s">
        <v>6</v>
      </c>
      <c r="D14" s="11" t="s">
        <v>7</v>
      </c>
      <c r="E14" s="4">
        <f>+VLOOKUP(A14,[1]Producción!$H$1:$N$375,7,0)</f>
        <v>4090140017764</v>
      </c>
      <c r="F14" s="5" t="s">
        <v>56</v>
      </c>
      <c r="G14" s="3" t="s">
        <v>21</v>
      </c>
    </row>
    <row r="15" spans="1:7" x14ac:dyDescent="0.35">
      <c r="A15" s="6">
        <v>4090340018074</v>
      </c>
      <c r="B15" s="13" t="s">
        <v>5</v>
      </c>
      <c r="C15" s="3" t="s">
        <v>6</v>
      </c>
      <c r="D15" s="11" t="s">
        <v>7</v>
      </c>
      <c r="E15" s="4">
        <f>+VLOOKUP(A15,[1]Producción!$H$1:$N$375,7,0)</f>
        <v>4090140017702</v>
      </c>
      <c r="F15" s="5" t="s">
        <v>47</v>
      </c>
      <c r="G15" s="3" t="s">
        <v>22</v>
      </c>
    </row>
    <row r="16" spans="1:7" x14ac:dyDescent="0.35">
      <c r="A16" s="6">
        <v>4090340018175</v>
      </c>
      <c r="B16" s="13" t="s">
        <v>5</v>
      </c>
      <c r="C16" s="3" t="s">
        <v>6</v>
      </c>
      <c r="D16" s="11" t="s">
        <v>7</v>
      </c>
      <c r="E16" s="4">
        <f>+VLOOKUP(A16,[1]Producción!$H$1:$N$375,7,0)</f>
        <v>4090140017673</v>
      </c>
      <c r="F16" s="5" t="s">
        <v>56</v>
      </c>
      <c r="G16" s="3" t="s">
        <v>17</v>
      </c>
    </row>
    <row r="17" spans="1:7" x14ac:dyDescent="0.35">
      <c r="A17" s="6">
        <v>4090340018210</v>
      </c>
      <c r="B17" s="13" t="s">
        <v>5</v>
      </c>
      <c r="C17" s="3" t="s">
        <v>6</v>
      </c>
      <c r="D17" s="11" t="s">
        <v>7</v>
      </c>
      <c r="E17" s="4">
        <f>+VLOOKUP(A17,[1]Producción!$H$1:$N$375,7,0)</f>
        <v>4090140017741</v>
      </c>
      <c r="F17" s="5" t="s">
        <v>56</v>
      </c>
      <c r="G17" s="3" t="s">
        <v>22</v>
      </c>
    </row>
    <row r="18" spans="1:7" x14ac:dyDescent="0.35">
      <c r="A18" s="6">
        <v>4090340018216</v>
      </c>
      <c r="B18" s="13" t="s">
        <v>23</v>
      </c>
      <c r="C18" s="3" t="s">
        <v>6</v>
      </c>
      <c r="D18" s="11" t="s">
        <v>7</v>
      </c>
      <c r="E18" s="4">
        <f>+VLOOKUP(A18,[1]Producción!$H$1:$N$375,7,0)</f>
        <v>4090140017942</v>
      </c>
      <c r="F18" s="3" t="s">
        <v>57</v>
      </c>
      <c r="G18" s="3" t="s">
        <v>19</v>
      </c>
    </row>
    <row r="19" spans="1:7" x14ac:dyDescent="0.35">
      <c r="A19" s="6">
        <v>4090340018300</v>
      </c>
      <c r="B19" s="13" t="s">
        <v>5</v>
      </c>
      <c r="C19" s="3" t="s">
        <v>6</v>
      </c>
      <c r="D19" s="11" t="s">
        <v>7</v>
      </c>
      <c r="E19" s="4">
        <f>+VLOOKUP(A19,[1]Producción!$H$1:$N$375,7,0)</f>
        <v>4090140017489</v>
      </c>
      <c r="F19" s="3" t="s">
        <v>24</v>
      </c>
      <c r="G19" s="3" t="s">
        <v>16</v>
      </c>
    </row>
    <row r="20" spans="1:7" x14ac:dyDescent="0.35">
      <c r="A20" s="6">
        <v>4090340018344</v>
      </c>
      <c r="B20" s="13" t="s">
        <v>5</v>
      </c>
      <c r="C20" s="3" t="s">
        <v>6</v>
      </c>
      <c r="D20" s="11" t="s">
        <v>7</v>
      </c>
      <c r="E20" s="4">
        <f>+VLOOKUP(A20,[1]Producción!$H$1:$N$375,7,0)</f>
        <v>4090140017982</v>
      </c>
      <c r="F20" s="3" t="s">
        <v>58</v>
      </c>
      <c r="G20" s="3" t="s">
        <v>22</v>
      </c>
    </row>
    <row r="21" spans="1:7" x14ac:dyDescent="0.35">
      <c r="A21" s="6">
        <v>4090340018359</v>
      </c>
      <c r="B21" s="13" t="s">
        <v>23</v>
      </c>
      <c r="C21" s="3" t="s">
        <v>6</v>
      </c>
      <c r="D21" s="11" t="s">
        <v>7</v>
      </c>
      <c r="E21" s="4">
        <f>+VLOOKUP(A21,[1]Producción!$H$1:$N$375,7,0)</f>
        <v>4090140018015</v>
      </c>
      <c r="F21" s="5" t="s">
        <v>45</v>
      </c>
      <c r="G21" s="3" t="s">
        <v>25</v>
      </c>
    </row>
    <row r="22" spans="1:7" x14ac:dyDescent="0.35">
      <c r="A22" s="6">
        <v>4090340018366</v>
      </c>
      <c r="B22" s="13" t="s">
        <v>5</v>
      </c>
      <c r="C22" s="3" t="s">
        <v>6</v>
      </c>
      <c r="D22" s="11" t="s">
        <v>7</v>
      </c>
      <c r="E22" s="4">
        <f>+VLOOKUP(A22,[1]Producción!$H$1:$N$375,7,0)</f>
        <v>4090140017918</v>
      </c>
      <c r="F22" s="3" t="s">
        <v>26</v>
      </c>
      <c r="G22" s="3" t="s">
        <v>13</v>
      </c>
    </row>
    <row r="23" spans="1:7" x14ac:dyDescent="0.35">
      <c r="A23" s="6">
        <v>4090340018409</v>
      </c>
      <c r="B23" s="13" t="s">
        <v>5</v>
      </c>
      <c r="C23" s="3" t="s">
        <v>6</v>
      </c>
      <c r="D23" s="11" t="s">
        <v>7</v>
      </c>
      <c r="E23" s="4">
        <f>+VLOOKUP(A23,[1]Producción!$H$1:$N$375,7,0)</f>
        <v>4090140017508</v>
      </c>
      <c r="F23" s="3" t="s">
        <v>24</v>
      </c>
      <c r="G23" s="3" t="s">
        <v>16</v>
      </c>
    </row>
    <row r="24" spans="1:7" x14ac:dyDescent="0.35">
      <c r="A24" s="6">
        <v>4090340018410</v>
      </c>
      <c r="B24" s="13" t="s">
        <v>5</v>
      </c>
      <c r="C24" s="3" t="s">
        <v>6</v>
      </c>
      <c r="D24" s="11" t="s">
        <v>7</v>
      </c>
      <c r="E24" s="4">
        <f>+VLOOKUP(A24,[1]Producción!$H$1:$N$375,7,0)</f>
        <v>4090140017506</v>
      </c>
      <c r="F24" s="3" t="s">
        <v>24</v>
      </c>
      <c r="G24" s="3" t="s">
        <v>16</v>
      </c>
    </row>
    <row r="25" spans="1:7" x14ac:dyDescent="0.35">
      <c r="A25" s="6">
        <v>4090340018437</v>
      </c>
      <c r="B25" s="13" t="s">
        <v>5</v>
      </c>
      <c r="C25" s="3" t="s">
        <v>6</v>
      </c>
      <c r="D25" s="11" t="s">
        <v>7</v>
      </c>
      <c r="E25" s="4">
        <f>+VLOOKUP(A25,[1]Producción!$H$1:$N$375,7,0)</f>
        <v>4090140017582</v>
      </c>
      <c r="F25" s="3" t="s">
        <v>24</v>
      </c>
      <c r="G25" s="3" t="s">
        <v>16</v>
      </c>
    </row>
    <row r="26" spans="1:7" x14ac:dyDescent="0.35">
      <c r="A26" s="6">
        <v>4090340018443</v>
      </c>
      <c r="B26" s="13" t="s">
        <v>23</v>
      </c>
      <c r="C26" s="3" t="s">
        <v>11</v>
      </c>
      <c r="D26" s="11" t="s">
        <v>12</v>
      </c>
      <c r="E26" s="4">
        <f>+VLOOKUP(A26,[1]Producción!$H$1:$N$375,7,0)</f>
        <v>4090140018029</v>
      </c>
      <c r="F26" s="3" t="s">
        <v>52</v>
      </c>
      <c r="G26" s="3" t="s">
        <v>27</v>
      </c>
    </row>
    <row r="27" spans="1:7" x14ac:dyDescent="0.35">
      <c r="A27" s="6">
        <v>4090340018449</v>
      </c>
      <c r="B27" s="13" t="s">
        <v>5</v>
      </c>
      <c r="C27" s="3" t="s">
        <v>28</v>
      </c>
      <c r="D27" s="11" t="s">
        <v>7</v>
      </c>
      <c r="E27" s="4">
        <f>+VLOOKUP(A27,[1]Producción!$H$1:$N$375,7,0)</f>
        <v>4090140018043</v>
      </c>
      <c r="F27" s="3" t="s">
        <v>50</v>
      </c>
      <c r="G27" s="3" t="s">
        <v>21</v>
      </c>
    </row>
    <row r="28" spans="1:7" x14ac:dyDescent="0.35">
      <c r="A28" s="6">
        <v>4090340018450</v>
      </c>
      <c r="B28" s="13" t="s">
        <v>23</v>
      </c>
      <c r="C28" s="3" t="s">
        <v>6</v>
      </c>
      <c r="D28" s="11" t="s">
        <v>7</v>
      </c>
      <c r="E28" s="4">
        <f>+VLOOKUP(A28,[1]Producción!$H$1:$N$375,7,0)</f>
        <v>4090140017706</v>
      </c>
      <c r="F28" s="3" t="s">
        <v>48</v>
      </c>
      <c r="G28" s="3" t="s">
        <v>29</v>
      </c>
    </row>
    <row r="29" spans="1:7" x14ac:dyDescent="0.35">
      <c r="A29" s="6">
        <v>4090340018465</v>
      </c>
      <c r="B29" s="13" t="s">
        <v>5</v>
      </c>
      <c r="C29" s="3" t="s">
        <v>6</v>
      </c>
      <c r="D29" s="11" t="s">
        <v>7</v>
      </c>
      <c r="E29" s="4">
        <f>+VLOOKUP(A29,[1]Producción!$H$1:$N$375,7,0)</f>
        <v>4090140017487</v>
      </c>
      <c r="F29" s="3" t="s">
        <v>24</v>
      </c>
      <c r="G29" s="3" t="s">
        <v>16</v>
      </c>
    </row>
    <row r="30" spans="1:7" x14ac:dyDescent="0.35">
      <c r="A30" s="6">
        <v>4090340018467</v>
      </c>
      <c r="B30" s="13" t="s">
        <v>5</v>
      </c>
      <c r="C30" s="3" t="s">
        <v>6</v>
      </c>
      <c r="D30" s="11" t="s">
        <v>7</v>
      </c>
      <c r="E30" s="4">
        <f>+VLOOKUP(A30,[1]Producción!$H$1:$N$375,7,0)</f>
        <v>4090140017725</v>
      </c>
      <c r="F30" s="3" t="s">
        <v>24</v>
      </c>
      <c r="G30" s="3" t="s">
        <v>16</v>
      </c>
    </row>
    <row r="31" spans="1:7" x14ac:dyDescent="0.35">
      <c r="A31" s="6">
        <v>4090340018479</v>
      </c>
      <c r="B31" s="13" t="s">
        <v>5</v>
      </c>
      <c r="C31" s="3" t="s">
        <v>6</v>
      </c>
      <c r="D31" s="11" t="s">
        <v>7</v>
      </c>
      <c r="E31" s="4">
        <f>+VLOOKUP(A31,[1]Producción!$H$1:$N$375,7,0)</f>
        <v>4090140017659</v>
      </c>
      <c r="F31" s="3" t="s">
        <v>24</v>
      </c>
      <c r="G31" s="3" t="s">
        <v>16</v>
      </c>
    </row>
    <row r="32" spans="1:7" x14ac:dyDescent="0.35">
      <c r="A32" s="6">
        <v>4090340018484</v>
      </c>
      <c r="B32" s="13" t="s">
        <v>5</v>
      </c>
      <c r="C32" s="3" t="s">
        <v>6</v>
      </c>
      <c r="D32" s="11" t="s">
        <v>7</v>
      </c>
      <c r="E32" s="4">
        <f>+VLOOKUP(A32,[1]Producción!$H$1:$N$375,7,0)</f>
        <v>4090140017658</v>
      </c>
      <c r="F32" s="3" t="s">
        <v>24</v>
      </c>
      <c r="G32" s="3" t="s">
        <v>16</v>
      </c>
    </row>
    <row r="33" spans="1:7" x14ac:dyDescent="0.35">
      <c r="A33" s="6">
        <v>4090340018510</v>
      </c>
      <c r="B33" s="13" t="s">
        <v>5</v>
      </c>
      <c r="C33" s="3" t="s">
        <v>6</v>
      </c>
      <c r="D33" s="11" t="s">
        <v>7</v>
      </c>
      <c r="E33" s="4">
        <f>+VLOOKUP(A33,[1]Producción!$H$1:$N$375,7,0)</f>
        <v>4090140017668</v>
      </c>
      <c r="F33" s="3" t="s">
        <v>24</v>
      </c>
      <c r="G33" s="3" t="s">
        <v>16</v>
      </c>
    </row>
    <row r="34" spans="1:7" x14ac:dyDescent="0.35">
      <c r="A34" s="6">
        <v>4090340018512</v>
      </c>
      <c r="B34" s="13" t="s">
        <v>5</v>
      </c>
      <c r="C34" s="3" t="s">
        <v>6</v>
      </c>
      <c r="D34" s="11" t="s">
        <v>7</v>
      </c>
      <c r="E34" s="4">
        <f>+VLOOKUP(A34,[1]Producción!$H$1:$N$375,7,0)</f>
        <v>4090140018028</v>
      </c>
      <c r="F34" s="5" t="s">
        <v>46</v>
      </c>
      <c r="G34" s="3" t="s">
        <v>17</v>
      </c>
    </row>
    <row r="35" spans="1:7" x14ac:dyDescent="0.35">
      <c r="A35" s="6">
        <v>4090340018515</v>
      </c>
      <c r="B35" s="13" t="s">
        <v>5</v>
      </c>
      <c r="C35" s="3" t="s">
        <v>6</v>
      </c>
      <c r="D35" s="11" t="s">
        <v>7</v>
      </c>
      <c r="E35" s="4">
        <f>+VLOOKUP(A35,[1]Producción!$H$1:$N$375,7,0)</f>
        <v>4090140017837</v>
      </c>
      <c r="F35" s="3" t="s">
        <v>24</v>
      </c>
      <c r="G35" s="3" t="s">
        <v>16</v>
      </c>
    </row>
    <row r="36" spans="1:7" x14ac:dyDescent="0.35">
      <c r="A36" s="6">
        <v>4090340018525</v>
      </c>
      <c r="B36" s="13" t="s">
        <v>9</v>
      </c>
      <c r="C36" s="3" t="s">
        <v>6</v>
      </c>
      <c r="D36" s="11" t="s">
        <v>7</v>
      </c>
      <c r="E36" s="4">
        <f>+VLOOKUP(A36,[1]Producción!$H$1:$N$375,7,0)</f>
        <v>4090140017814</v>
      </c>
      <c r="F36" s="3" t="s">
        <v>30</v>
      </c>
      <c r="G36" s="3" t="s">
        <v>31</v>
      </c>
    </row>
    <row r="37" spans="1:7" x14ac:dyDescent="0.35">
      <c r="A37" s="6">
        <v>4090340018548</v>
      </c>
      <c r="B37" s="13" t="s">
        <v>5</v>
      </c>
      <c r="C37" s="3" t="s">
        <v>6</v>
      </c>
      <c r="D37" s="11" t="s">
        <v>7</v>
      </c>
      <c r="E37" s="4">
        <f>+VLOOKUP(A37,[1]Producción!$H$1:$N$375,7,0)</f>
        <v>4090140017579</v>
      </c>
      <c r="F37" s="3" t="s">
        <v>24</v>
      </c>
      <c r="G37" s="3" t="s">
        <v>16</v>
      </c>
    </row>
    <row r="38" spans="1:7" x14ac:dyDescent="0.35">
      <c r="A38" s="6">
        <v>4090340018569</v>
      </c>
      <c r="B38" s="13" t="s">
        <v>5</v>
      </c>
      <c r="C38" s="3" t="s">
        <v>6</v>
      </c>
      <c r="D38" s="11" t="s">
        <v>7</v>
      </c>
      <c r="E38" s="4">
        <f>+VLOOKUP(A38,[1]Producción!$H$1:$N$375,7,0)</f>
        <v>4090140017721</v>
      </c>
      <c r="F38" s="3" t="s">
        <v>59</v>
      </c>
      <c r="G38" s="3" t="s">
        <v>32</v>
      </c>
    </row>
    <row r="39" spans="1:7" x14ac:dyDescent="0.35">
      <c r="A39" s="6">
        <v>4090340018590</v>
      </c>
      <c r="B39" s="13" t="s">
        <v>5</v>
      </c>
      <c r="C39" s="3" t="s">
        <v>6</v>
      </c>
      <c r="D39" s="11" t="s">
        <v>7</v>
      </c>
      <c r="E39" s="4">
        <f>+VLOOKUP(A39,[1]Producción!$H$1:$N$375,7,0)</f>
        <v>4090140017724</v>
      </c>
      <c r="F39" s="3" t="s">
        <v>24</v>
      </c>
      <c r="G39" s="3" t="s">
        <v>16</v>
      </c>
    </row>
    <row r="40" spans="1:7" x14ac:dyDescent="0.35">
      <c r="A40" s="6">
        <v>4090340018623</v>
      </c>
      <c r="B40" s="13" t="s">
        <v>5</v>
      </c>
      <c r="C40" s="3" t="s">
        <v>6</v>
      </c>
      <c r="D40" s="11" t="s">
        <v>7</v>
      </c>
      <c r="E40" s="4">
        <f>+VLOOKUP(A40,[1]Producción!$H$1:$N$375,7,0)</f>
        <v>4090140017808</v>
      </c>
      <c r="F40" s="3" t="s">
        <v>24</v>
      </c>
      <c r="G40" s="3" t="s">
        <v>16</v>
      </c>
    </row>
    <row r="41" spans="1:7" x14ac:dyDescent="0.35">
      <c r="A41" s="6">
        <v>4090340018643</v>
      </c>
      <c r="B41" s="13" t="s">
        <v>5</v>
      </c>
      <c r="C41" s="3" t="s">
        <v>6</v>
      </c>
      <c r="D41" s="11" t="s">
        <v>7</v>
      </c>
      <c r="E41" s="4">
        <f>+VLOOKUP(A41,[1]Producción!$H$1:$N$375,7,0)</f>
        <v>4090140017848</v>
      </c>
      <c r="F41" s="3" t="s">
        <v>24</v>
      </c>
      <c r="G41" s="3" t="s">
        <v>16</v>
      </c>
    </row>
    <row r="42" spans="1:7" x14ac:dyDescent="0.35">
      <c r="A42" s="6">
        <v>4090340018646</v>
      </c>
      <c r="B42" s="13" t="s">
        <v>5</v>
      </c>
      <c r="C42" s="3" t="s">
        <v>6</v>
      </c>
      <c r="D42" s="11" t="s">
        <v>7</v>
      </c>
      <c r="E42" s="4">
        <f>+VLOOKUP(A42,[1]Producción!$H$1:$N$375,7,0)</f>
        <v>4090140017842</v>
      </c>
      <c r="F42" s="3" t="s">
        <v>26</v>
      </c>
      <c r="G42" s="3" t="s">
        <v>33</v>
      </c>
    </row>
    <row r="43" spans="1:7" x14ac:dyDescent="0.35">
      <c r="A43" s="6">
        <v>4090340018649</v>
      </c>
      <c r="B43" s="13" t="s">
        <v>5</v>
      </c>
      <c r="C43" s="3" t="s">
        <v>6</v>
      </c>
      <c r="D43" s="11" t="s">
        <v>7</v>
      </c>
      <c r="E43" s="4">
        <f>+VLOOKUP(A43,[1]Producción!$H$1:$N$375,7,0)</f>
        <v>4090140017849</v>
      </c>
      <c r="F43" s="3" t="s">
        <v>24</v>
      </c>
      <c r="G43" s="3" t="s">
        <v>16</v>
      </c>
    </row>
    <row r="44" spans="1:7" x14ac:dyDescent="0.35">
      <c r="A44" s="6">
        <v>4090340018655</v>
      </c>
      <c r="B44" s="13" t="s">
        <v>5</v>
      </c>
      <c r="C44" s="3" t="s">
        <v>6</v>
      </c>
      <c r="D44" s="11" t="s">
        <v>7</v>
      </c>
      <c r="E44" s="4">
        <f>+VLOOKUP(A44,[1]Producción!$H$1:$N$375,7,0)</f>
        <v>4090140017850</v>
      </c>
      <c r="F44" s="3" t="s">
        <v>24</v>
      </c>
      <c r="G44" s="3" t="s">
        <v>16</v>
      </c>
    </row>
    <row r="45" spans="1:7" x14ac:dyDescent="0.35">
      <c r="A45" s="6">
        <v>4090340018658</v>
      </c>
      <c r="B45" s="13" t="s">
        <v>5</v>
      </c>
      <c r="C45" s="3" t="s">
        <v>6</v>
      </c>
      <c r="D45" s="11" t="s">
        <v>7</v>
      </c>
      <c r="E45" s="4">
        <f>+VLOOKUP(A45,[1]Producción!$H$1:$N$375,7,0)</f>
        <v>4090140017856</v>
      </c>
      <c r="F45" s="3" t="s">
        <v>24</v>
      </c>
      <c r="G45" s="3" t="s">
        <v>16</v>
      </c>
    </row>
    <row r="46" spans="1:7" x14ac:dyDescent="0.35">
      <c r="A46" s="6">
        <v>4090340018691</v>
      </c>
      <c r="B46" s="13" t="s">
        <v>5</v>
      </c>
      <c r="C46" s="3" t="s">
        <v>6</v>
      </c>
      <c r="D46" s="11" t="s">
        <v>7</v>
      </c>
      <c r="E46" s="4">
        <f>+VLOOKUP(A46,[1]Producción!$H$1:$N$375,7,0)</f>
        <v>4090140018064</v>
      </c>
      <c r="F46" s="3" t="s">
        <v>26</v>
      </c>
      <c r="G46" s="3" t="s">
        <v>31</v>
      </c>
    </row>
    <row r="47" spans="1:7" x14ac:dyDescent="0.35">
      <c r="A47" s="6">
        <v>4090340018712</v>
      </c>
      <c r="B47" s="13" t="s">
        <v>5</v>
      </c>
      <c r="C47" s="3" t="s">
        <v>6</v>
      </c>
      <c r="D47" s="11" t="s">
        <v>7</v>
      </c>
      <c r="E47" s="4">
        <f>+VLOOKUP(A47,[1]Producción!$H$1:$N$375,7,0)</f>
        <v>4090140018045</v>
      </c>
      <c r="F47" s="3" t="s">
        <v>24</v>
      </c>
      <c r="G47" s="3" t="s">
        <v>18</v>
      </c>
    </row>
    <row r="48" spans="1:7" x14ac:dyDescent="0.35">
      <c r="A48" s="6">
        <v>4090340018734</v>
      </c>
      <c r="B48" s="13" t="s">
        <v>5</v>
      </c>
      <c r="C48" s="3" t="s">
        <v>6</v>
      </c>
      <c r="D48" s="11" t="s">
        <v>7</v>
      </c>
      <c r="E48" s="4">
        <f>+VLOOKUP(A48,[1]Producción!$H$1:$N$375,7,0)</f>
        <v>4090140017857</v>
      </c>
      <c r="F48" s="3" t="s">
        <v>24</v>
      </c>
      <c r="G48" s="3" t="s">
        <v>16</v>
      </c>
    </row>
    <row r="49" spans="1:7" x14ac:dyDescent="0.35">
      <c r="A49" s="6">
        <v>4090340018735</v>
      </c>
      <c r="B49" s="13" t="s">
        <v>5</v>
      </c>
      <c r="C49" s="3" t="s">
        <v>6</v>
      </c>
      <c r="D49" s="11" t="s">
        <v>7</v>
      </c>
      <c r="E49" s="4">
        <f>+VLOOKUP(A49,[1]Producción!$H$1:$N$375,7,0)</f>
        <v>4090140017881</v>
      </c>
      <c r="F49" s="3" t="s">
        <v>24</v>
      </c>
      <c r="G49" s="3" t="s">
        <v>16</v>
      </c>
    </row>
    <row r="50" spans="1:7" x14ac:dyDescent="0.35">
      <c r="A50" s="6">
        <v>4090340018737</v>
      </c>
      <c r="B50" s="13" t="s">
        <v>5</v>
      </c>
      <c r="C50" s="3" t="s">
        <v>6</v>
      </c>
      <c r="D50" s="11" t="s">
        <v>7</v>
      </c>
      <c r="E50" s="4">
        <f>+VLOOKUP(A50,[1]Producción!$H$1:$N$375,7,0)</f>
        <v>4090140017855</v>
      </c>
      <c r="F50" s="3" t="s">
        <v>24</v>
      </c>
      <c r="G50" s="3" t="s">
        <v>16</v>
      </c>
    </row>
    <row r="51" spans="1:7" ht="25" x14ac:dyDescent="0.35">
      <c r="A51" s="6">
        <v>4090340018740</v>
      </c>
      <c r="B51" s="13" t="s">
        <v>5</v>
      </c>
      <c r="C51" s="3" t="s">
        <v>6</v>
      </c>
      <c r="D51" s="11" t="s">
        <v>7</v>
      </c>
      <c r="E51" s="4">
        <f>+VLOOKUP(A51,[1]Producción!$H$1:$N$375,7,0)</f>
        <v>4090140017974</v>
      </c>
      <c r="F51" s="8" t="s">
        <v>49</v>
      </c>
      <c r="G51" s="3" t="s">
        <v>29</v>
      </c>
    </row>
    <row r="52" spans="1:7" x14ac:dyDescent="0.35">
      <c r="A52" s="6">
        <v>4090340018801</v>
      </c>
      <c r="B52" s="13" t="s">
        <v>5</v>
      </c>
      <c r="C52" s="3" t="s">
        <v>6</v>
      </c>
      <c r="D52" s="11" t="s">
        <v>7</v>
      </c>
      <c r="E52" s="4">
        <f>+VLOOKUP(A52,[1]Producción!$H$1:$N$375,7,0)</f>
        <v>4090140017746</v>
      </c>
      <c r="F52" s="3" t="s">
        <v>34</v>
      </c>
      <c r="G52" s="3" t="s">
        <v>31</v>
      </c>
    </row>
    <row r="53" spans="1:7" x14ac:dyDescent="0.35">
      <c r="A53" s="6">
        <v>4090340018807</v>
      </c>
      <c r="B53" s="13" t="s">
        <v>23</v>
      </c>
      <c r="C53" s="3" t="s">
        <v>6</v>
      </c>
      <c r="D53" s="11" t="s">
        <v>7</v>
      </c>
      <c r="E53" s="4">
        <f>+VLOOKUP(A53,[1]Producción!$H$1:$N$375,7,0)</f>
        <v>4090140017891</v>
      </c>
      <c r="F53" s="5" t="s">
        <v>45</v>
      </c>
      <c r="G53" s="3" t="s">
        <v>25</v>
      </c>
    </row>
    <row r="54" spans="1:7" x14ac:dyDescent="0.35">
      <c r="A54" s="6">
        <v>4090340018823</v>
      </c>
      <c r="B54" s="13" t="s">
        <v>9</v>
      </c>
      <c r="C54" s="3" t="s">
        <v>6</v>
      </c>
      <c r="D54" s="11" t="s">
        <v>7</v>
      </c>
      <c r="E54" s="4">
        <f>+VLOOKUP(A54,[1]Producción!$H$1:$N$375,7,0)</f>
        <v>4090140017911</v>
      </c>
      <c r="F54" s="3" t="s">
        <v>35</v>
      </c>
      <c r="G54" s="3" t="s">
        <v>32</v>
      </c>
    </row>
    <row r="55" spans="1:7" x14ac:dyDescent="0.35">
      <c r="A55" s="6">
        <v>4090340018825</v>
      </c>
      <c r="B55" s="13" t="s">
        <v>9</v>
      </c>
      <c r="C55" s="3" t="s">
        <v>6</v>
      </c>
      <c r="D55" s="11" t="s">
        <v>7</v>
      </c>
      <c r="E55" s="4">
        <f>+VLOOKUP(A55,[1]Producción!$H$1:$N$375,7,0)</f>
        <v>4090140017904</v>
      </c>
      <c r="F55" s="3" t="s">
        <v>35</v>
      </c>
      <c r="G55" s="3" t="s">
        <v>32</v>
      </c>
    </row>
    <row r="56" spans="1:7" x14ac:dyDescent="0.35">
      <c r="A56" s="6">
        <v>4090340018826</v>
      </c>
      <c r="B56" s="13" t="s">
        <v>9</v>
      </c>
      <c r="C56" s="3" t="s">
        <v>6</v>
      </c>
      <c r="D56" s="11" t="s">
        <v>7</v>
      </c>
      <c r="E56" s="4">
        <f>+VLOOKUP(A56,[1]Producción!$H$1:$N$375,7,0)</f>
        <v>4090140017779</v>
      </c>
      <c r="F56" s="3" t="s">
        <v>35</v>
      </c>
      <c r="G56" s="3" t="s">
        <v>32</v>
      </c>
    </row>
    <row r="57" spans="1:7" x14ac:dyDescent="0.35">
      <c r="A57" s="6">
        <v>4090340018845</v>
      </c>
      <c r="B57" s="13" t="s">
        <v>5</v>
      </c>
      <c r="C57" s="3" t="s">
        <v>6</v>
      </c>
      <c r="D57" s="11" t="s">
        <v>7</v>
      </c>
      <c r="E57" s="4">
        <f>+VLOOKUP(A57,[1]Producción!$H$1:$N$375,7,0)</f>
        <v>4090140018016</v>
      </c>
      <c r="F57" s="3" t="s">
        <v>60</v>
      </c>
      <c r="G57" s="3" t="s">
        <v>27</v>
      </c>
    </row>
    <row r="58" spans="1:7" x14ac:dyDescent="0.35">
      <c r="A58" s="6">
        <v>4090340018856</v>
      </c>
      <c r="B58" s="13" t="s">
        <v>5</v>
      </c>
      <c r="C58" s="3" t="s">
        <v>6</v>
      </c>
      <c r="D58" s="11" t="s">
        <v>7</v>
      </c>
      <c r="E58" s="4">
        <f>+VLOOKUP(A58,[1]Producción!$H$1:$N$375,7,0)</f>
        <v>4090140017937</v>
      </c>
      <c r="F58" s="3" t="s">
        <v>62</v>
      </c>
      <c r="G58" s="3" t="s">
        <v>31</v>
      </c>
    </row>
    <row r="59" spans="1:7" x14ac:dyDescent="0.35">
      <c r="A59" s="6">
        <v>4090340020300</v>
      </c>
      <c r="B59" s="13" t="s">
        <v>5</v>
      </c>
      <c r="C59" s="3" t="s">
        <v>36</v>
      </c>
      <c r="D59" s="11" t="s">
        <v>37</v>
      </c>
      <c r="E59" s="4">
        <f>+VLOOKUP(A59,[1]Producción!$H$1:$N$375,7,0)</f>
        <v>4090140017654</v>
      </c>
      <c r="F59" s="3" t="s">
        <v>61</v>
      </c>
      <c r="G59" s="3" t="s">
        <v>38</v>
      </c>
    </row>
    <row r="60" spans="1:7" x14ac:dyDescent="0.35">
      <c r="A60" s="6">
        <v>4090340020523</v>
      </c>
      <c r="B60" s="13" t="s">
        <v>9</v>
      </c>
      <c r="C60" s="3" t="s">
        <v>11</v>
      </c>
      <c r="D60" s="11" t="s">
        <v>12</v>
      </c>
      <c r="E60" s="4">
        <f>+VLOOKUP(A60,[1]Producción!$H$1:$N$375,7,0)</f>
        <v>4090140017978</v>
      </c>
      <c r="F60" s="3" t="s">
        <v>63</v>
      </c>
      <c r="G60" s="3" t="s">
        <v>38</v>
      </c>
    </row>
    <row r="61" spans="1:7" x14ac:dyDescent="0.35">
      <c r="A61" s="6">
        <v>4090340021074</v>
      </c>
      <c r="B61" s="13" t="s">
        <v>23</v>
      </c>
      <c r="C61" s="3" t="s">
        <v>11</v>
      </c>
      <c r="D61" s="11" t="s">
        <v>12</v>
      </c>
      <c r="E61" s="4">
        <f>+VLOOKUP(A61,[1]Producción!$H$1:$N$375,7,0)</f>
        <v>4090140017818</v>
      </c>
      <c r="F61" s="5" t="s">
        <v>47</v>
      </c>
      <c r="G61" s="3" t="s">
        <v>17</v>
      </c>
    </row>
    <row r="62" spans="1:7" x14ac:dyDescent="0.35">
      <c r="A62" s="6">
        <v>4090340021076</v>
      </c>
      <c r="B62" s="13" t="s">
        <v>23</v>
      </c>
      <c r="C62" s="3" t="s">
        <v>11</v>
      </c>
      <c r="D62" s="11" t="s">
        <v>12</v>
      </c>
      <c r="E62" s="4">
        <f>+VLOOKUP(A62,[1]Producción!$H$1:$N$375,7,0)</f>
        <v>4090140017889</v>
      </c>
      <c r="F62" s="3" t="s">
        <v>39</v>
      </c>
      <c r="G62" s="3" t="s">
        <v>17</v>
      </c>
    </row>
    <row r="63" spans="1:7" x14ac:dyDescent="0.35">
      <c r="A63" s="6">
        <v>4090340021078</v>
      </c>
      <c r="B63" s="13" t="s">
        <v>23</v>
      </c>
      <c r="C63" s="3" t="s">
        <v>11</v>
      </c>
      <c r="D63" s="11" t="s">
        <v>12</v>
      </c>
      <c r="E63" s="4">
        <f>+VLOOKUP(A63,[1]Producción!$H$1:$N$375,7,0)</f>
        <v>4090140017888</v>
      </c>
      <c r="F63" s="5" t="s">
        <v>47</v>
      </c>
      <c r="G63" s="3" t="s">
        <v>17</v>
      </c>
    </row>
    <row r="64" spans="1:7" x14ac:dyDescent="0.35">
      <c r="A64" s="6">
        <v>4090340021996</v>
      </c>
      <c r="B64" s="13" t="s">
        <v>9</v>
      </c>
      <c r="C64" s="3" t="s">
        <v>11</v>
      </c>
      <c r="D64" s="11" t="s">
        <v>12</v>
      </c>
      <c r="E64" s="4">
        <f>+VLOOKUP(A64,[1]Producción!$H$1:$N$375,7,0)</f>
        <v>4090140017645</v>
      </c>
      <c r="F64" s="3" t="s">
        <v>40</v>
      </c>
      <c r="G64" s="3" t="s">
        <v>38</v>
      </c>
    </row>
    <row r="65" spans="1:7" x14ac:dyDescent="0.35">
      <c r="A65" s="6">
        <v>4090340022065</v>
      </c>
      <c r="B65" s="13" t="s">
        <v>5</v>
      </c>
      <c r="C65" s="3" t="s">
        <v>11</v>
      </c>
      <c r="D65" s="11" t="s">
        <v>12</v>
      </c>
      <c r="E65" s="4">
        <f>+VLOOKUP(A65,[1]Producción!$H$1:$N$375,7,0)</f>
        <v>4090140017580</v>
      </c>
      <c r="F65" s="3" t="s">
        <v>41</v>
      </c>
      <c r="G65" s="3" t="s">
        <v>38</v>
      </c>
    </row>
    <row r="66" spans="1:7" x14ac:dyDescent="0.35">
      <c r="A66" s="6">
        <v>4090340022652</v>
      </c>
      <c r="B66" s="13" t="s">
        <v>5</v>
      </c>
      <c r="C66" s="3" t="s">
        <v>36</v>
      </c>
      <c r="D66" s="11" t="s">
        <v>37</v>
      </c>
      <c r="E66" s="4">
        <f>+VLOOKUP(A66,[1]Producción!$H$1:$N$375,7,0)</f>
        <v>4090140017684</v>
      </c>
      <c r="F66" s="3" t="s">
        <v>64</v>
      </c>
      <c r="G66" s="3" t="s">
        <v>42</v>
      </c>
    </row>
    <row r="67" spans="1:7" x14ac:dyDescent="0.35">
      <c r="A67" s="6">
        <v>4090340018312</v>
      </c>
      <c r="B67" s="13" t="s">
        <v>5</v>
      </c>
      <c r="C67" s="3" t="s">
        <v>6</v>
      </c>
      <c r="D67" s="11" t="s">
        <v>7</v>
      </c>
      <c r="E67" s="4">
        <f>+VLOOKUP(A67,[1]Producción!$H$1:$N$375,7,0)</f>
        <v>4090140017745</v>
      </c>
      <c r="F67" s="3" t="s">
        <v>43</v>
      </c>
      <c r="G67" s="3" t="s">
        <v>44</v>
      </c>
    </row>
    <row r="68" spans="1:7" x14ac:dyDescent="0.35">
      <c r="A68" s="6">
        <v>4090340018833</v>
      </c>
      <c r="B68" s="13" t="s">
        <v>5</v>
      </c>
      <c r="C68" s="3" t="s">
        <v>6</v>
      </c>
      <c r="D68" s="11" t="s">
        <v>7</v>
      </c>
      <c r="E68" s="4">
        <f>+VLOOKUP(A68,[1]Producción!$H$1:$N$375,7,0)</f>
        <v>4090140018020</v>
      </c>
      <c r="F68" s="3" t="s">
        <v>43</v>
      </c>
      <c r="G68" s="3" t="s">
        <v>44</v>
      </c>
    </row>
    <row r="69" spans="1:7" x14ac:dyDescent="0.35">
      <c r="A69" s="6">
        <v>4090340018834</v>
      </c>
      <c r="B69" s="13" t="s">
        <v>5</v>
      </c>
      <c r="C69" s="3" t="s">
        <v>6</v>
      </c>
      <c r="D69" s="11" t="s">
        <v>7</v>
      </c>
      <c r="E69" s="4">
        <f>+VLOOKUP(A69,[1]Producción!$H$1:$N$375,7,0)</f>
        <v>4090140018052</v>
      </c>
      <c r="F69" s="3" t="s">
        <v>43</v>
      </c>
      <c r="G69" s="3" t="s">
        <v>44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26CBA2D2-DC6D-4835-9779-DF9EC64A9D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CA66A3-39CC-408E-BC67-E359BA54DD09}"/>
</file>

<file path=customXml/itemProps3.xml><?xml version="1.0" encoding="utf-8"?>
<ds:datastoreItem xmlns:ds="http://schemas.openxmlformats.org/officeDocument/2006/customXml" ds:itemID="{9584A30D-4880-432D-AC5D-F3DAB36028F1}">
  <ds:schemaRefs>
    <ds:schemaRef ds:uri="http://purl.org/dc/dcmitype/"/>
    <ds:schemaRef ds:uri="http://schemas.microsoft.com/office/2006/metadata/properties"/>
    <ds:schemaRef ds:uri="d94663fc-0bbb-4c75-ad7b-31b0161adbbf"/>
    <ds:schemaRef ds:uri="http://schemas.microsoft.com/office/infopath/2007/PartnerControls"/>
    <ds:schemaRef ds:uri="680c7679-6e7d-4828-b830-7705079186f8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e16360fa-a872-4335-9e5c-3a09d38ecd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DCC 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Chavez Silva Vanesa Genoveva</dc:creator>
  <cp:keywords/>
  <dc:description/>
  <cp:lastModifiedBy>Chavez Silva Vanesa Genoveva</cp:lastModifiedBy>
  <cp:revision/>
  <dcterms:created xsi:type="dcterms:W3CDTF">2026-01-05T13:20:40Z</dcterms:created>
  <dcterms:modified xsi:type="dcterms:W3CDTF">2026-01-06T16:40:55Z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