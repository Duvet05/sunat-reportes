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19" documentId="13_ncr:1_{B076FC58-44D8-4D49-843F-9070200DEE28}" xr6:coauthVersionLast="47" xr6:coauthVersionMax="47" xr10:uidLastSave="{7ED0EC0F-57F0-4736-971C-9CC87CECF434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 EN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_xlnm._FilterDatabase" localSheetId="1" hidden="1">'GAFA_DCCII EN'!$A$1:$O$23</definedName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1" l="1"/>
  <c r="N23" i="11" s="1"/>
  <c r="K22" i="11"/>
  <c r="N22" i="11" s="1"/>
  <c r="K21" i="11"/>
  <c r="N21" i="11" s="1"/>
  <c r="K20" i="11"/>
  <c r="N20" i="11" s="1"/>
  <c r="K19" i="11"/>
  <c r="N19" i="11" s="1"/>
  <c r="K18" i="11"/>
  <c r="N18" i="11" s="1"/>
  <c r="K17" i="11"/>
  <c r="N17" i="11" s="1"/>
  <c r="K15" i="11"/>
  <c r="N15" i="11" s="1"/>
  <c r="K14" i="11"/>
  <c r="N14" i="11" s="1"/>
  <c r="K13" i="11"/>
  <c r="N13" i="11" s="1"/>
  <c r="K12" i="11"/>
  <c r="N12" i="11" s="1"/>
  <c r="K11" i="11"/>
  <c r="N11" i="11" s="1"/>
  <c r="K9" i="11"/>
  <c r="N9" i="11" s="1"/>
  <c r="K8" i="11"/>
  <c r="N8" i="11" s="1"/>
  <c r="K7" i="11"/>
  <c r="N7" i="11" s="1"/>
  <c r="K6" i="11"/>
  <c r="N6" i="11" s="1"/>
  <c r="K5" i="11"/>
  <c r="N5" i="11" s="1"/>
  <c r="K4" i="11"/>
  <c r="N4" i="11" s="1"/>
  <c r="H52" i="11" l="1"/>
  <c r="O46" i="11"/>
  <c r="O45" i="11"/>
  <c r="O44" i="11"/>
  <c r="O43" i="11"/>
  <c r="O42" i="11"/>
  <c r="O41" i="11"/>
  <c r="O40" i="11"/>
  <c r="O39" i="11"/>
  <c r="O47" i="11" l="1"/>
  <c r="K24" i="11" l="1"/>
  <c r="K25" i="11"/>
  <c r="K26" i="11"/>
  <c r="K27" i="11"/>
  <c r="K28" i="11"/>
  <c r="K29" i="11"/>
  <c r="K30" i="11"/>
  <c r="K31" i="11"/>
  <c r="K32" i="11"/>
  <c r="K33" i="11"/>
  <c r="N33" i="11" s="1"/>
  <c r="K34" i="11"/>
  <c r="N34" i="11" s="1"/>
  <c r="K35" i="11"/>
  <c r="N35" i="11" s="1"/>
  <c r="K38" i="11"/>
  <c r="K37" i="11"/>
  <c r="N37" i="11" s="1"/>
  <c r="K36" i="11"/>
  <c r="N36" i="11" s="1"/>
  <c r="I8" i="12"/>
  <c r="H8" i="12"/>
  <c r="I6" i="12"/>
  <c r="H6" i="12"/>
  <c r="I5" i="12"/>
  <c r="I4" i="12"/>
  <c r="H4" i="12"/>
  <c r="H5" i="12"/>
  <c r="N38" i="11" l="1"/>
  <c r="O38" i="11" s="1"/>
  <c r="N28" i="11" l="1"/>
  <c r="N27" i="11"/>
  <c r="N29" i="11"/>
  <c r="N30" i="11"/>
  <c r="N31" i="11"/>
  <c r="N26" i="11" l="1"/>
  <c r="O31" i="11" l="1"/>
</calcChain>
</file>

<file path=xl/sharedStrings.xml><?xml version="1.0" encoding="utf-8"?>
<sst xmlns="http://schemas.openxmlformats.org/spreadsheetml/2006/main" count="269" uniqueCount="163">
  <si>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</si>
  <si>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</si>
  <si>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</si>
  <si>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</si>
  <si>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</si>
  <si>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</si>
  <si>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</si>
  <si>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</si>
  <si>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</si>
  <si>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</si>
  <si>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</si>
  <si>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</si>
  <si>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</si>
  <si>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</si>
  <si>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</si>
  <si>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</si>
  <si>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</si>
  <si>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</si>
  <si>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</si>
  <si>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</si>
  <si>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</si>
  <si>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</si>
  <si>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</si>
  <si>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</si>
  <si>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</si>
  <si>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</si>
  <si>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1</t>
  </si>
  <si>
    <t>7U7100</t>
  </si>
  <si>
    <t>DIVISION DE CONTROL CONCURRENTE I</t>
  </si>
  <si>
    <t>CHAVEZ SILVA VANESA GENOVEVA</t>
  </si>
  <si>
    <t>2</t>
  </si>
  <si>
    <t>7U7101</t>
  </si>
  <si>
    <t>DIVISION DE CONTROL CONCURRENTE I - SUP 1</t>
  </si>
  <si>
    <t>CASTRO LAGOS ALLISON ERIKA</t>
  </si>
  <si>
    <t>3</t>
  </si>
  <si>
    <t>Linares Alcantara Cesar Victor</t>
  </si>
  <si>
    <t>Especialista 3</t>
  </si>
  <si>
    <t>4</t>
  </si>
  <si>
    <t>Cavero Carrion Carolina Marcela</t>
  </si>
  <si>
    <t>Especialista 4</t>
  </si>
  <si>
    <t>5</t>
  </si>
  <si>
    <t>Cosio Jara Edgar Fernando</t>
  </si>
  <si>
    <t>Especialista 5</t>
  </si>
  <si>
    <t>6</t>
  </si>
  <si>
    <t>Diaz Jurado Ana Maria</t>
  </si>
  <si>
    <t>Especialista 2</t>
  </si>
  <si>
    <t>7</t>
  </si>
  <si>
    <t>Sanchez Garrido Celso Felix</t>
  </si>
  <si>
    <t>8</t>
  </si>
  <si>
    <t>Santa Cruz Martinez Victoria Agustina</t>
  </si>
  <si>
    <t>9</t>
  </si>
  <si>
    <t>7U7202</t>
  </si>
  <si>
    <t>DIVISION DE CONTROL CONCURRENTE I - SUP 2</t>
  </si>
  <si>
    <t>QUEZADA VILLAR TERESITA MILAGROS</t>
  </si>
  <si>
    <t>10</t>
  </si>
  <si>
    <t>Jimenez Suclla Hugo Alberto</t>
  </si>
  <si>
    <t>11</t>
  </si>
  <si>
    <t>Chire Tunque Maria Luisa</t>
  </si>
  <si>
    <t>12</t>
  </si>
  <si>
    <t>Godoy Escalante William Arnaldo</t>
  </si>
  <si>
    <t>13</t>
  </si>
  <si>
    <t>Oyarse Cruz Javier Gustavo</t>
  </si>
  <si>
    <t>14</t>
  </si>
  <si>
    <t>Carbajal Jara Zaira</t>
  </si>
  <si>
    <t>15</t>
  </si>
  <si>
    <t>Santillan Valdivia Gladys Angelita</t>
  </si>
  <si>
    <t>16</t>
  </si>
  <si>
    <t>Sanchez Torres Jorge Luis</t>
  </si>
  <si>
    <t>17</t>
  </si>
  <si>
    <t>Castañeda Calderon Julio Ramiro</t>
  </si>
  <si>
    <t>18</t>
  </si>
  <si>
    <t>Mollinedo Catunta Maritza</t>
  </si>
  <si>
    <t>19</t>
  </si>
  <si>
    <t>Rosales Ochoa Tania Elena</t>
  </si>
  <si>
    <t>20</t>
  </si>
  <si>
    <t>Sandoval Guevara Azhir Yussef</t>
  </si>
  <si>
    <t>21</t>
  </si>
  <si>
    <t>Cordova Meza Luis Alberto</t>
  </si>
  <si>
    <t>22</t>
  </si>
  <si>
    <t>Angulo Farfan Andres Eduardo</t>
  </si>
  <si>
    <t>23</t>
  </si>
  <si>
    <t>7U7200</t>
  </si>
  <si>
    <t>DIVISIÓN DE LA DIVISIÓN DE CONTROL CONCURRENTE II</t>
  </si>
  <si>
    <t>5877</t>
  </si>
  <si>
    <t>VERA TUDELA GALLESI, ROBERTO GABRIEL</t>
  </si>
  <si>
    <t>24</t>
  </si>
  <si>
    <t>7U7201</t>
  </si>
  <si>
    <t>SUPERVISIÓN DE LA DIVISIÓN DE DCCII - SUP. 1</t>
  </si>
  <si>
    <t>7587</t>
  </si>
  <si>
    <t xml:space="preserve">SALCEDO DÍAZ YESSENIA </t>
  </si>
  <si>
    <t>25</t>
  </si>
  <si>
    <t>CUYA VELARDE, JUAN CARLOS</t>
  </si>
  <si>
    <t xml:space="preserve">Especialista 3 </t>
  </si>
  <si>
    <t>26</t>
  </si>
  <si>
    <r>
      <t xml:space="preserve">MALAGA PORTOCARRERO, CARLOS ALFREDO </t>
    </r>
    <r>
      <rPr>
        <sz val="12"/>
        <color rgb="FFC00000"/>
        <rFont val="Calibri"/>
        <family val="2"/>
        <scheme val="minor"/>
      </rPr>
      <t xml:space="preserve"> </t>
    </r>
  </si>
  <si>
    <t>27</t>
  </si>
  <si>
    <t>AO21</t>
  </si>
  <si>
    <t>RIOS GOMEZ, RENIERD</t>
  </si>
  <si>
    <t>28</t>
  </si>
  <si>
    <t>RIVAROLA HIDALGO, ROBERTO CESAR</t>
  </si>
  <si>
    <t>29</t>
  </si>
  <si>
    <t>VALDIVIA CHARCA, POUL CRISTIAN</t>
  </si>
  <si>
    <t>30</t>
  </si>
  <si>
    <t>VELA NUÑEZ, RICHARD</t>
  </si>
  <si>
    <t>31</t>
  </si>
  <si>
    <t>SUPERVISIÓN DE LA DIVISIÓN DE DCCII - SUP. 2</t>
  </si>
  <si>
    <t>4840</t>
  </si>
  <si>
    <t>MUNIVE BISETTI ALBERTO ANTHAR</t>
  </si>
  <si>
    <t>32</t>
  </si>
  <si>
    <t>2423</t>
  </si>
  <si>
    <t>ACOSTA SALAZAR, CECILIA JACQUELINE</t>
  </si>
  <si>
    <t>33</t>
  </si>
  <si>
    <t>7326</t>
  </si>
  <si>
    <t>ARESTEGUI PEREYRA, LYDIA CAROLINA</t>
  </si>
  <si>
    <t>34</t>
  </si>
  <si>
    <t>AT75</t>
  </si>
  <si>
    <t>FLORES ALVITEZ, VICTORIA CARMEN</t>
  </si>
  <si>
    <t>35</t>
  </si>
  <si>
    <t>7151</t>
  </si>
  <si>
    <t>PRETEL NOBLECILLA, LOURDES FABIOLA</t>
  </si>
  <si>
    <t>36</t>
  </si>
  <si>
    <t>5749</t>
  </si>
  <si>
    <t>ULLOA ASCENCIO, WILDER ELOY</t>
  </si>
  <si>
    <t>37</t>
  </si>
  <si>
    <t>LINAREZ AMACIFUEN, JOSE WAGNER</t>
  </si>
  <si>
    <t>8.7</t>
  </si>
  <si>
    <t>7U7300</t>
  </si>
  <si>
    <t>DIVISION DE CONTROL POSTERIOR</t>
  </si>
  <si>
    <t>2834</t>
  </si>
  <si>
    <t>Carpio Charres Ellsworth</t>
  </si>
  <si>
    <t>INCA - 58</t>
  </si>
  <si>
    <t>7U7301</t>
  </si>
  <si>
    <t>DIVSION DE CONTROL POSTERIOR SUP. 1</t>
  </si>
  <si>
    <t>6740</t>
  </si>
  <si>
    <t>Sanchez Ferrer Vargas Machuca Cynthia</t>
  </si>
  <si>
    <t>2694</t>
  </si>
  <si>
    <t>Bernuy Nuñez  Gustavo Ricardo</t>
  </si>
  <si>
    <t>4700</t>
  </si>
  <si>
    <t xml:space="preserve"> Mauro Sampen Carlos Enrique</t>
  </si>
  <si>
    <t>7660</t>
  </si>
  <si>
    <t xml:space="preserve"> Fournier Castillo Marco Lucio</t>
  </si>
  <si>
    <t>7148</t>
  </si>
  <si>
    <t xml:space="preserve">Garcia Rodriguez, Jesús </t>
  </si>
  <si>
    <t>4594</t>
  </si>
  <si>
    <t xml:space="preserve"> Lopez Cornelio Carlos Alberto</t>
  </si>
  <si>
    <t>4990</t>
  </si>
  <si>
    <t xml:space="preserve"> Pantoja Urizar Garfias  Cecilia Patricia</t>
  </si>
  <si>
    <t>(*) Se ha considerado 0.5 día para el Taller de Fortalecimiento de Equipos día 28.1.2025</t>
  </si>
  <si>
    <t>(**) El Sr. Jesús Garcia Rodriguez, el presente mes  realizó función de evaluación de demandas durante 17 días.</t>
  </si>
  <si>
    <t>Q Casos</t>
  </si>
  <si>
    <t>Ratio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</si>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</sst>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0" borderId="2" xfId="0" applyFont="1" applyBorder="1"/>
    <xf numFmtId="0" fontId="0" fillId="0" borderId="2" xfId="0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2" xfId="0" applyBorder="1"/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7" fillId="0" borderId="0" xfId="0" applyFont="1"/>
    <xf numFmtId="49" fontId="8" fillId="0" borderId="2" xfId="0" applyNumberFormat="1" applyFont="1" applyBorder="1" applyAlignment="1">
      <alignment horizontal="center"/>
    </xf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8" fillId="0" borderId="2" xfId="0" applyFont="1" applyBorder="1"/>
    <xf numFmtId="0" fontId="7" fillId="9" borderId="2" xfId="0" applyFont="1" applyFill="1" applyBorder="1" applyAlignment="1">
      <alignment horizontal="center"/>
    </xf>
    <xf numFmtId="0" fontId="7" fillId="9" borderId="2" xfId="0" applyFont="1" applyFill="1" applyBorder="1"/>
    <xf numFmtId="1" fontId="7" fillId="9" borderId="2" xfId="0" applyNumberFormat="1" applyFont="1" applyFill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" fontId="7" fillId="0" borderId="2" xfId="0" applyNumberFormat="1" applyFont="1" applyBorder="1"/>
    <xf numFmtId="164" fontId="7" fillId="0" borderId="2" xfId="0" applyNumberFormat="1" applyFont="1" applyBorder="1"/>
    <xf numFmtId="0" fontId="10" fillId="0" borderId="2" xfId="0" applyFont="1" applyBorder="1"/>
    <xf numFmtId="164" fontId="7" fillId="0" borderId="0" xfId="0" applyNumberFormat="1" applyFont="1"/>
    <xf numFmtId="164" fontId="12" fillId="0" borderId="2" xfId="0" applyNumberFormat="1" applyFont="1" applyBorder="1"/>
    <xf numFmtId="49" fontId="8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right"/>
    </xf>
    <xf numFmtId="0" fontId="13" fillId="0" borderId="2" xfId="0" applyFont="1" applyBorder="1"/>
    <xf numFmtId="1" fontId="13" fillId="0" borderId="2" xfId="0" applyNumberFormat="1" applyFont="1" applyBorder="1"/>
    <xf numFmtId="2" fontId="13" fillId="0" borderId="2" xfId="0" applyNumberFormat="1" applyFont="1" applyBorder="1"/>
    <xf numFmtId="49" fontId="13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2" fontId="7" fillId="0" borderId="2" xfId="0" applyNumberFormat="1" applyFont="1" applyBorder="1"/>
    <xf numFmtId="2" fontId="8" fillId="0" borderId="2" xfId="0" applyNumberFormat="1" applyFont="1" applyBorder="1"/>
    <xf numFmtId="0" fontId="8" fillId="6" borderId="2" xfId="0" applyFont="1" applyFill="1" applyBorder="1" applyAlignment="1">
      <alignment horizontal="right"/>
    </xf>
    <xf numFmtId="0" fontId="8" fillId="6" borderId="2" xfId="0" applyFont="1" applyFill="1" applyBorder="1"/>
    <xf numFmtId="0" fontId="14" fillId="0" borderId="2" xfId="0" applyFont="1" applyBorder="1" applyAlignment="1">
      <alignment horizontal="right"/>
    </xf>
    <xf numFmtId="165" fontId="14" fillId="0" borderId="2" xfId="0" applyNumberFormat="1" applyFont="1" applyBorder="1"/>
    <xf numFmtId="2" fontId="8" fillId="6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/>
    </xf>
    <xf numFmtId="2" fontId="8" fillId="6" borderId="0" xfId="0" applyNumberFormat="1" applyFont="1" applyFill="1" applyAlignment="1">
      <alignment vertical="center"/>
    </xf>
    <xf numFmtId="0" fontId="14" fillId="8" borderId="2" xfId="0" applyFont="1" applyFill="1" applyBorder="1"/>
    <xf numFmtId="0" fontId="14" fillId="0" borderId="2" xfId="0" applyFont="1" applyBorder="1"/>
    <xf numFmtId="165" fontId="14" fillId="7" borderId="2" xfId="0" applyNumberFormat="1" applyFont="1" applyFill="1" applyBorder="1"/>
    <xf numFmtId="2" fontId="14" fillId="0" borderId="2" xfId="0" applyNumberFormat="1" applyFont="1" applyBorder="1"/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4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55"/>
  <sheetViews>
    <sheetView tabSelected="1" topLeftCell="A23" zoomScale="55" zoomScaleNormal="55" workbookViewId="0">
      <selection sqref="A1:O47"/>
    </sheetView>
  </sheetViews>
  <sheetFormatPr defaultColWidth="11.42578125" defaultRowHeight="15.6"/>
  <cols>
    <col min="1" max="1" width="9.42578125" style="13" bestFit="1" customWidth="1"/>
    <col min="2" max="2" width="10.28515625" style="13" customWidth="1"/>
    <col min="3" max="3" width="35.85546875" style="13" customWidth="1"/>
    <col min="4" max="4" width="9.5703125" style="13" bestFit="1" customWidth="1"/>
    <col min="5" max="5" width="35.140625" style="13" customWidth="1"/>
    <col min="6" max="6" width="16.42578125" style="13" customWidth="1"/>
    <col min="7" max="7" width="8" style="13" customWidth="1"/>
    <col min="8" max="13" width="8" style="51" customWidth="1"/>
    <col min="14" max="14" width="8" style="13" customWidth="1"/>
    <col min="15" max="15" width="11.5703125" style="13" customWidth="1"/>
    <col min="16" max="16384" width="11.42578125" style="13"/>
  </cols>
  <sheetData>
    <row r="1" spans="1:15" ht="46.5">
      <c r="A1" s="10" t="s">
        <v>12</v>
      </c>
      <c r="B1" s="11" t="s">
        <v>13</v>
      </c>
      <c r="C1" s="12" t="s">
        <v>14</v>
      </c>
      <c r="D1" s="11" t="s">
        <v>15</v>
      </c>
      <c r="E1" s="11" t="s">
        <v>16</v>
      </c>
      <c r="F1" s="11" t="s">
        <v>0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8" t="s">
        <v>23</v>
      </c>
      <c r="N1" s="8" t="s">
        <v>24</v>
      </c>
      <c r="O1" s="8" t="s">
        <v>25</v>
      </c>
    </row>
    <row r="2" spans="1:15">
      <c r="A2" s="14" t="s">
        <v>26</v>
      </c>
      <c r="B2" s="15" t="s">
        <v>27</v>
      </c>
      <c r="C2" s="15" t="s">
        <v>28</v>
      </c>
      <c r="D2" s="16"/>
      <c r="E2" s="17" t="s">
        <v>29</v>
      </c>
      <c r="F2" s="17" t="s">
        <v>8</v>
      </c>
      <c r="G2" s="9"/>
      <c r="H2" s="9"/>
      <c r="I2" s="18"/>
      <c r="J2" s="18">
        <v>8</v>
      </c>
      <c r="K2" s="19"/>
      <c r="L2" s="18"/>
      <c r="M2" s="19"/>
      <c r="N2" s="20"/>
      <c r="O2" s="9"/>
    </row>
    <row r="3" spans="1:15">
      <c r="A3" s="14" t="s">
        <v>30</v>
      </c>
      <c r="B3" s="15" t="s">
        <v>31</v>
      </c>
      <c r="C3" s="15" t="s">
        <v>32</v>
      </c>
      <c r="D3" s="16"/>
      <c r="E3" s="17" t="s">
        <v>33</v>
      </c>
      <c r="F3" s="17" t="s">
        <v>10</v>
      </c>
      <c r="G3" s="9"/>
      <c r="H3" s="9"/>
      <c r="I3" s="21"/>
      <c r="J3" s="21">
        <v>7</v>
      </c>
      <c r="K3" s="21"/>
      <c r="L3" s="21"/>
      <c r="M3" s="21"/>
      <c r="N3" s="21"/>
      <c r="O3" s="9"/>
    </row>
    <row r="4" spans="1:15">
      <c r="A4" s="14" t="s">
        <v>34</v>
      </c>
      <c r="B4" s="15" t="s">
        <v>31</v>
      </c>
      <c r="C4" s="15" t="s">
        <v>32</v>
      </c>
      <c r="D4" s="16"/>
      <c r="E4" s="22" t="s">
        <v>35</v>
      </c>
      <c r="F4" s="23" t="s">
        <v>36</v>
      </c>
      <c r="G4" s="9"/>
      <c r="H4" s="9"/>
      <c r="I4" s="21"/>
      <c r="J4" s="21"/>
      <c r="K4" s="24">
        <f t="shared" ref="K4:K7" si="0">+M4-(I4+J4+L4)</f>
        <v>22</v>
      </c>
      <c r="L4" s="15"/>
      <c r="M4" s="25">
        <v>22</v>
      </c>
      <c r="N4" s="26">
        <f t="shared" ref="N4:N9" si="1">+K4/M4</f>
        <v>1</v>
      </c>
      <c r="O4" s="9"/>
    </row>
    <row r="5" spans="1:15">
      <c r="A5" s="14" t="s">
        <v>37</v>
      </c>
      <c r="B5" s="15" t="s">
        <v>31</v>
      </c>
      <c r="C5" s="15" t="s">
        <v>32</v>
      </c>
      <c r="D5" s="16"/>
      <c r="E5" s="22" t="s">
        <v>38</v>
      </c>
      <c r="F5" s="23" t="s">
        <v>39</v>
      </c>
      <c r="G5" s="9"/>
      <c r="H5" s="9"/>
      <c r="I5" s="21">
        <v>0.5</v>
      </c>
      <c r="J5" s="21"/>
      <c r="K5" s="24">
        <f t="shared" si="0"/>
        <v>21.5</v>
      </c>
      <c r="L5" s="21"/>
      <c r="M5" s="25">
        <v>22</v>
      </c>
      <c r="N5" s="26">
        <f t="shared" si="1"/>
        <v>0.97727272727272729</v>
      </c>
      <c r="O5" s="9"/>
    </row>
    <row r="6" spans="1:15">
      <c r="A6" s="14" t="s">
        <v>40</v>
      </c>
      <c r="B6" s="15" t="s">
        <v>31</v>
      </c>
      <c r="C6" s="15" t="s">
        <v>32</v>
      </c>
      <c r="D6" s="16"/>
      <c r="E6" s="22" t="s">
        <v>41</v>
      </c>
      <c r="F6" s="23" t="s">
        <v>42</v>
      </c>
      <c r="G6" s="9"/>
      <c r="H6" s="9"/>
      <c r="I6" s="21"/>
      <c r="J6" s="27">
        <v>11</v>
      </c>
      <c r="K6" s="24">
        <f t="shared" si="0"/>
        <v>9</v>
      </c>
      <c r="L6" s="21">
        <v>2</v>
      </c>
      <c r="M6" s="25">
        <v>22</v>
      </c>
      <c r="N6" s="26">
        <f t="shared" si="1"/>
        <v>0.40909090909090912</v>
      </c>
      <c r="O6" s="9"/>
    </row>
    <row r="7" spans="1:15">
      <c r="A7" s="14" t="s">
        <v>43</v>
      </c>
      <c r="B7" s="15" t="s">
        <v>31</v>
      </c>
      <c r="C7" s="15" t="s">
        <v>32</v>
      </c>
      <c r="D7" s="16"/>
      <c r="E7" s="22" t="s">
        <v>44</v>
      </c>
      <c r="F7" s="23" t="s">
        <v>45</v>
      </c>
      <c r="G7" s="9"/>
      <c r="H7" s="9"/>
      <c r="I7" s="21">
        <v>0.5</v>
      </c>
      <c r="J7" s="21">
        <v>0.5</v>
      </c>
      <c r="K7" s="24">
        <f t="shared" si="0"/>
        <v>21</v>
      </c>
      <c r="L7" s="21"/>
      <c r="M7" s="25">
        <v>22</v>
      </c>
      <c r="N7" s="26">
        <f t="shared" si="1"/>
        <v>0.95454545454545459</v>
      </c>
      <c r="O7" s="9"/>
    </row>
    <row r="8" spans="1:15">
      <c r="A8" s="14" t="s">
        <v>46</v>
      </c>
      <c r="B8" s="15" t="s">
        <v>31</v>
      </c>
      <c r="C8" s="15" t="s">
        <v>32</v>
      </c>
      <c r="D8" s="16"/>
      <c r="E8" s="22" t="s">
        <v>47</v>
      </c>
      <c r="F8" s="23" t="s">
        <v>42</v>
      </c>
      <c r="G8" s="9"/>
      <c r="H8" s="9"/>
      <c r="I8" s="21">
        <v>2.5</v>
      </c>
      <c r="J8" s="21"/>
      <c r="K8" s="24">
        <f>+M8-(I8+J8+L8)</f>
        <v>14.5</v>
      </c>
      <c r="L8" s="21">
        <v>5</v>
      </c>
      <c r="M8" s="25">
        <v>22</v>
      </c>
      <c r="N8" s="26">
        <f t="shared" si="1"/>
        <v>0.65909090909090906</v>
      </c>
      <c r="O8" s="9"/>
    </row>
    <row r="9" spans="1:15">
      <c r="A9" s="14" t="s">
        <v>48</v>
      </c>
      <c r="B9" s="15" t="s">
        <v>31</v>
      </c>
      <c r="C9" s="15" t="s">
        <v>32</v>
      </c>
      <c r="D9" s="16"/>
      <c r="E9" s="22" t="s">
        <v>49</v>
      </c>
      <c r="F9" s="23" t="s">
        <v>42</v>
      </c>
      <c r="G9" s="9"/>
      <c r="H9" s="9"/>
      <c r="I9" s="21">
        <v>0.5</v>
      </c>
      <c r="J9" s="21">
        <v>0.6</v>
      </c>
      <c r="K9" s="24">
        <f>+M9-(I9+J9+L9)</f>
        <v>20.9</v>
      </c>
      <c r="L9" s="21"/>
      <c r="M9" s="25">
        <v>22</v>
      </c>
      <c r="N9" s="26">
        <f t="shared" si="1"/>
        <v>0.95</v>
      </c>
      <c r="O9" s="9"/>
    </row>
    <row r="10" spans="1:15">
      <c r="A10" s="14" t="s">
        <v>50</v>
      </c>
      <c r="B10" s="15" t="s">
        <v>51</v>
      </c>
      <c r="C10" s="15" t="s">
        <v>52</v>
      </c>
      <c r="D10" s="16"/>
      <c r="E10" s="17" t="s">
        <v>53</v>
      </c>
      <c r="F10" s="17" t="s">
        <v>10</v>
      </c>
      <c r="G10" s="9"/>
      <c r="H10" s="9"/>
      <c r="I10" s="21"/>
      <c r="J10" s="21">
        <v>2</v>
      </c>
      <c r="K10" s="24"/>
      <c r="L10" s="28"/>
      <c r="M10" s="25"/>
      <c r="N10" s="26"/>
      <c r="O10" s="9"/>
    </row>
    <row r="11" spans="1:15">
      <c r="A11" s="14" t="s">
        <v>54</v>
      </c>
      <c r="B11" s="15" t="s">
        <v>51</v>
      </c>
      <c r="C11" s="15" t="s">
        <v>52</v>
      </c>
      <c r="D11" s="16"/>
      <c r="E11" s="22" t="s">
        <v>55</v>
      </c>
      <c r="F11" s="23" t="s">
        <v>39</v>
      </c>
      <c r="G11" s="9"/>
      <c r="H11" s="9"/>
      <c r="I11" s="21"/>
      <c r="J11" s="21"/>
      <c r="K11" s="24">
        <f>+M11-(I11+J11+L11)</f>
        <v>22</v>
      </c>
      <c r="L11" s="15"/>
      <c r="M11" s="25">
        <v>22</v>
      </c>
      <c r="N11" s="26">
        <f>+K11/M11</f>
        <v>1</v>
      </c>
      <c r="O11" s="9"/>
    </row>
    <row r="12" spans="1:15">
      <c r="A12" s="14" t="s">
        <v>56</v>
      </c>
      <c r="B12" s="15" t="s">
        <v>51</v>
      </c>
      <c r="C12" s="15" t="s">
        <v>52</v>
      </c>
      <c r="D12" s="16"/>
      <c r="E12" s="22" t="s">
        <v>57</v>
      </c>
      <c r="F12" s="23" t="s">
        <v>36</v>
      </c>
      <c r="G12" s="9"/>
      <c r="H12" s="9"/>
      <c r="I12" s="21">
        <v>0.5</v>
      </c>
      <c r="J12" s="21"/>
      <c r="K12" s="24">
        <f t="shared" ref="K12:K20" si="2">+M12-(I12+J12+L12)</f>
        <v>21.5</v>
      </c>
      <c r="L12" s="21"/>
      <c r="M12" s="25">
        <v>22</v>
      </c>
      <c r="N12" s="26">
        <f t="shared" ref="N12:N15" si="3">+K12/M12</f>
        <v>0.97727272727272729</v>
      </c>
      <c r="O12" s="9"/>
    </row>
    <row r="13" spans="1:15">
      <c r="A13" s="14" t="s">
        <v>58</v>
      </c>
      <c r="B13" s="15" t="s">
        <v>51</v>
      </c>
      <c r="C13" s="15" t="s">
        <v>52</v>
      </c>
      <c r="D13" s="16"/>
      <c r="E13" s="22" t="s">
        <v>59</v>
      </c>
      <c r="F13" s="23" t="s">
        <v>39</v>
      </c>
      <c r="G13" s="9"/>
      <c r="H13" s="9"/>
      <c r="I13" s="21"/>
      <c r="J13" s="21">
        <v>6</v>
      </c>
      <c r="K13" s="24">
        <f>+M13-(I13+J13+L13)</f>
        <v>16</v>
      </c>
      <c r="L13" s="28"/>
      <c r="M13" s="25">
        <v>22</v>
      </c>
      <c r="N13" s="26">
        <f t="shared" si="3"/>
        <v>0.72727272727272729</v>
      </c>
      <c r="O13" s="9"/>
    </row>
    <row r="14" spans="1:15">
      <c r="A14" s="14" t="s">
        <v>60</v>
      </c>
      <c r="B14" s="15" t="s">
        <v>51</v>
      </c>
      <c r="C14" s="15" t="s">
        <v>52</v>
      </c>
      <c r="D14" s="16"/>
      <c r="E14" s="22" t="s">
        <v>61</v>
      </c>
      <c r="F14" s="23" t="s">
        <v>39</v>
      </c>
      <c r="G14" s="9"/>
      <c r="H14" s="9"/>
      <c r="I14" s="21">
        <v>0.5</v>
      </c>
      <c r="J14" s="21">
        <v>11</v>
      </c>
      <c r="K14" s="24">
        <f>+M14-(I14+J14+L14)</f>
        <v>10.5</v>
      </c>
      <c r="L14" s="28"/>
      <c r="M14" s="25">
        <v>22</v>
      </c>
      <c r="N14" s="26">
        <f t="shared" si="3"/>
        <v>0.47727272727272729</v>
      </c>
      <c r="O14" s="9"/>
    </row>
    <row r="15" spans="1:15">
      <c r="A15" s="14" t="s">
        <v>62</v>
      </c>
      <c r="B15" s="15" t="s">
        <v>51</v>
      </c>
      <c r="C15" s="15" t="s">
        <v>52</v>
      </c>
      <c r="D15" s="16"/>
      <c r="E15" s="22" t="s">
        <v>63</v>
      </c>
      <c r="F15" s="23" t="s">
        <v>45</v>
      </c>
      <c r="G15" s="9"/>
      <c r="H15" s="9"/>
      <c r="I15" s="21"/>
      <c r="J15" s="27">
        <v>2</v>
      </c>
      <c r="K15" s="24">
        <f>+M15-(I15+J15+L15)</f>
        <v>20</v>
      </c>
      <c r="L15" s="21"/>
      <c r="M15" s="25">
        <v>22</v>
      </c>
      <c r="N15" s="26">
        <f t="shared" si="3"/>
        <v>0.90909090909090906</v>
      </c>
      <c r="O15" s="9"/>
    </row>
    <row r="16" spans="1:15">
      <c r="A16" s="14" t="s">
        <v>64</v>
      </c>
      <c r="B16" s="15"/>
      <c r="C16" s="15"/>
      <c r="D16" s="16"/>
      <c r="E16" s="17" t="s">
        <v>65</v>
      </c>
      <c r="F16" s="17" t="s">
        <v>10</v>
      </c>
      <c r="G16" s="9"/>
      <c r="H16" s="9"/>
      <c r="I16" s="21"/>
      <c r="J16" s="21"/>
      <c r="K16" s="24"/>
      <c r="L16" s="15"/>
      <c r="M16" s="25"/>
      <c r="N16" s="26"/>
      <c r="O16" s="9"/>
    </row>
    <row r="17" spans="1:16">
      <c r="A17" s="14" t="s">
        <v>66</v>
      </c>
      <c r="B17" s="15"/>
      <c r="C17" s="15"/>
      <c r="D17" s="16"/>
      <c r="E17" s="22" t="s">
        <v>67</v>
      </c>
      <c r="F17" s="23" t="s">
        <v>42</v>
      </c>
      <c r="G17" s="9"/>
      <c r="H17" s="9"/>
      <c r="I17" s="21">
        <v>2</v>
      </c>
      <c r="J17" s="21"/>
      <c r="K17" s="24">
        <f>+M17-(I17+J17+L17)</f>
        <v>20</v>
      </c>
      <c r="L17" s="29"/>
      <c r="M17" s="25">
        <v>22</v>
      </c>
      <c r="N17" s="26">
        <f t="shared" ref="N17:N23" si="4">+K17/M17</f>
        <v>0.90909090909090906</v>
      </c>
      <c r="O17" s="9"/>
    </row>
    <row r="18" spans="1:16">
      <c r="A18" s="14" t="s">
        <v>68</v>
      </c>
      <c r="B18" s="15"/>
      <c r="C18" s="15"/>
      <c r="D18" s="16"/>
      <c r="E18" s="22" t="s">
        <v>69</v>
      </c>
      <c r="F18" s="23" t="s">
        <v>39</v>
      </c>
      <c r="G18" s="9"/>
      <c r="H18" s="9"/>
      <c r="I18" s="21">
        <v>7.5</v>
      </c>
      <c r="J18" s="21"/>
      <c r="K18" s="24">
        <f t="shared" si="2"/>
        <v>14.5</v>
      </c>
      <c r="L18" s="29"/>
      <c r="M18" s="25">
        <v>22</v>
      </c>
      <c r="N18" s="26">
        <f t="shared" si="4"/>
        <v>0.65909090909090906</v>
      </c>
      <c r="O18" s="9"/>
    </row>
    <row r="19" spans="1:16">
      <c r="A19" s="14" t="s">
        <v>70</v>
      </c>
      <c r="B19" s="15"/>
      <c r="C19" s="15"/>
      <c r="D19" s="16"/>
      <c r="E19" s="22" t="s">
        <v>71</v>
      </c>
      <c r="F19" s="23" t="s">
        <v>36</v>
      </c>
      <c r="G19" s="9"/>
      <c r="H19" s="9"/>
      <c r="I19" s="21">
        <v>6</v>
      </c>
      <c r="J19" s="21"/>
      <c r="K19" s="24">
        <f t="shared" si="2"/>
        <v>16</v>
      </c>
      <c r="L19" s="29"/>
      <c r="M19" s="25">
        <v>22</v>
      </c>
      <c r="N19" s="26">
        <f t="shared" si="4"/>
        <v>0.72727272727272729</v>
      </c>
      <c r="O19" s="9"/>
    </row>
    <row r="20" spans="1:16">
      <c r="A20" s="14" t="s">
        <v>72</v>
      </c>
      <c r="B20" s="15"/>
      <c r="C20" s="15"/>
      <c r="D20" s="16"/>
      <c r="E20" s="22" t="s">
        <v>73</v>
      </c>
      <c r="F20" s="23" t="s">
        <v>36</v>
      </c>
      <c r="G20" s="9"/>
      <c r="H20" s="9"/>
      <c r="I20" s="21">
        <v>2</v>
      </c>
      <c r="J20" s="21"/>
      <c r="K20" s="24">
        <f t="shared" si="2"/>
        <v>20</v>
      </c>
      <c r="L20" s="29"/>
      <c r="M20" s="25">
        <v>22</v>
      </c>
      <c r="N20" s="26">
        <f t="shared" si="4"/>
        <v>0.90909090909090906</v>
      </c>
      <c r="O20" s="9"/>
    </row>
    <row r="21" spans="1:16">
      <c r="A21" s="14" t="s">
        <v>74</v>
      </c>
      <c r="B21" s="15"/>
      <c r="C21" s="15"/>
      <c r="D21" s="16"/>
      <c r="E21" s="22" t="s">
        <v>75</v>
      </c>
      <c r="F21" s="23" t="s">
        <v>45</v>
      </c>
      <c r="G21" s="9"/>
      <c r="H21" s="9"/>
      <c r="I21" s="21">
        <v>8</v>
      </c>
      <c r="J21" s="21"/>
      <c r="K21" s="24">
        <f>+M21-(I21+J21+L21)</f>
        <v>14</v>
      </c>
      <c r="L21" s="29"/>
      <c r="M21" s="25">
        <v>22</v>
      </c>
      <c r="N21" s="26">
        <f t="shared" si="4"/>
        <v>0.63636363636363635</v>
      </c>
      <c r="O21" s="9"/>
    </row>
    <row r="22" spans="1:16">
      <c r="A22" s="14" t="s">
        <v>76</v>
      </c>
      <c r="B22" s="15"/>
      <c r="C22" s="15"/>
      <c r="D22" s="16"/>
      <c r="E22" s="22" t="s">
        <v>77</v>
      </c>
      <c r="F22" s="23" t="s">
        <v>45</v>
      </c>
      <c r="G22" s="9"/>
      <c r="H22" s="9"/>
      <c r="I22" s="21"/>
      <c r="J22" s="21"/>
      <c r="K22" s="24">
        <f>+M22-(I22+J22+L22)</f>
        <v>22</v>
      </c>
      <c r="L22" s="29"/>
      <c r="M22" s="25">
        <v>22</v>
      </c>
      <c r="N22" s="26">
        <f t="shared" si="4"/>
        <v>1</v>
      </c>
      <c r="O22" s="9"/>
    </row>
    <row r="23" spans="1:16">
      <c r="A23" s="14" t="s">
        <v>78</v>
      </c>
      <c r="B23" s="15"/>
      <c r="C23" s="15"/>
      <c r="D23" s="16"/>
      <c r="E23" s="22" t="s">
        <v>79</v>
      </c>
      <c r="F23" s="23" t="s">
        <v>45</v>
      </c>
      <c r="G23" s="9"/>
      <c r="H23" s="9"/>
      <c r="I23" s="21">
        <v>8</v>
      </c>
      <c r="J23" s="21"/>
      <c r="K23" s="24">
        <f>+M23-(I23+J23+L23)</f>
        <v>14</v>
      </c>
      <c r="L23" s="29"/>
      <c r="M23" s="25">
        <v>22</v>
      </c>
      <c r="N23" s="26">
        <f t="shared" si="4"/>
        <v>0.63636363636363635</v>
      </c>
      <c r="O23" s="9"/>
    </row>
    <row r="24" spans="1:16">
      <c r="A24" s="14" t="s">
        <v>80</v>
      </c>
      <c r="B24" s="17" t="s">
        <v>81</v>
      </c>
      <c r="C24" s="30" t="s">
        <v>82</v>
      </c>
      <c r="D24" s="14" t="s">
        <v>83</v>
      </c>
      <c r="E24" s="17" t="s">
        <v>84</v>
      </c>
      <c r="F24" s="17" t="s">
        <v>8</v>
      </c>
      <c r="G24" s="27"/>
      <c r="H24" s="21"/>
      <c r="I24" s="21"/>
      <c r="J24" s="21"/>
      <c r="K24" s="24">
        <f t="shared" ref="K24:K38" si="5">+M24-I24-J24-L24</f>
        <v>22</v>
      </c>
      <c r="L24" s="21"/>
      <c r="M24" s="24">
        <v>22</v>
      </c>
      <c r="N24" s="31"/>
      <c r="O24" s="15"/>
    </row>
    <row r="25" spans="1:16">
      <c r="A25" s="14" t="s">
        <v>85</v>
      </c>
      <c r="B25" s="17" t="s">
        <v>86</v>
      </c>
      <c r="C25" s="30" t="s">
        <v>87</v>
      </c>
      <c r="D25" s="14" t="s">
        <v>88</v>
      </c>
      <c r="E25" s="17" t="s">
        <v>89</v>
      </c>
      <c r="F25" s="17" t="s">
        <v>10</v>
      </c>
      <c r="G25" s="17"/>
      <c r="H25" s="21"/>
      <c r="I25" s="21"/>
      <c r="J25" s="21"/>
      <c r="K25" s="24">
        <f t="shared" si="5"/>
        <v>22</v>
      </c>
      <c r="L25" s="21"/>
      <c r="M25" s="24">
        <v>22</v>
      </c>
      <c r="N25" s="32"/>
      <c r="O25" s="15"/>
    </row>
    <row r="26" spans="1:16">
      <c r="A26" s="14" t="s">
        <v>90</v>
      </c>
      <c r="B26" s="17" t="s">
        <v>86</v>
      </c>
      <c r="C26" s="30" t="s">
        <v>87</v>
      </c>
      <c r="D26" s="14">
        <v>7342</v>
      </c>
      <c r="E26" s="33" t="s">
        <v>91</v>
      </c>
      <c r="F26" s="15" t="s">
        <v>92</v>
      </c>
      <c r="G26" s="27">
        <v>6</v>
      </c>
      <c r="H26" s="21"/>
      <c r="I26" s="21"/>
      <c r="J26" s="21">
        <v>5</v>
      </c>
      <c r="K26" s="24">
        <f t="shared" si="5"/>
        <v>14</v>
      </c>
      <c r="L26" s="21">
        <v>3</v>
      </c>
      <c r="M26" s="24">
        <v>22</v>
      </c>
      <c r="N26" s="32">
        <f t="shared" ref="N26:N30" si="6">+K26/M26</f>
        <v>0.63636363636363635</v>
      </c>
      <c r="O26" s="15"/>
    </row>
    <row r="27" spans="1:16">
      <c r="A27" s="14" t="s">
        <v>93</v>
      </c>
      <c r="B27" s="17" t="s">
        <v>86</v>
      </c>
      <c r="C27" s="30" t="s">
        <v>87</v>
      </c>
      <c r="D27" s="14">
        <v>4644</v>
      </c>
      <c r="E27" s="17" t="s">
        <v>94</v>
      </c>
      <c r="F27" s="15" t="s">
        <v>92</v>
      </c>
      <c r="G27" s="27">
        <v>6</v>
      </c>
      <c r="H27" s="21"/>
      <c r="I27" s="21"/>
      <c r="J27" s="21">
        <v>11</v>
      </c>
      <c r="K27" s="24">
        <f t="shared" si="5"/>
        <v>11</v>
      </c>
      <c r="L27" s="21"/>
      <c r="M27" s="24">
        <v>22</v>
      </c>
      <c r="N27" s="32">
        <f t="shared" si="6"/>
        <v>0.5</v>
      </c>
      <c r="O27" s="15"/>
    </row>
    <row r="28" spans="1:16">
      <c r="A28" s="14" t="s">
        <v>95</v>
      </c>
      <c r="B28" s="17" t="s">
        <v>86</v>
      </c>
      <c r="C28" s="30" t="s">
        <v>87</v>
      </c>
      <c r="D28" s="14" t="s">
        <v>96</v>
      </c>
      <c r="E28" s="17" t="s">
        <v>97</v>
      </c>
      <c r="F28" s="17" t="s">
        <v>1</v>
      </c>
      <c r="G28" s="27">
        <v>7</v>
      </c>
      <c r="H28" s="21"/>
      <c r="I28" s="21"/>
      <c r="J28" s="21"/>
      <c r="K28" s="24">
        <f t="shared" si="5"/>
        <v>22</v>
      </c>
      <c r="L28" s="21"/>
      <c r="M28" s="24">
        <v>22</v>
      </c>
      <c r="N28" s="32">
        <f t="shared" si="6"/>
        <v>1</v>
      </c>
      <c r="O28" s="15"/>
    </row>
    <row r="29" spans="1:16">
      <c r="A29" s="14" t="s">
        <v>98</v>
      </c>
      <c r="B29" s="17" t="s">
        <v>86</v>
      </c>
      <c r="C29" s="30" t="s">
        <v>87</v>
      </c>
      <c r="D29" s="14">
        <v>7211</v>
      </c>
      <c r="E29" s="17" t="s">
        <v>99</v>
      </c>
      <c r="F29" s="17" t="s">
        <v>45</v>
      </c>
      <c r="G29" s="27">
        <v>9</v>
      </c>
      <c r="H29" s="21"/>
      <c r="I29" s="21"/>
      <c r="J29" s="21">
        <v>3</v>
      </c>
      <c r="K29" s="24">
        <f t="shared" si="5"/>
        <v>19</v>
      </c>
      <c r="L29" s="21"/>
      <c r="M29" s="24">
        <v>22</v>
      </c>
      <c r="N29" s="32">
        <f t="shared" si="6"/>
        <v>0.86363636363636365</v>
      </c>
      <c r="O29" s="15"/>
    </row>
    <row r="30" spans="1:16" ht="15" customHeight="1">
      <c r="A30" s="14" t="s">
        <v>100</v>
      </c>
      <c r="B30" s="17" t="s">
        <v>86</v>
      </c>
      <c r="C30" s="30" t="s">
        <v>87</v>
      </c>
      <c r="D30" s="14">
        <v>7624</v>
      </c>
      <c r="E30" s="17" t="s">
        <v>101</v>
      </c>
      <c r="F30" s="17" t="s">
        <v>45</v>
      </c>
      <c r="G30" s="27">
        <v>0</v>
      </c>
      <c r="H30" s="21"/>
      <c r="I30" s="21"/>
      <c r="J30" s="21">
        <v>9</v>
      </c>
      <c r="K30" s="24">
        <f t="shared" si="5"/>
        <v>13</v>
      </c>
      <c r="L30" s="21"/>
      <c r="M30" s="24">
        <v>22</v>
      </c>
      <c r="N30" s="32">
        <f t="shared" si="6"/>
        <v>0.59090909090909094</v>
      </c>
      <c r="O30" s="15"/>
      <c r="P30" s="34"/>
    </row>
    <row r="31" spans="1:16" ht="15" customHeight="1">
      <c r="A31" s="14" t="s">
        <v>102</v>
      </c>
      <c r="B31" s="17" t="s">
        <v>86</v>
      </c>
      <c r="C31" s="30" t="s">
        <v>87</v>
      </c>
      <c r="D31" s="14">
        <v>5844</v>
      </c>
      <c r="E31" s="33" t="s">
        <v>103</v>
      </c>
      <c r="F31" s="15" t="s">
        <v>92</v>
      </c>
      <c r="G31" s="27">
        <v>9</v>
      </c>
      <c r="H31" s="21"/>
      <c r="I31" s="21">
        <v>0.5</v>
      </c>
      <c r="J31" s="21">
        <v>12</v>
      </c>
      <c r="K31" s="24">
        <f t="shared" si="5"/>
        <v>9.5</v>
      </c>
      <c r="L31" s="21"/>
      <c r="M31" s="24">
        <v>22</v>
      </c>
      <c r="N31" s="32">
        <f>+K31/M31</f>
        <v>0.43181818181818182</v>
      </c>
      <c r="O31" s="35">
        <f>SUM(N26:N31)</f>
        <v>4.0227272727272725</v>
      </c>
    </row>
    <row r="32" spans="1:16">
      <c r="A32" s="14" t="s">
        <v>104</v>
      </c>
      <c r="B32" s="17" t="s">
        <v>51</v>
      </c>
      <c r="C32" s="30" t="s">
        <v>105</v>
      </c>
      <c r="D32" s="14" t="s">
        <v>106</v>
      </c>
      <c r="E32" s="17" t="s">
        <v>107</v>
      </c>
      <c r="F32" s="17" t="s">
        <v>10</v>
      </c>
      <c r="G32" s="17"/>
      <c r="H32" s="21"/>
      <c r="I32" s="21"/>
      <c r="J32" s="21"/>
      <c r="K32" s="24">
        <f t="shared" si="5"/>
        <v>22</v>
      </c>
      <c r="L32" s="28"/>
      <c r="M32" s="24">
        <v>22</v>
      </c>
      <c r="N32" s="32"/>
      <c r="O32" s="15"/>
    </row>
    <row r="33" spans="1:17">
      <c r="A33" s="14" t="s">
        <v>108</v>
      </c>
      <c r="B33" s="17" t="s">
        <v>51</v>
      </c>
      <c r="C33" s="30" t="s">
        <v>105</v>
      </c>
      <c r="D33" s="14" t="s">
        <v>109</v>
      </c>
      <c r="E33" s="17" t="s">
        <v>110</v>
      </c>
      <c r="F33" s="15" t="s">
        <v>39</v>
      </c>
      <c r="G33" s="27"/>
      <c r="H33" s="21"/>
      <c r="I33" s="21">
        <v>0.5</v>
      </c>
      <c r="J33" s="21"/>
      <c r="K33" s="24">
        <f t="shared" si="5"/>
        <v>21.5</v>
      </c>
      <c r="L33" s="28"/>
      <c r="M33" s="24">
        <v>22</v>
      </c>
      <c r="N33" s="32">
        <f t="shared" ref="N33:N37" si="7">+K33/M33</f>
        <v>0.97727272727272729</v>
      </c>
      <c r="O33" s="15"/>
    </row>
    <row r="34" spans="1:17">
      <c r="A34" s="14" t="s">
        <v>111</v>
      </c>
      <c r="B34" s="17" t="s">
        <v>51</v>
      </c>
      <c r="C34" s="30" t="s">
        <v>105</v>
      </c>
      <c r="D34" s="14" t="s">
        <v>112</v>
      </c>
      <c r="E34" s="17" t="s">
        <v>113</v>
      </c>
      <c r="F34" s="15" t="s">
        <v>92</v>
      </c>
      <c r="G34" s="27"/>
      <c r="H34" s="21"/>
      <c r="I34" s="21"/>
      <c r="J34" s="21">
        <v>16</v>
      </c>
      <c r="K34" s="24">
        <f t="shared" si="5"/>
        <v>6</v>
      </c>
      <c r="L34" s="28"/>
      <c r="M34" s="24">
        <v>22</v>
      </c>
      <c r="N34" s="32">
        <f t="shared" si="7"/>
        <v>0.27272727272727271</v>
      </c>
      <c r="O34" s="15"/>
      <c r="Q34" s="34"/>
    </row>
    <row r="35" spans="1:17">
      <c r="A35" s="14" t="s">
        <v>114</v>
      </c>
      <c r="B35" s="17" t="s">
        <v>51</v>
      </c>
      <c r="C35" s="30" t="s">
        <v>105</v>
      </c>
      <c r="D35" s="14" t="s">
        <v>115</v>
      </c>
      <c r="E35" s="17" t="s">
        <v>116</v>
      </c>
      <c r="F35" s="17" t="s">
        <v>1</v>
      </c>
      <c r="G35" s="27"/>
      <c r="H35" s="21"/>
      <c r="I35" s="21">
        <v>0.5</v>
      </c>
      <c r="J35" s="21"/>
      <c r="K35" s="24">
        <f t="shared" si="5"/>
        <v>21.5</v>
      </c>
      <c r="L35" s="28"/>
      <c r="M35" s="24">
        <v>22</v>
      </c>
      <c r="N35" s="32">
        <f t="shared" si="7"/>
        <v>0.97727272727272729</v>
      </c>
      <c r="O35" s="15"/>
    </row>
    <row r="36" spans="1:17">
      <c r="A36" s="14" t="s">
        <v>117</v>
      </c>
      <c r="B36" s="17" t="s">
        <v>51</v>
      </c>
      <c r="C36" s="30" t="s">
        <v>105</v>
      </c>
      <c r="D36" s="14" t="s">
        <v>118</v>
      </c>
      <c r="E36" s="17" t="s">
        <v>119</v>
      </c>
      <c r="F36" s="15" t="s">
        <v>92</v>
      </c>
      <c r="G36" s="27"/>
      <c r="H36" s="21"/>
      <c r="I36" s="21">
        <v>0.5</v>
      </c>
      <c r="J36" s="21"/>
      <c r="K36" s="24">
        <f t="shared" si="5"/>
        <v>15.5</v>
      </c>
      <c r="L36" s="21">
        <v>6</v>
      </c>
      <c r="M36" s="24">
        <v>22</v>
      </c>
      <c r="N36" s="32">
        <f t="shared" si="7"/>
        <v>0.70454545454545459</v>
      </c>
      <c r="O36" s="15"/>
    </row>
    <row r="37" spans="1:17">
      <c r="A37" s="14" t="s">
        <v>120</v>
      </c>
      <c r="B37" s="17" t="s">
        <v>51</v>
      </c>
      <c r="C37" s="30" t="s">
        <v>105</v>
      </c>
      <c r="D37" s="14" t="s">
        <v>121</v>
      </c>
      <c r="E37" s="17" t="s">
        <v>122</v>
      </c>
      <c r="F37" s="15" t="s">
        <v>42</v>
      </c>
      <c r="G37" s="27"/>
      <c r="H37" s="21"/>
      <c r="I37" s="21">
        <v>0.5</v>
      </c>
      <c r="J37" s="21">
        <v>5</v>
      </c>
      <c r="K37" s="24">
        <f t="shared" si="5"/>
        <v>16.5</v>
      </c>
      <c r="L37" s="28"/>
      <c r="M37" s="24">
        <v>22</v>
      </c>
      <c r="N37" s="32">
        <f t="shared" si="7"/>
        <v>0.75</v>
      </c>
      <c r="O37" s="15"/>
    </row>
    <row r="38" spans="1:17" ht="15" customHeight="1">
      <c r="A38" s="14" t="s">
        <v>123</v>
      </c>
      <c r="B38" s="17"/>
      <c r="C38" s="30"/>
      <c r="D38" s="14">
        <v>4569</v>
      </c>
      <c r="E38" s="17" t="s">
        <v>124</v>
      </c>
      <c r="F38" s="15" t="s">
        <v>92</v>
      </c>
      <c r="G38" s="27"/>
      <c r="H38" s="21"/>
      <c r="I38" s="21"/>
      <c r="J38" s="21">
        <v>1</v>
      </c>
      <c r="K38" s="24">
        <f t="shared" si="5"/>
        <v>21</v>
      </c>
      <c r="L38" s="21"/>
      <c r="M38" s="24">
        <v>22</v>
      </c>
      <c r="N38" s="32">
        <f t="shared" ref="N38" si="8">+K38/M38</f>
        <v>0.95454545454545459</v>
      </c>
      <c r="O38" s="35">
        <f>SUM(N33:N38)</f>
        <v>4.6363636363636367</v>
      </c>
      <c r="P38" s="13" t="s">
        <v>125</v>
      </c>
    </row>
    <row r="39" spans="1:17">
      <c r="A39" s="21">
        <v>38</v>
      </c>
      <c r="B39" s="17" t="s">
        <v>126</v>
      </c>
      <c r="C39" s="30" t="s">
        <v>127</v>
      </c>
      <c r="D39" s="14" t="s">
        <v>128</v>
      </c>
      <c r="E39" s="36" t="s">
        <v>129</v>
      </c>
      <c r="F39" s="17" t="s">
        <v>8</v>
      </c>
      <c r="G39" s="37" t="s">
        <v>130</v>
      </c>
      <c r="H39" s="21"/>
      <c r="I39" s="21"/>
      <c r="J39" s="38"/>
      <c r="K39" s="39"/>
      <c r="L39" s="38"/>
      <c r="M39" s="38"/>
      <c r="N39" s="39">
        <v>22</v>
      </c>
      <c r="O39" s="40">
        <f t="shared" ref="O39:O47" si="9">+K39/N39</f>
        <v>0</v>
      </c>
    </row>
    <row r="40" spans="1:17">
      <c r="A40" s="21">
        <v>39</v>
      </c>
      <c r="B40" s="17" t="s">
        <v>131</v>
      </c>
      <c r="C40" s="30" t="s">
        <v>132</v>
      </c>
      <c r="D40" s="14" t="s">
        <v>133</v>
      </c>
      <c r="E40" s="30" t="s">
        <v>134</v>
      </c>
      <c r="F40" s="17" t="s">
        <v>10</v>
      </c>
      <c r="G40" s="17"/>
      <c r="H40" s="21"/>
      <c r="I40" s="21"/>
      <c r="J40" s="38"/>
      <c r="K40" s="39"/>
      <c r="L40" s="38"/>
      <c r="M40" s="38"/>
      <c r="N40" s="39">
        <v>22</v>
      </c>
      <c r="O40" s="40">
        <f t="shared" si="9"/>
        <v>0</v>
      </c>
    </row>
    <row r="41" spans="1:17">
      <c r="A41" s="21">
        <v>40</v>
      </c>
      <c r="B41" s="17" t="s">
        <v>131</v>
      </c>
      <c r="C41" s="30" t="s">
        <v>132</v>
      </c>
      <c r="D41" s="41" t="s">
        <v>135</v>
      </c>
      <c r="E41" s="42" t="s">
        <v>136</v>
      </c>
      <c r="F41" s="43" t="s">
        <v>42</v>
      </c>
      <c r="G41" s="44">
        <v>13.5</v>
      </c>
      <c r="H41" s="21"/>
      <c r="I41" s="21"/>
      <c r="J41" s="17">
        <v>11</v>
      </c>
      <c r="K41" s="45">
        <v>10.5</v>
      </c>
      <c r="L41" s="17"/>
      <c r="M41" s="17">
        <v>0.5</v>
      </c>
      <c r="N41" s="39">
        <v>22</v>
      </c>
      <c r="O41" s="40">
        <f t="shared" si="9"/>
        <v>0.47727272727272729</v>
      </c>
    </row>
    <row r="42" spans="1:17">
      <c r="A42" s="21">
        <v>41</v>
      </c>
      <c r="B42" s="17" t="s">
        <v>131</v>
      </c>
      <c r="C42" s="30" t="s">
        <v>132</v>
      </c>
      <c r="D42" s="41" t="s">
        <v>137</v>
      </c>
      <c r="E42" s="42" t="s">
        <v>138</v>
      </c>
      <c r="F42" s="43" t="s">
        <v>39</v>
      </c>
      <c r="G42" s="44">
        <v>13.5</v>
      </c>
      <c r="H42" s="21"/>
      <c r="I42" s="21"/>
      <c r="J42" s="46"/>
      <c r="K42" s="45">
        <v>21.5</v>
      </c>
      <c r="L42" s="17"/>
      <c r="M42" s="17">
        <v>0.5</v>
      </c>
      <c r="N42" s="39">
        <v>22</v>
      </c>
      <c r="O42" s="40">
        <f t="shared" si="9"/>
        <v>0.97727272727272729</v>
      </c>
    </row>
    <row r="43" spans="1:17">
      <c r="A43" s="21">
        <v>42</v>
      </c>
      <c r="B43" s="17" t="s">
        <v>131</v>
      </c>
      <c r="C43" s="30" t="s">
        <v>132</v>
      </c>
      <c r="D43" s="41" t="s">
        <v>139</v>
      </c>
      <c r="E43" s="42" t="s">
        <v>140</v>
      </c>
      <c r="F43" s="43" t="s">
        <v>39</v>
      </c>
      <c r="G43" s="44">
        <v>13.5</v>
      </c>
      <c r="H43" s="21"/>
      <c r="I43" s="21"/>
      <c r="J43" s="15">
        <v>5</v>
      </c>
      <c r="K43" s="45">
        <v>16.5</v>
      </c>
      <c r="L43" s="47"/>
      <c r="M43" s="17">
        <v>0.5</v>
      </c>
      <c r="N43" s="39">
        <v>22</v>
      </c>
      <c r="O43" s="40">
        <f t="shared" si="9"/>
        <v>0.75</v>
      </c>
    </row>
    <row r="44" spans="1:17">
      <c r="A44" s="21">
        <v>43</v>
      </c>
      <c r="B44" s="17" t="s">
        <v>131</v>
      </c>
      <c r="C44" s="30" t="s">
        <v>132</v>
      </c>
      <c r="D44" s="41" t="s">
        <v>141</v>
      </c>
      <c r="E44" s="42" t="s">
        <v>142</v>
      </c>
      <c r="F44" s="43" t="s">
        <v>45</v>
      </c>
      <c r="G44" s="44">
        <v>13.5</v>
      </c>
      <c r="H44" s="21"/>
      <c r="I44" s="21"/>
      <c r="J44" s="15">
        <v>2</v>
      </c>
      <c r="K44" s="45">
        <v>3</v>
      </c>
      <c r="L44" s="47"/>
      <c r="M44" s="17">
        <v>17</v>
      </c>
      <c r="N44" s="39">
        <v>22</v>
      </c>
      <c r="O44" s="40">
        <f t="shared" si="9"/>
        <v>0.13636363636363635</v>
      </c>
    </row>
    <row r="45" spans="1:17">
      <c r="A45" s="21">
        <v>44</v>
      </c>
      <c r="B45" s="17" t="s">
        <v>131</v>
      </c>
      <c r="C45" s="30" t="s">
        <v>132</v>
      </c>
      <c r="D45" s="41" t="s">
        <v>143</v>
      </c>
      <c r="E45" s="42" t="s">
        <v>144</v>
      </c>
      <c r="F45" s="43" t="s">
        <v>42</v>
      </c>
      <c r="G45" s="44">
        <v>13.5</v>
      </c>
      <c r="H45" s="21"/>
      <c r="I45" s="21"/>
      <c r="J45" s="47"/>
      <c r="K45" s="45">
        <v>21.5</v>
      </c>
      <c r="L45" s="47"/>
      <c r="M45" s="17">
        <v>0.5</v>
      </c>
      <c r="N45" s="39">
        <v>22</v>
      </c>
      <c r="O45" s="40">
        <f t="shared" si="9"/>
        <v>0.97727272727272729</v>
      </c>
    </row>
    <row r="46" spans="1:17">
      <c r="A46" s="21">
        <v>45</v>
      </c>
      <c r="B46" s="17" t="s">
        <v>131</v>
      </c>
      <c r="C46" s="30" t="s">
        <v>132</v>
      </c>
      <c r="D46" s="41" t="s">
        <v>145</v>
      </c>
      <c r="E46" s="42" t="s">
        <v>146</v>
      </c>
      <c r="F46" s="43" t="s">
        <v>39</v>
      </c>
      <c r="G46" s="44">
        <v>13.5</v>
      </c>
      <c r="H46" s="21"/>
      <c r="I46" s="21"/>
      <c r="J46" s="46"/>
      <c r="K46" s="45">
        <v>21.5</v>
      </c>
      <c r="L46" s="47"/>
      <c r="M46" s="17">
        <v>0.5</v>
      </c>
      <c r="N46" s="39">
        <v>22</v>
      </c>
      <c r="O46" s="40">
        <f t="shared" si="9"/>
        <v>0.97727272727272729</v>
      </c>
    </row>
    <row r="47" spans="1:17">
      <c r="A47" s="15"/>
      <c r="B47" s="15"/>
      <c r="C47" s="15"/>
      <c r="D47" s="15"/>
      <c r="E47" s="15"/>
      <c r="F47" s="15"/>
      <c r="G47" s="15"/>
      <c r="H47" s="21"/>
      <c r="I47" s="21"/>
      <c r="J47" s="15"/>
      <c r="K47" s="15"/>
      <c r="L47" s="15"/>
      <c r="M47" s="15"/>
      <c r="N47" s="48" t="s">
        <v>24</v>
      </c>
      <c r="O47" s="49">
        <f>SUM(O41:O46)</f>
        <v>4.2954545454545459</v>
      </c>
    </row>
    <row r="48" spans="1:17">
      <c r="B48" s="50" t="s">
        <v>147</v>
      </c>
    </row>
    <row r="49" spans="2:8">
      <c r="B49" s="52" t="s">
        <v>148</v>
      </c>
    </row>
    <row r="51" spans="2:8">
      <c r="F51" s="53" t="s">
        <v>149</v>
      </c>
      <c r="G51" s="53" t="s">
        <v>24</v>
      </c>
      <c r="H51" s="53" t="s">
        <v>150</v>
      </c>
    </row>
    <row r="52" spans="2:8">
      <c r="F52" s="54">
        <v>58</v>
      </c>
      <c r="G52" s="55">
        <v>4.2949999999999999</v>
      </c>
      <c r="H52" s="56">
        <f>F52/G52</f>
        <v>13.50407450523865</v>
      </c>
    </row>
    <row r="53" spans="2:8" ht="15.75"/>
    <row r="54" spans="2:8" ht="15.75"/>
    <row r="55" spans="2:8" ht="15.75"/>
  </sheetData>
  <phoneticPr fontId="5" type="noConversion"/>
  <dataValidations disablePrompts="1" count="2">
    <dataValidation type="list" allowBlank="1" showInputMessage="1" showErrorMessage="1" sqref="H33:H34 H36:H38 H26:H31" xr:uid="{86345A01-A582-43C8-937E-C150C9A8DC62}">
      <formula1>$P$24:$P$26</formula1>
    </dataValidation>
    <dataValidation type="list" allowBlank="1" showInputMessage="1" showErrorMessage="1" sqref="H24:H25 H32" xr:uid="{B62E33E3-EED1-4FAC-ABE0-AA33ED49E463}">
      <formula1>#REF!</formula1>
    </dataValidation>
  </dataValidations>
  <hyperlinks>
    <hyperlink ref="D26" r:id="rId1" display="http://intranet/cl-ti-iapadron/gpS02Alias" xr:uid="{95B6D7EF-7207-42A6-829E-3511C8FD9901}"/>
    <hyperlink ref="D27" r:id="rId2" display="http://intranet/cl-ti-iapadron/gpS02Alias" xr:uid="{E52B0551-3E67-4A0F-B54B-81923D4EBDC8}"/>
    <hyperlink ref="D28" r:id="rId3" display="http://intranet/cl-ti-iapadron/gpS02Alias" xr:uid="{29BCD9BC-CD1E-4B15-ABEF-A2752E70F95F}"/>
    <hyperlink ref="D29" r:id="rId4" display="http://intranet/cl-ti-iapadron/gpS02Alias" xr:uid="{9C14A12E-D5F5-4954-AD7B-17E79CDF8EBE}"/>
    <hyperlink ref="D30" r:id="rId5" display="http://intranet/cl-ti-iapadron/gpS02Alias" xr:uid="{04D8633E-6923-40F8-86A3-084B1CDB9B22}"/>
    <hyperlink ref="D31" r:id="rId6" display="http://intranet/cl-ti-iapadron/gpS02Alias" xr:uid="{6A7AF4F6-D091-4555-A747-EF799B82960E}"/>
    <hyperlink ref="D38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570312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7" t="s">
        <v>151</v>
      </c>
      <c r="B2" s="59" t="s">
        <v>152</v>
      </c>
      <c r="C2" s="60"/>
      <c r="D2" s="59" t="s">
        <v>153</v>
      </c>
      <c r="E2" s="60"/>
      <c r="F2" s="63" t="s">
        <v>154</v>
      </c>
      <c r="G2" s="64"/>
      <c r="H2" s="61" t="s">
        <v>155</v>
      </c>
      <c r="I2" s="62"/>
    </row>
    <row r="3" spans="1:9">
      <c r="A3" s="58"/>
      <c r="B3" s="6" t="s">
        <v>156</v>
      </c>
      <c r="C3" s="6" t="s">
        <v>157</v>
      </c>
      <c r="D3" s="6" t="s">
        <v>156</v>
      </c>
      <c r="E3" s="6" t="s">
        <v>157</v>
      </c>
      <c r="F3" s="6" t="s">
        <v>156</v>
      </c>
      <c r="G3" s="6" t="s">
        <v>157</v>
      </c>
      <c r="H3" s="6" t="s">
        <v>156</v>
      </c>
      <c r="I3" s="6" t="s">
        <v>157</v>
      </c>
    </row>
    <row r="4" spans="1:9">
      <c r="A4" s="5" t="s">
        <v>158</v>
      </c>
      <c r="B4" s="5">
        <v>11</v>
      </c>
      <c r="C4" s="5">
        <v>9</v>
      </c>
      <c r="D4" s="5"/>
      <c r="E4" s="5"/>
      <c r="F4" s="5">
        <v>0.4</v>
      </c>
      <c r="G4" s="5">
        <v>0.4</v>
      </c>
      <c r="H4" s="5">
        <f>SUM(B4+F4)</f>
        <v>11.4</v>
      </c>
      <c r="I4" s="5">
        <f>SUM(C4+G4)</f>
        <v>9.4</v>
      </c>
    </row>
    <row r="5" spans="1:9">
      <c r="A5" s="5" t="s">
        <v>159</v>
      </c>
      <c r="B5" s="5">
        <v>7</v>
      </c>
      <c r="C5" s="5">
        <v>6</v>
      </c>
      <c r="D5" s="5"/>
      <c r="E5" s="5"/>
      <c r="F5" s="5">
        <v>0.82</v>
      </c>
      <c r="G5" s="5">
        <v>0.82</v>
      </c>
      <c r="H5" s="5">
        <f>SUM(B5+F5)</f>
        <v>7.82</v>
      </c>
      <c r="I5" s="5">
        <f>SUM(C5+G5)</f>
        <v>6.82</v>
      </c>
    </row>
    <row r="6" spans="1:9">
      <c r="A6" s="5" t="s">
        <v>160</v>
      </c>
      <c r="B6" s="5"/>
      <c r="C6" s="5"/>
      <c r="D6" s="5">
        <v>1</v>
      </c>
      <c r="E6" s="5">
        <v>1</v>
      </c>
      <c r="F6" s="5"/>
      <c r="G6" s="5"/>
      <c r="H6" s="5">
        <f>SUM(D6)</f>
        <v>1</v>
      </c>
      <c r="I6" s="5">
        <f>SUM(E6)</f>
        <v>1</v>
      </c>
    </row>
    <row r="7" spans="1:9">
      <c r="A7" s="5" t="s">
        <v>161</v>
      </c>
      <c r="B7" s="7"/>
      <c r="C7" s="7"/>
      <c r="D7" s="5">
        <v>0.66</v>
      </c>
      <c r="E7" s="5">
        <v>0.66</v>
      </c>
      <c r="H7" s="5">
        <v>0.66</v>
      </c>
      <c r="I7" s="5">
        <v>0.66</v>
      </c>
    </row>
    <row r="8" spans="1:9">
      <c r="A8" s="5" t="s">
        <v>162</v>
      </c>
      <c r="B8" s="7"/>
      <c r="C8" s="7"/>
      <c r="D8" s="5">
        <v>1</v>
      </c>
      <c r="E8" s="5">
        <v>1</v>
      </c>
      <c r="F8" s="5"/>
      <c r="G8" s="5"/>
      <c r="H8" s="5">
        <f>SUM(D8)</f>
        <v>1</v>
      </c>
      <c r="I8" s="5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97878D-6E27-4F6B-B7BD-4389A17E81AB}"/>
</file>

<file path=customXml/itemProps2.xml><?xml version="1.0" encoding="utf-8"?>
<ds:datastoreItem xmlns:ds="http://schemas.openxmlformats.org/officeDocument/2006/customXml" ds:itemID="{AC2C4421-A1FB-420C-8979-96ADE81180FE}"/>
</file>

<file path=customXml/itemProps3.xml><?xml version="1.0" encoding="utf-8"?>
<ds:datastoreItem xmlns:ds="http://schemas.openxmlformats.org/officeDocument/2006/customXml" ds:itemID="{23311D80-7783-478B-B047-821FCC784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2025-09-03T15:11:31Z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