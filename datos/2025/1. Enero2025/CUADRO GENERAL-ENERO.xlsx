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490" documentId="13_ncr:1_{A86C1AA8-A67C-4834-943C-F2D8BD6BE1CB}" xr6:coauthVersionLast="47" xr6:coauthVersionMax="47" xr10:uidLastSave="{45122F91-5228-45CA-AF30-30073BD2A03F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GAFA!$B$83:$G$83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59" i="1"/>
  <c r="N58" i="1"/>
  <c r="D10" i="1"/>
  <c r="C152" i="1"/>
  <c r="E17" i="1"/>
  <c r="C17" i="1"/>
  <c r="D17" i="1"/>
  <c r="D152" i="1"/>
  <c r="G59" i="1"/>
  <c r="G58" i="1"/>
  <c r="G116" i="1"/>
  <c r="G109" i="1"/>
  <c r="G131" i="1"/>
  <c r="G62" i="1"/>
  <c r="E10" i="1"/>
  <c r="G123" i="1" l="1"/>
</calcChain>
</file>

<file path=xl/sharedStrings.xml><?xml version="1.0" encoding="utf-8"?>
<sst xmlns="http://schemas.openxmlformats.org/spreadsheetml/2006/main" count="310" uniqueCount="168">
  <si>
    <t>COMITÉ INI</t>
  </si>
  <si>
    <t>STOCK DE DOCUMENTOS</t>
  </si>
  <si>
    <t>stock</t>
  </si>
  <si>
    <t>DCCI</t>
  </si>
  <si>
    <t>DCCII</t>
  </si>
  <si>
    <t>DCP</t>
  </si>
  <si>
    <t>FONDO</t>
  </si>
  <si>
    <t>(*)</t>
  </si>
  <si>
    <t>ADMISIBILIDAD</t>
  </si>
  <si>
    <t>INGRESADO</t>
  </si>
  <si>
    <t>TOTAL</t>
  </si>
  <si>
    <t>(*) Incluye 4 casos origen DCCII</t>
  </si>
  <si>
    <t xml:space="preserve">PRODUCTIVIDAD RECLAMOS </t>
  </si>
  <si>
    <t>Reclamos resueltos</t>
  </si>
  <si>
    <t>Resolutor</t>
  </si>
  <si>
    <t>Producción Promedio</t>
  </si>
  <si>
    <t>PRODUCTIVIDAD (LABORES ADICIONALES)</t>
  </si>
  <si>
    <t>PRODUCCIÓN</t>
  </si>
  <si>
    <t>UUOO</t>
  </si>
  <si>
    <t>MATERIA</t>
  </si>
  <si>
    <t>Atencion informes de demanda</t>
  </si>
  <si>
    <t>MEJORA LC</t>
  </si>
  <si>
    <t>MEJORA (IAMC)</t>
  </si>
  <si>
    <t xml:space="preserve">PRODUCTO RESUELTO </t>
  </si>
  <si>
    <t>RESOLUTOR</t>
  </si>
  <si>
    <t>PRODUCCIÓN PROMEDIO</t>
  </si>
  <si>
    <t>PROGRAMACIÓN FEB</t>
  </si>
  <si>
    <t>Exp</t>
  </si>
  <si>
    <t>Columna1</t>
  </si>
  <si>
    <t>STOCK VENCIDOS</t>
  </si>
  <si>
    <t>VENCIDO +9 MESES</t>
  </si>
  <si>
    <t>9 MESES</t>
  </si>
  <si>
    <t>8 MESES</t>
  </si>
  <si>
    <t>7 MESES</t>
  </si>
  <si>
    <t>(*) Caso reingresado, inicialmente fue calificada como solicitud de devolución, siendo que es era un reclamo.</t>
  </si>
  <si>
    <t xml:space="preserve">* Remitido a la DCCI vencido el plazo: 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</si>
  <si>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</si>
  <si>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</si>
  <si>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</si>
  <si>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</si>
  <si>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</si>
  <si>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</si>
  <si>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</si>
  <si>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</si>
  <si>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</si>
  <si>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</si>
  <si>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</si>
  <si>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</si>
  <si>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5.5</t>
  </si>
  <si>
    <t>11.45</t>
  </si>
  <si>
    <t>7U7102</t>
  </si>
  <si>
    <t>Teresita Quezada</t>
  </si>
  <si>
    <t>4.1</t>
  </si>
  <si>
    <t>12.68</t>
  </si>
  <si>
    <t>7U7103</t>
  </si>
  <si>
    <t>Angelita Santillan</t>
  </si>
  <si>
    <t>11.09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</si>
  <si>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</si>
  <si>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</si>
  <si>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</si>
  <si>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</si>
  <si>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</si>
  <si>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</si>
  <si>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Alta     43
Media 15</t>
  </si>
  <si>
    <t>(*) Incluye: 1 caso origen DCCII</t>
  </si>
  <si>
    <t>PROYECTADO Y NO APLICADO</t>
  </si>
  <si>
    <t xml:space="preserve">Resolución proyectada </t>
  </si>
  <si>
    <r>
      <t>Resolución</t>
    </r>
    <r>
      <rPr>
        <b/>
        <u/>
        <sz val="14"/>
        <color rgb="FFFFFFFF"/>
        <rFont val="Calibri Light"/>
        <family val="2"/>
      </rPr>
      <t xml:space="preserve"> NO </t>
    </r>
    <r>
      <rPr>
        <b/>
        <sz val="14"/>
        <color rgb="FFFFFFFF"/>
        <rFont val="Calibri Light"/>
        <family val="2"/>
      </rPr>
      <t>aplicada</t>
    </r>
    <r>
      <rPr>
        <b/>
        <u/>
        <sz val="14"/>
        <color rgb="FFFFFFFF"/>
        <rFont val="Calibri Light"/>
        <family val="2"/>
      </rPr>
      <t xml:space="preserve"> </t>
    </r>
  </si>
  <si>
    <t xml:space="preserve">Motivo </t>
  </si>
  <si>
    <t>Con Requerimiento/ Pendiente rpta de Div. Valoración/ Pendiente de levantar observación.</t>
  </si>
  <si>
    <t>Coordinación con el área / Pendiente de levantar Observación / Complejidad</t>
  </si>
  <si>
    <t>Coordinación con el área / Con Requerimiento.</t>
  </si>
  <si>
    <r>
      <t>Resolución</t>
    </r>
    <r>
      <rPr>
        <b/>
        <u/>
        <sz val="14"/>
        <color rgb="FFFFFFFF"/>
        <rFont val="Calibri Light"/>
        <family val="2"/>
        <scheme val="major"/>
      </rPr>
      <t xml:space="preserve"> </t>
    </r>
    <r>
      <rPr>
        <b/>
        <sz val="14"/>
        <color rgb="FFFFFFFF"/>
        <rFont val="Calibri Light"/>
        <family val="2"/>
        <scheme val="major"/>
      </rPr>
      <t>aplicada</t>
    </r>
    <r>
      <rPr>
        <b/>
        <u/>
        <sz val="14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</si>
  <si>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</si>
  <si>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</si>
  <si>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Motivo</t>
  </si>
  <si>
    <t>Cynthia Sánchez Ferrer</t>
  </si>
  <si>
    <t>Etiquetas de fila</t>
  </si>
  <si>
    <t>Cantidad de Resoluciones</t>
  </si>
  <si>
    <t>5569-GLADYS ANGELITA, SANTILLAN VALDIVIA</t>
  </si>
  <si>
    <t>2858-JULIO RAMIRO, CASTAÑEDA CALDERON</t>
  </si>
  <si>
    <t>4770-MARITZA, MOLLINEDO CATUNTA</t>
  </si>
  <si>
    <t>5556-JORGE LUIS, SANCHEZ TORRES</t>
  </si>
  <si>
    <t>7330-TANIA ELENA, ROSALES OCHOA</t>
  </si>
  <si>
    <t>7611-AZHIR YUSSEF, SANDOVAL GUEVARA</t>
  </si>
  <si>
    <t>7661-LUIS ALBERTO, CORDOVA MEZA</t>
  </si>
  <si>
    <t>7674-ANDRES EDUARDO, ANGULO FARFAN</t>
  </si>
  <si>
    <t>7625-TERESITA MILAGROS, QUEZADA VILLAR</t>
  </si>
  <si>
    <t>2968-MARIA LUISA, CHIRE TUNQUE</t>
  </si>
  <si>
    <t>3977-WILLIAN ARNALDO, GODOY ESCALANTE</t>
  </si>
  <si>
    <t>4504-HUGO ALBERTO, JIMENEZ SUCLLA</t>
  </si>
  <si>
    <t>4949-JAVIER GUSTAVO, OYARSE CRUZ</t>
  </si>
  <si>
    <t>7324-ZAIRA, CARBAJAL JARA</t>
  </si>
  <si>
    <t>7649-ALLISON ERIKA, CASTRO LAGOS</t>
  </si>
  <si>
    <t>2900-CAROLINA MARCELA, CAVERO CARRION</t>
  </si>
  <si>
    <t>3085-EDGAR FERNANDO, COSIO JARA</t>
  </si>
  <si>
    <t>3284-ANA MARIA, DIAZ JURADO</t>
  </si>
  <si>
    <t>4561-CESAR VICTOR, LINARES ALCANTARA</t>
  </si>
  <si>
    <t>5534-CELSO FELIX, SANCHEZ GARRIDO</t>
  </si>
  <si>
    <t>5565-VICTORIA AGUSTINA, SANTA CRUZ MARTINEZ</t>
  </si>
  <si>
    <t>Total general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</si>
  <si>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</si>
  <si>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</si>
  <si>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</si>
  <si>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</si>
  <si>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</si>
  <si>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</si>
  <si>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</si>
  <si>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</si>
  <si>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</si>
  <si>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</si>
  <si>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</si>
  <si>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</si>
  <si>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</si>
  <si>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</si>
  <si>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</si>
  <si>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</si>
  <si>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</si>
  <si>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</si>
  <si>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</si>
  <si>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</si>
  <si>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</si>
  <si>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</si>
  <si>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</si>
  <si>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</si>
  <si>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</si>
  <si>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</si>
  <si>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</si>
  <si>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</si>
  <si>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</si>
  <si>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</si>
  <si>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</si>
  <si>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</si>
  <si>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</si>
  <si>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</si>
  <si>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</si>
  <si>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</si>
  <si>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</si>
  <si>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</si>
  <si>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</si>
  <si>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6740</t>
  </si>
  <si>
    <t xml:space="preserve">Cynthia Sanchez Ferrer  </t>
  </si>
  <si>
    <t>Supervisor 1</t>
  </si>
  <si>
    <t>2694</t>
  </si>
  <si>
    <t>Gustavo Bernuy Nuñez</t>
  </si>
  <si>
    <t>4700</t>
  </si>
  <si>
    <t>Carlos Mauro Sampen</t>
  </si>
  <si>
    <t>7148</t>
  </si>
  <si>
    <t>Jesús García Rodríguez</t>
  </si>
  <si>
    <t>7660</t>
  </si>
  <si>
    <t>Marco Fournier Castillo</t>
  </si>
  <si>
    <t>4594</t>
  </si>
  <si>
    <t>Carlos Lopez Cornelio</t>
  </si>
  <si>
    <t>4990</t>
  </si>
  <si>
    <t xml:space="preserve">Cecilia Pantoja Urizar Garfias </t>
  </si>
  <si>
    <t>ITOP REPORTADOS-DICIEMBRE 2024</t>
  </si>
  <si>
    <t>Julio</t>
  </si>
  <si>
    <t>N° ITOP</t>
  </si>
  <si>
    <t> ASUNTO</t>
  </si>
  <si>
    <t>I-1133459</t>
  </si>
  <si>
    <t>No se visualiza fecha de cálculo del valor en etapa de autorización y evaluación de resolución SIGERI</t>
  </si>
  <si>
    <t>RESULTADOS DE RECLAMO</t>
  </si>
  <si>
    <t>ESTADO</t>
  </si>
  <si>
    <t>Infundado</t>
  </si>
  <si>
    <t>Fundado/F.P</t>
  </si>
  <si>
    <t>Nulidad</t>
  </si>
  <si>
    <t>Total</t>
  </si>
  <si>
    <t>Carece de Objeto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</si>
</sst>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color rgb="FF833C0C"/>
      <name val="Calibri Light"/>
      <family val="2"/>
      <scheme val="major"/>
    </font>
    <font>
      <b/>
      <sz val="14"/>
      <color rgb="FF3F3F3F"/>
      <name val="Calibri Light"/>
      <family val="2"/>
    </font>
    <font>
      <sz val="14"/>
      <color rgb="FF000000"/>
      <name val="Calibri Light"/>
      <family val="2"/>
      <scheme val="major"/>
    </font>
    <font>
      <b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3F3F3F"/>
      <name val="Calibri"/>
      <family val="2"/>
    </font>
    <font>
      <b/>
      <sz val="14"/>
      <color rgb="FFFFFFFF"/>
      <name val="Calibri Light"/>
      <family val="2"/>
      <scheme val="major"/>
    </font>
    <font>
      <sz val="14"/>
      <color rgb="FF000000"/>
      <name val="Calibri"/>
      <family val="2"/>
    </font>
    <font>
      <b/>
      <sz val="14"/>
      <color rgb="FFFF000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b/>
      <sz val="14"/>
      <color rgb="FFFFFFFF"/>
      <name val="Calibri Light"/>
      <family val="2"/>
    </font>
    <font>
      <b/>
      <u/>
      <sz val="14"/>
      <color rgb="FFFFFFFF"/>
      <name val="Calibri Light"/>
      <family val="2"/>
    </font>
    <font>
      <b/>
      <u/>
      <sz val="14"/>
      <color rgb="FFFFFFFF"/>
      <name val="Calibri Light"/>
      <family val="2"/>
      <scheme val="major"/>
    </font>
    <font>
      <sz val="14"/>
      <name val="Calibri Light"/>
      <family val="2"/>
      <scheme val="major"/>
    </font>
    <font>
      <b/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Arial Nova"/>
      <family val="2"/>
    </font>
  </fonts>
  <fills count="2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ACB9CA"/>
        <bgColor rgb="FF000000"/>
      </patternFill>
    </fill>
  </fills>
  <borders count="88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9CC2E5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CC2E5"/>
      </left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rgb="FF8EA9DB"/>
      </bottom>
      <diagonal/>
    </border>
  </borders>
  <cellStyleXfs count="2">
    <xf numFmtId="0" fontId="0" fillId="0" borderId="0"/>
    <xf numFmtId="0" fontId="1" fillId="18" borderId="46" applyNumberFormat="0" applyAlignment="0" applyProtection="0"/>
  </cellStyleXfs>
  <cellXfs count="243">
    <xf numFmtId="0" fontId="0" fillId="0" borderId="0" xfId="0"/>
    <xf numFmtId="0" fontId="2" fillId="0" borderId="47" xfId="1" applyFont="1" applyFill="1" applyBorder="1" applyAlignment="1">
      <alignment vertical="center" wrapText="1"/>
    </xf>
    <xf numFmtId="0" fontId="2" fillId="0" borderId="48" xfId="1" applyFont="1" applyFill="1" applyBorder="1" applyAlignment="1">
      <alignment horizontal="center" vertical="center" wrapText="1"/>
    </xf>
    <xf numFmtId="0" fontId="2" fillId="0" borderId="49" xfId="1" applyFont="1" applyFill="1" applyBorder="1" applyAlignment="1">
      <alignment horizontal="center" vertical="center" wrapText="1"/>
    </xf>
    <xf numFmtId="0" fontId="2" fillId="19" borderId="50" xfId="1" applyFont="1" applyFill="1" applyBorder="1" applyAlignment="1">
      <alignment horizontal="left" vertical="center"/>
    </xf>
    <xf numFmtId="0" fontId="2" fillId="0" borderId="51" xfId="1" applyFont="1" applyFill="1" applyBorder="1" applyAlignment="1">
      <alignment horizontal="center" vertical="center"/>
    </xf>
    <xf numFmtId="0" fontId="2" fillId="0" borderId="52" xfId="1" applyFont="1" applyFill="1" applyBorder="1" applyAlignment="1">
      <alignment horizontal="center" vertical="center"/>
    </xf>
    <xf numFmtId="0" fontId="2" fillId="19" borderId="53" xfId="1" applyFont="1" applyFill="1" applyBorder="1" applyAlignment="1">
      <alignment horizontal="left" vertical="center"/>
    </xf>
    <xf numFmtId="0" fontId="2" fillId="0" borderId="55" xfId="1" applyFont="1" applyFill="1" applyBorder="1" applyAlignment="1">
      <alignment horizontal="center" vertical="center"/>
    </xf>
    <xf numFmtId="49" fontId="3" fillId="15" borderId="30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vertical="center"/>
    </xf>
    <xf numFmtId="49" fontId="3" fillId="15" borderId="27" xfId="0" applyNumberFormat="1" applyFont="1" applyFill="1" applyBorder="1" applyAlignment="1">
      <alignment horizontal="left" vertical="center"/>
    </xf>
    <xf numFmtId="49" fontId="4" fillId="0" borderId="27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vertical="center"/>
    </xf>
    <xf numFmtId="49" fontId="4" fillId="0" borderId="38" xfId="0" applyNumberFormat="1" applyFont="1" applyBorder="1" applyAlignment="1">
      <alignment horizontal="left" vertical="center"/>
    </xf>
    <xf numFmtId="0" fontId="3" fillId="0" borderId="39" xfId="0" applyFont="1" applyBorder="1" applyAlignment="1">
      <alignment horizontal="center" vertical="center"/>
    </xf>
    <xf numFmtId="49" fontId="3" fillId="15" borderId="35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vertical="center"/>
    </xf>
    <xf numFmtId="49" fontId="3" fillId="15" borderId="36" xfId="0" applyNumberFormat="1" applyFont="1" applyFill="1" applyBorder="1" applyAlignment="1">
      <alignment horizontal="left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 readingOrder="1"/>
    </xf>
    <xf numFmtId="0" fontId="6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8" fillId="19" borderId="50" xfId="1" applyFont="1" applyFill="1" applyBorder="1" applyAlignment="1">
      <alignment horizontal="left" vertical="center"/>
    </xf>
    <xf numFmtId="0" fontId="8" fillId="19" borderId="58" xfId="0" applyFont="1" applyFill="1" applyBorder="1" applyAlignment="1">
      <alignment horizontal="left" vertical="center"/>
    </xf>
    <xf numFmtId="0" fontId="8" fillId="0" borderId="5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4" fillId="0" borderId="35" xfId="0" applyNumberFormat="1" applyFont="1" applyBorder="1" applyAlignment="1">
      <alignment horizontal="left" vertical="center"/>
    </xf>
    <xf numFmtId="49" fontId="3" fillId="0" borderId="62" xfId="0" applyNumberFormat="1" applyFont="1" applyBorder="1" applyAlignment="1">
      <alignment horizontal="center" vertical="center" wrapText="1"/>
    </xf>
    <xf numFmtId="49" fontId="3" fillId="0" borderId="63" xfId="0" applyNumberFormat="1" applyFont="1" applyBorder="1" applyAlignment="1">
      <alignment horizontal="center" vertical="center" wrapText="1"/>
    </xf>
    <xf numFmtId="49" fontId="3" fillId="0" borderId="64" xfId="0" applyNumberFormat="1" applyFont="1" applyBorder="1" applyAlignment="1">
      <alignment horizontal="center" vertical="center"/>
    </xf>
    <xf numFmtId="49" fontId="4" fillId="0" borderId="64" xfId="0" applyNumberFormat="1" applyFont="1" applyBorder="1" applyAlignment="1">
      <alignment vertical="center"/>
    </xf>
    <xf numFmtId="0" fontId="6" fillId="20" borderId="0" xfId="0" applyFont="1" applyFill="1"/>
    <xf numFmtId="0" fontId="9" fillId="20" borderId="0" xfId="0" applyFont="1" applyFill="1" applyAlignment="1">
      <alignment horizontal="center" vertical="center"/>
    </xf>
    <xf numFmtId="0" fontId="10" fillId="25" borderId="43" xfId="0" applyFont="1" applyFill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0" fillId="25" borderId="42" xfId="0" applyFont="1" applyFill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3" fillId="0" borderId="69" xfId="0" applyFont="1" applyBorder="1" applyAlignment="1">
      <alignment horizontal="center" vertical="center"/>
    </xf>
    <xf numFmtId="49" fontId="3" fillId="15" borderId="70" xfId="0" applyNumberFormat="1" applyFont="1" applyFill="1" applyBorder="1" applyAlignment="1">
      <alignment horizontal="left" vertical="center"/>
    </xf>
    <xf numFmtId="49" fontId="4" fillId="0" borderId="71" xfId="0" applyNumberFormat="1" applyFont="1" applyBorder="1" applyAlignment="1">
      <alignment horizontal="left" vertical="center"/>
    </xf>
    <xf numFmtId="49" fontId="4" fillId="0" borderId="72" xfId="0" applyNumberFormat="1" applyFont="1" applyBorder="1" applyAlignment="1">
      <alignment horizontal="left" vertical="center"/>
    </xf>
    <xf numFmtId="49" fontId="4" fillId="0" borderId="73" xfId="0" applyNumberFormat="1" applyFont="1" applyBorder="1" applyAlignment="1">
      <alignment horizontal="left" vertical="center"/>
    </xf>
    <xf numFmtId="0" fontId="3" fillId="0" borderId="7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3" fillId="15" borderId="75" xfId="0" applyFont="1" applyFill="1" applyBorder="1" applyAlignment="1">
      <alignment horizontal="center" vertical="center"/>
    </xf>
    <xf numFmtId="0" fontId="8" fillId="0" borderId="58" xfId="0" applyFont="1" applyBorder="1" applyAlignment="1">
      <alignment horizontal="center" vertical="center" wrapText="1"/>
    </xf>
    <xf numFmtId="0" fontId="4" fillId="0" borderId="0" xfId="0" applyFont="1"/>
    <xf numFmtId="0" fontId="9" fillId="20" borderId="0" xfId="0" applyFont="1" applyFill="1"/>
    <xf numFmtId="0" fontId="8" fillId="19" borderId="58" xfId="0" applyFont="1" applyFill="1" applyBorder="1" applyAlignment="1">
      <alignment horizontal="left" vertical="center" wrapText="1"/>
    </xf>
    <xf numFmtId="0" fontId="8" fillId="19" borderId="83" xfId="0" applyFont="1" applyFill="1" applyBorder="1" applyAlignment="1">
      <alignment horizontal="left" vertical="center"/>
    </xf>
    <xf numFmtId="0" fontId="8" fillId="0" borderId="83" xfId="0" applyFont="1" applyBorder="1" applyAlignment="1">
      <alignment horizontal="center" vertical="center"/>
    </xf>
    <xf numFmtId="0" fontId="5" fillId="17" borderId="8" xfId="0" applyFont="1" applyFill="1" applyBorder="1" applyAlignment="1">
      <alignment horizontal="left" vertical="center" wrapText="1" readingOrder="1"/>
    </xf>
    <xf numFmtId="0" fontId="5" fillId="17" borderId="8" xfId="0" applyFont="1" applyFill="1" applyBorder="1" applyAlignment="1">
      <alignment horizontal="center" wrapText="1" readingOrder="1"/>
    </xf>
    <xf numFmtId="0" fontId="5" fillId="17" borderId="9" xfId="0" applyFont="1" applyFill="1" applyBorder="1" applyAlignment="1">
      <alignment horizontal="center" wrapText="1" readingOrder="1"/>
    </xf>
    <xf numFmtId="0" fontId="5" fillId="17" borderId="9" xfId="0" applyFont="1" applyFill="1" applyBorder="1" applyAlignment="1">
      <alignment horizontal="center" vertical="center" wrapText="1" readingOrder="1"/>
    </xf>
    <xf numFmtId="0" fontId="5" fillId="16" borderId="45" xfId="0" applyFont="1" applyFill="1" applyBorder="1" applyAlignment="1">
      <alignment horizontal="left" vertical="center" wrapText="1" readingOrder="1"/>
    </xf>
    <xf numFmtId="0" fontId="5" fillId="16" borderId="45" xfId="0" applyFont="1" applyFill="1" applyBorder="1" applyAlignment="1">
      <alignment horizontal="center" wrapText="1" readingOrder="1"/>
    </xf>
    <xf numFmtId="0" fontId="5" fillId="16" borderId="61" xfId="0" applyFont="1" applyFill="1" applyBorder="1" applyAlignment="1">
      <alignment horizontal="center" wrapText="1" readingOrder="1"/>
    </xf>
    <xf numFmtId="0" fontId="5" fillId="16" borderId="61" xfId="0" applyFont="1" applyFill="1" applyBorder="1" applyAlignment="1">
      <alignment horizontal="center" vertical="center" wrapText="1" readingOrder="1"/>
    </xf>
    <xf numFmtId="0" fontId="5" fillId="17" borderId="45" xfId="0" applyFont="1" applyFill="1" applyBorder="1" applyAlignment="1">
      <alignment horizontal="center" wrapText="1" readingOrder="1"/>
    </xf>
    <xf numFmtId="0" fontId="5" fillId="17" borderId="45" xfId="0" applyFont="1" applyFill="1" applyBorder="1" applyAlignment="1">
      <alignment horizontal="left" vertical="center" wrapText="1" readingOrder="1"/>
    </xf>
    <xf numFmtId="0" fontId="5" fillId="17" borderId="61" xfId="0" applyFont="1" applyFill="1" applyBorder="1" applyAlignment="1">
      <alignment horizontal="center" wrapText="1" readingOrder="1"/>
    </xf>
    <xf numFmtId="0" fontId="5" fillId="17" borderId="61" xfId="0" applyFont="1" applyFill="1" applyBorder="1" applyAlignment="1">
      <alignment horizontal="center" vertical="center" wrapText="1" readingOrder="1"/>
    </xf>
    <xf numFmtId="0" fontId="3" fillId="15" borderId="0" xfId="0" applyFont="1" applyFill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6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left" vertical="center" wrapText="1" readingOrder="1"/>
    </xf>
    <xf numFmtId="0" fontId="10" fillId="16" borderId="2" xfId="0" applyFont="1" applyFill="1" applyBorder="1" applyAlignment="1">
      <alignment horizontal="center" wrapText="1" readingOrder="1"/>
    </xf>
    <xf numFmtId="0" fontId="9" fillId="0" borderId="3" xfId="0" applyFont="1" applyBorder="1" applyAlignment="1">
      <alignment horizontal="left" vertical="center" wrapText="1" readingOrder="1"/>
    </xf>
    <xf numFmtId="0" fontId="10" fillId="0" borderId="29" xfId="0" applyFont="1" applyBorder="1" applyAlignment="1">
      <alignment horizontal="center" wrapText="1" readingOrder="1"/>
    </xf>
    <xf numFmtId="0" fontId="10" fillId="16" borderId="29" xfId="0" applyFont="1" applyFill="1" applyBorder="1" applyAlignment="1">
      <alignment horizont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center"/>
    </xf>
    <xf numFmtId="17" fontId="13" fillId="5" borderId="5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5" fillId="0" borderId="59" xfId="0" applyFont="1" applyBorder="1" applyAlignment="1">
      <alignment horizontal="center" wrapText="1" readingOrder="1"/>
    </xf>
    <xf numFmtId="1" fontId="5" fillId="0" borderId="44" xfId="0" applyNumberFormat="1" applyFont="1" applyBorder="1" applyAlignment="1">
      <alignment horizontal="center" wrapText="1"/>
    </xf>
    <xf numFmtId="0" fontId="6" fillId="0" borderId="4" xfId="0" applyFont="1" applyBorder="1" applyAlignment="1">
      <alignment vertical="center" wrapText="1"/>
    </xf>
    <xf numFmtId="2" fontId="5" fillId="0" borderId="60" xfId="0" applyNumberFormat="1" applyFont="1" applyBorder="1" applyAlignment="1">
      <alignment horizontal="center" wrapText="1" readingOrder="1"/>
    </xf>
    <xf numFmtId="2" fontId="5" fillId="0" borderId="65" xfId="0" applyNumberFormat="1" applyFont="1" applyBorder="1" applyAlignment="1">
      <alignment horizontal="center" wrapText="1"/>
    </xf>
    <xf numFmtId="2" fontId="14" fillId="0" borderId="27" xfId="0" applyNumberFormat="1" applyFont="1" applyBorder="1" applyAlignment="1">
      <alignment horizontal="center"/>
    </xf>
    <xf numFmtId="2" fontId="10" fillId="16" borderId="65" xfId="0" applyNumberFormat="1" applyFont="1" applyFill="1" applyBorder="1" applyAlignment="1">
      <alignment horizontal="center" wrapText="1"/>
    </xf>
    <xf numFmtId="2" fontId="10" fillId="16" borderId="44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15" fillId="0" borderId="0" xfId="0" applyFont="1"/>
    <xf numFmtId="0" fontId="6" fillId="0" borderId="12" xfId="0" applyFont="1" applyBorder="1" applyAlignment="1">
      <alignment vertical="center" wrapText="1" readingOrder="1"/>
    </xf>
    <xf numFmtId="0" fontId="6" fillId="0" borderId="13" xfId="0" applyFont="1" applyBorder="1" applyAlignment="1">
      <alignment vertical="center" wrapText="1" readingOrder="1"/>
    </xf>
    <xf numFmtId="0" fontId="6" fillId="0" borderId="76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6" fillId="0" borderId="77" xfId="0" applyFont="1" applyBorder="1" applyAlignment="1">
      <alignment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78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left" vertical="center" wrapText="1" readingOrder="1"/>
    </xf>
    <xf numFmtId="0" fontId="9" fillId="0" borderId="10" xfId="0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vertical="center" wrapText="1" readingOrder="1"/>
    </xf>
    <xf numFmtId="0" fontId="9" fillId="0" borderId="79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left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9" fillId="0" borderId="78" xfId="0" applyFont="1" applyBorder="1" applyAlignment="1">
      <alignment horizontal="center" vertical="center" wrapText="1" readingOrder="1"/>
    </xf>
    <xf numFmtId="0" fontId="6" fillId="0" borderId="80" xfId="0" applyFont="1" applyBorder="1" applyAlignment="1">
      <alignment horizontal="left" vertical="center" wrapText="1" readingOrder="1"/>
    </xf>
    <xf numFmtId="0" fontId="9" fillId="0" borderId="81" xfId="0" applyFont="1" applyBorder="1" applyAlignment="1">
      <alignment horizontal="center" vertical="center" wrapText="1" readingOrder="1"/>
    </xf>
    <xf numFmtId="0" fontId="9" fillId="0" borderId="82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13" fillId="2" borderId="19" xfId="0" applyFont="1" applyFill="1" applyBorder="1" applyAlignment="1">
      <alignment horizontal="center" vertical="center" wrapText="1" readingOrder="1"/>
    </xf>
    <xf numFmtId="0" fontId="6" fillId="3" borderId="20" xfId="0" applyFont="1" applyFill="1" applyBorder="1" applyAlignment="1">
      <alignment horizontal="center" vertical="center" wrapText="1" readingOrder="1"/>
    </xf>
    <xf numFmtId="0" fontId="6" fillId="3" borderId="2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vertical="center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10" fillId="16" borderId="20" xfId="0" applyFont="1" applyFill="1" applyBorder="1" applyAlignment="1">
      <alignment horizont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13" fillId="2" borderId="6" xfId="0" applyFont="1" applyFill="1" applyBorder="1" applyAlignment="1">
      <alignment horizontal="center" vertical="center" wrapText="1" readingOrder="1"/>
    </xf>
    <xf numFmtId="0" fontId="13" fillId="2" borderId="7" xfId="0" applyFont="1" applyFill="1" applyBorder="1" applyAlignment="1">
      <alignment horizontal="center" vertical="center" wrapText="1" readingOrder="1"/>
    </xf>
    <xf numFmtId="0" fontId="13" fillId="2" borderId="9" xfId="0" applyFont="1" applyFill="1" applyBorder="1" applyAlignment="1">
      <alignment horizontal="center" vertical="center" wrapText="1" readingOrder="1"/>
    </xf>
    <xf numFmtId="0" fontId="13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13" fillId="7" borderId="22" xfId="0" applyFont="1" applyFill="1" applyBorder="1" applyAlignment="1">
      <alignment horizontal="center" vertical="center" wrapText="1" readingOrder="1"/>
    </xf>
    <xf numFmtId="0" fontId="13" fillId="7" borderId="23" xfId="0" applyFont="1" applyFill="1" applyBorder="1" applyAlignment="1">
      <alignment horizontal="center" vertical="center" wrapText="1" readingOrder="1"/>
    </xf>
    <xf numFmtId="0" fontId="9" fillId="8" borderId="23" xfId="0" applyFont="1" applyFill="1" applyBorder="1" applyAlignment="1">
      <alignment horizontal="center" vertical="center" wrapText="1" readingOrder="1"/>
    </xf>
    <xf numFmtId="1" fontId="5" fillId="21" borderId="23" xfId="0" applyNumberFormat="1" applyFont="1" applyFill="1" applyBorder="1" applyAlignment="1">
      <alignment horizontal="center" vertical="center" wrapText="1" readingOrder="1"/>
    </xf>
    <xf numFmtId="2" fontId="5" fillId="21" borderId="66" xfId="0" applyNumberFormat="1" applyFont="1" applyFill="1" applyBorder="1" applyAlignment="1">
      <alignment horizontal="center" vertical="center" wrapText="1" readingOrder="1"/>
    </xf>
    <xf numFmtId="0" fontId="5" fillId="21" borderId="66" xfId="0" applyFont="1" applyFill="1" applyBorder="1" applyAlignment="1">
      <alignment horizontal="center" vertical="center" wrapText="1" readingOrder="1"/>
    </xf>
    <xf numFmtId="0" fontId="13" fillId="7" borderId="10" xfId="0" applyFont="1" applyFill="1" applyBorder="1" applyAlignment="1">
      <alignment horizontal="center" vertical="center" wrapText="1" readingOrder="1"/>
    </xf>
    <xf numFmtId="0" fontId="9" fillId="9" borderId="10" xfId="0" applyFont="1" applyFill="1" applyBorder="1" applyAlignment="1">
      <alignment horizontal="center" vertical="center" wrapText="1" readingOrder="1"/>
    </xf>
    <xf numFmtId="0" fontId="5" fillId="22" borderId="11" xfId="0" applyFont="1" applyFill="1" applyBorder="1" applyAlignment="1">
      <alignment horizontal="center" vertical="center" wrapText="1" readingOrder="1"/>
    </xf>
    <xf numFmtId="2" fontId="5" fillId="22" borderId="68" xfId="0" applyNumberFormat="1" applyFont="1" applyFill="1" applyBorder="1" applyAlignment="1">
      <alignment horizontal="center" vertical="center" wrapText="1" readingOrder="1"/>
    </xf>
    <xf numFmtId="0" fontId="5" fillId="22" borderId="68" xfId="0" applyFont="1" applyFill="1" applyBorder="1" applyAlignment="1">
      <alignment horizontal="center" vertical="center" wrapText="1" readingOrder="1"/>
    </xf>
    <xf numFmtId="2" fontId="5" fillId="22" borderId="67" xfId="0" applyNumberFormat="1" applyFont="1" applyFill="1" applyBorder="1" applyAlignment="1">
      <alignment horizontal="center" vertical="center" wrapText="1" readingOrder="1"/>
    </xf>
    <xf numFmtId="0" fontId="13" fillId="10" borderId="6" xfId="0" applyFont="1" applyFill="1" applyBorder="1" applyAlignment="1">
      <alignment horizontal="center" vertical="center" wrapText="1" readingOrder="1"/>
    </xf>
    <xf numFmtId="0" fontId="13" fillId="10" borderId="7" xfId="0" applyFont="1" applyFill="1" applyBorder="1" applyAlignment="1">
      <alignment horizontal="center" vertical="center" wrapText="1" readingOrder="1"/>
    </xf>
    <xf numFmtId="0" fontId="13" fillId="10" borderId="10" xfId="0" applyFont="1" applyFill="1" applyBorder="1" applyAlignment="1">
      <alignment horizontal="center" vertical="center" wrapText="1" readingOrder="1"/>
    </xf>
    <xf numFmtId="0" fontId="9" fillId="11" borderId="11" xfId="0" applyFont="1" applyFill="1" applyBorder="1" applyAlignment="1">
      <alignment horizontal="left" vertical="center" wrapText="1" readingOrder="1"/>
    </xf>
    <xf numFmtId="0" fontId="5" fillId="26" borderId="11" xfId="0" applyFont="1" applyFill="1" applyBorder="1" applyAlignment="1">
      <alignment horizontal="center" vertical="center" wrapText="1" readingOrder="1"/>
    </xf>
    <xf numFmtId="0" fontId="5" fillId="26" borderId="68" xfId="0" applyFont="1" applyFill="1" applyBorder="1" applyAlignment="1">
      <alignment horizontal="center" vertical="center" wrapText="1" readingOrder="1"/>
    </xf>
    <xf numFmtId="0" fontId="5" fillId="26" borderId="68" xfId="0" applyFont="1" applyFill="1" applyBorder="1" applyAlignment="1">
      <alignment horizontal="left" vertical="center" wrapText="1" readingOrder="1"/>
    </xf>
    <xf numFmtId="43" fontId="10" fillId="26" borderId="68" xfId="0" applyNumberFormat="1" applyFont="1" applyFill="1" applyBorder="1" applyAlignment="1">
      <alignment horizontal="center" vertical="center" wrapText="1" readingOrder="1"/>
    </xf>
    <xf numFmtId="0" fontId="4" fillId="0" borderId="0" xfId="0" applyFont="1" applyAlignment="1">
      <alignment wrapText="1"/>
    </xf>
    <xf numFmtId="0" fontId="17" fillId="2" borderId="7" xfId="0" applyFont="1" applyFill="1" applyBorder="1" applyAlignment="1">
      <alignment horizontal="center" vertical="center" wrapText="1" readingOrder="1"/>
    </xf>
    <xf numFmtId="0" fontId="9" fillId="6" borderId="8" xfId="0" applyFont="1" applyFill="1" applyBorder="1" applyAlignment="1">
      <alignment horizontal="left" vertical="center" wrapText="1" readingOrder="1"/>
    </xf>
    <xf numFmtId="0" fontId="5" fillId="17" borderId="9" xfId="0" quotePrefix="1" applyFont="1" applyFill="1" applyBorder="1" applyAlignment="1">
      <alignment horizontal="center" wrapText="1" readingOrder="1"/>
    </xf>
    <xf numFmtId="0" fontId="5" fillId="17" borderId="9" xfId="0" applyFont="1" applyFill="1" applyBorder="1" applyAlignment="1">
      <alignment horizontal="left" vertical="top" wrapText="1" readingOrder="1"/>
    </xf>
    <xf numFmtId="0" fontId="9" fillId="3" borderId="8" xfId="0" applyFont="1" applyFill="1" applyBorder="1" applyAlignment="1">
      <alignment horizontal="left" vertical="center" wrapText="1" readingOrder="1"/>
    </xf>
    <xf numFmtId="0" fontId="5" fillId="16" borderId="61" xfId="0" quotePrefix="1" applyFont="1" applyFill="1" applyBorder="1" applyAlignment="1">
      <alignment horizontal="center" wrapText="1" readingOrder="1"/>
    </xf>
    <xf numFmtId="0" fontId="5" fillId="17" borderId="61" xfId="0" quotePrefix="1" applyFont="1" applyFill="1" applyBorder="1" applyAlignment="1">
      <alignment horizontal="center" wrapText="1" readingOrder="1"/>
    </xf>
    <xf numFmtId="0" fontId="13" fillId="7" borderId="6" xfId="0" applyFont="1" applyFill="1" applyBorder="1" applyAlignment="1">
      <alignment horizontal="left" vertical="center" wrapText="1" readingOrder="1"/>
    </xf>
    <xf numFmtId="0" fontId="13" fillId="7" borderId="7" xfId="0" applyFont="1" applyFill="1" applyBorder="1" applyAlignment="1">
      <alignment horizontal="center" vertical="center" wrapText="1" readingOrder="1"/>
    </xf>
    <xf numFmtId="0" fontId="13" fillId="7" borderId="9" xfId="0" applyFont="1" applyFill="1" applyBorder="1" applyAlignment="1">
      <alignment horizontal="center" vertical="center" wrapText="1" readingOrder="1"/>
    </xf>
    <xf numFmtId="0" fontId="13" fillId="7" borderId="8" xfId="0" applyFont="1" applyFill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left" vertical="center" wrapText="1" readingOrder="1"/>
    </xf>
    <xf numFmtId="0" fontId="5" fillId="23" borderId="8" xfId="0" applyFont="1" applyFill="1" applyBorder="1" applyAlignment="1">
      <alignment horizontal="center" vertical="center" wrapText="1" readingOrder="1"/>
    </xf>
    <xf numFmtId="0" fontId="5" fillId="23" borderId="9" xfId="0" applyFont="1" applyFill="1" applyBorder="1" applyAlignment="1">
      <alignment horizontal="center" vertical="center" wrapText="1" readingOrder="1"/>
    </xf>
    <xf numFmtId="0" fontId="9" fillId="12" borderId="8" xfId="0" applyFont="1" applyFill="1" applyBorder="1" applyAlignment="1">
      <alignment horizontal="center" vertical="center" wrapText="1" readingOrder="1"/>
    </xf>
    <xf numFmtId="0" fontId="9" fillId="13" borderId="8" xfId="0" applyFont="1" applyFill="1" applyBorder="1" applyAlignment="1">
      <alignment horizontal="left" vertical="center" wrapText="1" readingOrder="1"/>
    </xf>
    <xf numFmtId="0" fontId="5" fillId="24" borderId="45" xfId="0" applyFont="1" applyFill="1" applyBorder="1" applyAlignment="1">
      <alignment horizontal="center" vertical="center" wrapText="1" readingOrder="1"/>
    </xf>
    <xf numFmtId="0" fontId="5" fillId="24" borderId="61" xfId="0" applyFont="1" applyFill="1" applyBorder="1" applyAlignment="1">
      <alignment horizontal="center" vertical="center" wrapText="1" readingOrder="1"/>
    </xf>
    <xf numFmtId="0" fontId="9" fillId="13" borderId="8" xfId="0" applyFont="1" applyFill="1" applyBorder="1" applyAlignment="1">
      <alignment horizontal="center" vertical="center" wrapText="1" readingOrder="1"/>
    </xf>
    <xf numFmtId="0" fontId="13" fillId="10" borderId="6" xfId="0" applyFont="1" applyFill="1" applyBorder="1" applyAlignment="1">
      <alignment horizontal="left" vertical="center" wrapText="1" readingOrder="1"/>
    </xf>
    <xf numFmtId="0" fontId="13" fillId="10" borderId="9" xfId="0" applyFont="1" applyFill="1" applyBorder="1" applyAlignment="1">
      <alignment horizontal="center" vertical="center" wrapText="1" readingOrder="1"/>
    </xf>
    <xf numFmtId="0" fontId="13" fillId="10" borderId="8" xfId="0" applyFont="1" applyFill="1" applyBorder="1" applyAlignment="1">
      <alignment horizontal="center" vertical="center" wrapText="1" readingOrder="1"/>
    </xf>
    <xf numFmtId="0" fontId="9" fillId="11" borderId="8" xfId="0" applyFont="1" applyFill="1" applyBorder="1" applyAlignment="1">
      <alignment horizontal="left" vertical="center" wrapText="1" readingOrder="1"/>
    </xf>
    <xf numFmtId="0" fontId="9" fillId="11" borderId="8" xfId="0" applyFont="1" applyFill="1" applyBorder="1" applyAlignment="1">
      <alignment horizontal="center" vertical="center" wrapText="1" readingOrder="1"/>
    </xf>
    <xf numFmtId="0" fontId="20" fillId="11" borderId="8" xfId="0" applyFont="1" applyFill="1" applyBorder="1" applyAlignment="1">
      <alignment horizontal="center" vertical="center" wrapText="1"/>
    </xf>
    <xf numFmtId="0" fontId="20" fillId="11" borderId="8" xfId="0" applyFont="1" applyFill="1" applyBorder="1" applyAlignment="1">
      <alignment horizontal="center" vertical="top" wrapText="1"/>
    </xf>
    <xf numFmtId="0" fontId="21" fillId="27" borderId="27" xfId="0" applyFont="1" applyFill="1" applyBorder="1"/>
    <xf numFmtId="0" fontId="21" fillId="27" borderId="84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1" fillId="0" borderId="85" xfId="0" applyFont="1" applyBorder="1"/>
    <xf numFmtId="0" fontId="21" fillId="0" borderId="86" xfId="0" applyFont="1" applyBorder="1"/>
    <xf numFmtId="0" fontId="14" fillId="0" borderId="27" xfId="0" applyFont="1" applyBorder="1"/>
    <xf numFmtId="0" fontId="14" fillId="0" borderId="30" xfId="0" applyFont="1" applyBorder="1"/>
    <xf numFmtId="0" fontId="14" fillId="0" borderId="36" xfId="0" applyFont="1" applyBorder="1"/>
    <xf numFmtId="0" fontId="14" fillId="0" borderId="35" xfId="0" applyFont="1" applyBorder="1"/>
    <xf numFmtId="0" fontId="21" fillId="0" borderId="87" xfId="0" applyFont="1" applyBorder="1"/>
    <xf numFmtId="0" fontId="21" fillId="0" borderId="27" xfId="0" applyFont="1" applyBorder="1"/>
    <xf numFmtId="0" fontId="21" fillId="27" borderId="34" xfId="0" applyFont="1" applyFill="1" applyBorder="1"/>
    <xf numFmtId="0" fontId="22" fillId="0" borderId="0" xfId="0" applyFont="1"/>
    <xf numFmtId="49" fontId="3" fillId="0" borderId="31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vertical="center" wrapText="1"/>
    </xf>
    <xf numFmtId="49" fontId="3" fillId="0" borderId="40" xfId="0" applyNumberFormat="1" applyFont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left" vertical="center" wrapText="1" readingOrder="1"/>
    </xf>
    <xf numFmtId="0" fontId="6" fillId="14" borderId="27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left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14" borderId="25" xfId="0" applyFont="1" applyFill="1" applyBorder="1" applyAlignment="1">
      <alignment vertical="center" wrapText="1" readingOrder="1"/>
    </xf>
    <xf numFmtId="0" fontId="9" fillId="14" borderId="25" xfId="0" applyFont="1" applyFill="1" applyBorder="1" applyAlignment="1">
      <alignment horizontal="center" vertical="center" wrapText="1" readingOrder="1"/>
    </xf>
    <xf numFmtId="0" fontId="6" fillId="0" borderId="25" xfId="0" applyFont="1" applyBorder="1" applyAlignment="1">
      <alignment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9" fillId="14" borderId="24" xfId="0" applyFont="1" applyFill="1" applyBorder="1" applyAlignment="1">
      <alignment horizontal="left" vertical="top" wrapText="1" readingOrder="1"/>
    </xf>
    <xf numFmtId="0" fontId="6" fillId="14" borderId="24" xfId="0" applyFont="1" applyFill="1" applyBorder="1" applyAlignment="1">
      <alignment horizontal="left" vertical="center" wrapText="1" readingOrder="1"/>
    </xf>
    <xf numFmtId="0" fontId="9" fillId="14" borderId="24" xfId="0" applyFont="1" applyFill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23" fillId="0" borderId="0" xfId="0" applyFont="1"/>
    <xf numFmtId="0" fontId="6" fillId="8" borderId="23" xfId="0" applyFont="1" applyFill="1" applyBorder="1" applyAlignment="1">
      <alignment horizontal="center" vertical="center" wrapText="1" readingOrder="1"/>
    </xf>
    <xf numFmtId="1" fontId="10" fillId="21" borderId="23" xfId="0" applyNumberFormat="1" applyFont="1" applyFill="1" applyBorder="1" applyAlignment="1">
      <alignment horizontal="center" vertical="center" wrapText="1" readingOrder="1"/>
    </xf>
    <xf numFmtId="2" fontId="10" fillId="21" borderId="66" xfId="0" applyNumberFormat="1" applyFont="1" applyFill="1" applyBorder="1" applyAlignment="1">
      <alignment horizontal="center" vertical="center" wrapText="1" readingOrder="1"/>
    </xf>
    <xf numFmtId="0" fontId="6" fillId="9" borderId="10" xfId="0" applyFont="1" applyFill="1" applyBorder="1" applyAlignment="1">
      <alignment horizontal="center" vertical="center" wrapText="1" readingOrder="1"/>
    </xf>
    <xf numFmtId="0" fontId="10" fillId="22" borderId="11" xfId="0" applyFont="1" applyFill="1" applyBorder="1" applyAlignment="1">
      <alignment horizontal="center" vertical="center" wrapText="1" readingOrder="1"/>
    </xf>
    <xf numFmtId="2" fontId="10" fillId="22" borderId="68" xfId="0" applyNumberFormat="1" applyFont="1" applyFill="1" applyBorder="1" applyAlignment="1">
      <alignment horizontal="center" vertical="center" wrapText="1" readingOrder="1"/>
    </xf>
    <xf numFmtId="2" fontId="10" fillId="22" borderId="67" xfId="0" applyNumberFormat="1" applyFont="1" applyFill="1" applyBorder="1" applyAlignment="1">
      <alignment horizontal="center" vertical="center" wrapText="1" readingOrder="1"/>
    </xf>
    <xf numFmtId="0" fontId="10" fillId="26" borderId="11" xfId="0" applyFont="1" applyFill="1" applyBorder="1" applyAlignment="1">
      <alignment horizontal="center" vertical="center" wrapText="1" readingOrder="1"/>
    </xf>
    <xf numFmtId="0" fontId="10" fillId="26" borderId="68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43" fontId="10" fillId="26" borderId="68" xfId="0" applyNumberFormat="1" applyFont="1" applyFill="1" applyBorder="1" applyAlignment="1">
      <alignment horizontal="left" vertical="center" wrapText="1" readingOrder="1"/>
    </xf>
    <xf numFmtId="0" fontId="10" fillId="17" borderId="8" xfId="0" applyFont="1" applyFill="1" applyBorder="1" applyAlignment="1">
      <alignment horizontal="center" vertical="center" wrapText="1" readingOrder="1"/>
    </xf>
    <xf numFmtId="0" fontId="10" fillId="17" borderId="9" xfId="0" applyFont="1" applyFill="1" applyBorder="1" applyAlignment="1">
      <alignment horizontal="center" vertical="center" wrapText="1" readingOrder="1"/>
    </xf>
    <xf numFmtId="0" fontId="10" fillId="16" borderId="45" xfId="0" applyFont="1" applyFill="1" applyBorder="1" applyAlignment="1">
      <alignment horizontal="center" vertical="center" wrapText="1" readingOrder="1"/>
    </xf>
    <xf numFmtId="0" fontId="10" fillId="16" borderId="61" xfId="0" applyFont="1" applyFill="1" applyBorder="1" applyAlignment="1">
      <alignment horizontal="center" vertical="center" wrapText="1" readingOrder="1"/>
    </xf>
    <xf numFmtId="0" fontId="10" fillId="17" borderId="45" xfId="0" applyFont="1" applyFill="1" applyBorder="1" applyAlignment="1">
      <alignment horizontal="center" vertical="center" wrapText="1" readingOrder="1"/>
    </xf>
    <xf numFmtId="0" fontId="10" fillId="17" borderId="61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Output" xfId="1" builtinId="21"/>
  </cellStyles>
  <dxfs count="14">
    <dxf>
      <font>
        <sz val="14"/>
      </font>
      <fill>
        <patternFill patternType="none"/>
      </fill>
    </dxf>
    <dxf>
      <font>
        <sz val="14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48:E156" totalsRowShown="0" headerRowDxfId="13" dataDxfId="12" headerRowBorderDxfId="11" totalsRowBorderDxfId="10">
  <autoFilter ref="B148:E156" xr:uid="{C0F610EF-6817-4B2E-B656-E8D570C0908B}"/>
  <tableColumns count="4">
    <tableColumn id="1" xr3:uid="{BB7A4C98-26BC-45B1-AA9E-174EB71BBBE8}" name="ESTADO" dataDxfId="9"/>
    <tableColumn id="2" xr3:uid="{9831EEBE-394E-4024-8502-36803BEFC3A9}" name="DCCI" dataDxfId="8"/>
    <tableColumn id="3" xr3:uid="{F9C66D03-3D51-49C0-BA34-E9515E02A369}" name="DCCII" dataDxfId="7"/>
    <tableColumn id="4" xr3:uid="{C65AA2B4-6378-4E31-B4C1-5E60BAEAFB5F}" name="DCP" dataDxfId="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30:D33" totalsRowShown="0" headerRowDxfId="5" dataDxfId="4" tableBorderDxfId="3">
  <autoFilter ref="B30:D33" xr:uid="{4A29EFC3-58A2-4431-8B0F-60680F58676D}"/>
  <tableColumns count="3">
    <tableColumn id="1" xr3:uid="{3999BB60-4785-4A8A-8BB8-25B1BCAE28BC}" name="PROGRAMACIÓN FEB" dataDxfId="2"/>
    <tableColumn id="2" xr3:uid="{F732DAB3-91EE-4831-A922-809480FA0AA3}" name="Exp" dataDxfId="1"/>
    <tableColumn id="3" xr3:uid="{49934A55-18D3-4DBE-8E1A-477105D80918}" name="Columna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56"/>
  <sheetViews>
    <sheetView tabSelected="1" zoomScale="85" zoomScaleNormal="85" workbookViewId="0">
      <pane xSplit="2" topLeftCell="C141" activePane="topRight" state="frozen"/>
      <selection pane="topRight" activeCell="F152" sqref="F152"/>
    </sheetView>
  </sheetViews>
  <sheetFormatPr defaultColWidth="10.85546875" defaultRowHeight="18.75" outlineLevelRow="1"/>
  <cols>
    <col min="1" max="1" width="10.85546875" style="66"/>
    <col min="2" max="2" width="27.42578125" style="66" customWidth="1"/>
    <col min="3" max="4" width="19.85546875" style="66" customWidth="1"/>
    <col min="5" max="5" width="29.5703125" style="66" customWidth="1"/>
    <col min="6" max="6" width="43.5703125" style="66" customWidth="1"/>
    <col min="7" max="7" width="16" style="66" customWidth="1"/>
    <col min="8" max="8" width="17.85546875" style="66" customWidth="1"/>
    <col min="9" max="9" width="17.7109375" style="66" customWidth="1"/>
    <col min="10" max="10" width="21.28515625" style="66" customWidth="1"/>
    <col min="11" max="11" width="22.42578125" style="66" customWidth="1"/>
    <col min="12" max="14" width="20.5703125" style="66" customWidth="1"/>
    <col min="15" max="17" width="10.85546875" style="66"/>
    <col min="18" max="18" width="33.28515625" style="66" customWidth="1"/>
    <col min="19" max="16384" width="10.85546875" style="66"/>
  </cols>
  <sheetData>
    <row r="2" spans="1:8">
      <c r="B2" s="83" t="s">
        <v>0</v>
      </c>
      <c r="C2" s="83"/>
      <c r="D2" s="83"/>
      <c r="E2" s="83"/>
      <c r="F2" s="84"/>
      <c r="G2" s="84"/>
    </row>
    <row r="4" spans="1:8">
      <c r="B4" s="85" t="s">
        <v>1</v>
      </c>
      <c r="C4" s="85"/>
      <c r="D4" s="86"/>
      <c r="E4" s="86"/>
      <c r="H4" s="66" t="s">
        <v>2</v>
      </c>
    </row>
    <row r="6" spans="1:8" ht="20.25">
      <c r="A6" s="66">
        <v>1</v>
      </c>
      <c r="B6" s="87"/>
      <c r="C6" s="88" t="s">
        <v>3</v>
      </c>
      <c r="D6" s="88" t="s">
        <v>4</v>
      </c>
      <c r="E6" s="88" t="s">
        <v>5</v>
      </c>
      <c r="G6" s="87"/>
      <c r="H6" s="88" t="s">
        <v>4</v>
      </c>
    </row>
    <row r="7" spans="1:8" ht="20.25">
      <c r="B7" s="89" t="s">
        <v>6</v>
      </c>
      <c r="C7" s="90">
        <v>513</v>
      </c>
      <c r="D7" s="90">
        <v>296</v>
      </c>
      <c r="E7" s="90">
        <v>444</v>
      </c>
      <c r="F7" s="66" t="s">
        <v>7</v>
      </c>
      <c r="G7" s="89" t="s">
        <v>6</v>
      </c>
      <c r="H7" s="90"/>
    </row>
    <row r="8" spans="1:8" ht="41.25">
      <c r="B8" s="91" t="s">
        <v>8</v>
      </c>
      <c r="C8" s="92">
        <v>945</v>
      </c>
      <c r="D8" s="92">
        <v>228</v>
      </c>
      <c r="E8" s="92">
        <v>68</v>
      </c>
      <c r="G8" s="91" t="s">
        <v>8</v>
      </c>
      <c r="H8" s="92"/>
    </row>
    <row r="9" spans="1:8" ht="20.25">
      <c r="B9" s="91" t="s">
        <v>9</v>
      </c>
      <c r="C9" s="93">
        <v>18</v>
      </c>
      <c r="D9" s="92">
        <v>10</v>
      </c>
      <c r="E9" s="93">
        <v>2</v>
      </c>
      <c r="G9" s="91" t="s">
        <v>9</v>
      </c>
      <c r="H9" s="92"/>
    </row>
    <row r="10" spans="1:8" ht="20.25">
      <c r="B10" s="94" t="s">
        <v>10</v>
      </c>
      <c r="C10" s="93">
        <v>1476</v>
      </c>
      <c r="D10" s="93">
        <f>SUM(D7:D9)</f>
        <v>534</v>
      </c>
      <c r="E10" s="93">
        <f>SUM(E7:E9)</f>
        <v>514</v>
      </c>
      <c r="G10" s="94" t="s">
        <v>10</v>
      </c>
      <c r="H10" s="93">
        <v>296</v>
      </c>
    </row>
    <row r="11" spans="1:8">
      <c r="B11" s="66" t="s">
        <v>11</v>
      </c>
    </row>
    <row r="12" spans="1:8">
      <c r="B12" s="85" t="s">
        <v>12</v>
      </c>
      <c r="C12" s="85"/>
      <c r="D12" s="86"/>
      <c r="E12" s="86"/>
    </row>
    <row r="13" spans="1:8">
      <c r="B13" s="95"/>
      <c r="C13" s="95"/>
    </row>
    <row r="14" spans="1:8" ht="28.5" customHeight="1">
      <c r="A14" s="66">
        <v>2</v>
      </c>
      <c r="B14" s="96">
        <v>45658</v>
      </c>
      <c r="C14" s="88" t="s">
        <v>3</v>
      </c>
      <c r="D14" s="88" t="s">
        <v>4</v>
      </c>
      <c r="E14" s="88" t="s">
        <v>5</v>
      </c>
    </row>
    <row r="15" spans="1:8" ht="20.25">
      <c r="B15" s="97" t="s">
        <v>13</v>
      </c>
      <c r="C15" s="98">
        <v>176</v>
      </c>
      <c r="D15" s="99">
        <v>85</v>
      </c>
      <c r="E15" s="99">
        <v>58</v>
      </c>
    </row>
    <row r="16" spans="1:8" ht="20.25">
      <c r="B16" s="100" t="s">
        <v>14</v>
      </c>
      <c r="C16" s="101">
        <v>14.5</v>
      </c>
      <c r="D16" s="102">
        <v>8.6</v>
      </c>
      <c r="E16" s="103">
        <v>4.2949999999999999</v>
      </c>
    </row>
    <row r="17" spans="1:13" ht="20.25">
      <c r="B17" s="97" t="s">
        <v>15</v>
      </c>
      <c r="C17" s="104">
        <f>+C15/C16</f>
        <v>12.137931034482758</v>
      </c>
      <c r="D17" s="104">
        <f>+D15/D16</f>
        <v>9.8837209302325579</v>
      </c>
      <c r="E17" s="105">
        <f>E15/E16</f>
        <v>13.50407450523865</v>
      </c>
    </row>
    <row r="18" spans="1:13">
      <c r="B18" s="106"/>
      <c r="I18" s="107"/>
    </row>
    <row r="19" spans="1:13">
      <c r="B19" s="108"/>
      <c r="I19" s="107"/>
    </row>
    <row r="20" spans="1:13" hidden="1" outlineLevel="1">
      <c r="B20" s="84" t="s">
        <v>16</v>
      </c>
    </row>
    <row r="21" spans="1:13" ht="20.25" hidden="1" outlineLevel="1">
      <c r="A21" s="66">
        <v>3</v>
      </c>
      <c r="B21" s="109" t="s">
        <v>17</v>
      </c>
      <c r="C21" s="110"/>
      <c r="D21" s="110"/>
      <c r="E21" s="110"/>
      <c r="F21" s="110"/>
      <c r="G21" s="110"/>
      <c r="H21" s="111"/>
    </row>
    <row r="22" spans="1:13" ht="20.25" hidden="1" outlineLevel="1">
      <c r="B22" s="112" t="s">
        <v>18</v>
      </c>
      <c r="C22" s="113" t="s">
        <v>3</v>
      </c>
      <c r="D22" s="114"/>
      <c r="E22" s="113" t="s">
        <v>4</v>
      </c>
      <c r="F22" s="114"/>
      <c r="G22" s="113" t="s">
        <v>5</v>
      </c>
      <c r="H22" s="115"/>
    </row>
    <row r="23" spans="1:13" ht="62.25" hidden="1" outlineLevel="1">
      <c r="B23" s="112" t="s">
        <v>19</v>
      </c>
      <c r="C23" s="116" t="s">
        <v>6</v>
      </c>
      <c r="D23" s="116" t="s">
        <v>20</v>
      </c>
      <c r="E23" s="116" t="s">
        <v>6</v>
      </c>
      <c r="F23" s="116" t="s">
        <v>21</v>
      </c>
      <c r="G23" s="116" t="s">
        <v>6</v>
      </c>
      <c r="H23" s="117" t="s">
        <v>22</v>
      </c>
    </row>
    <row r="24" spans="1:13" ht="20.25" hidden="1" outlineLevel="1">
      <c r="B24" s="118" t="s">
        <v>23</v>
      </c>
      <c r="C24" s="119"/>
      <c r="D24" s="120"/>
      <c r="E24" s="120"/>
      <c r="F24" s="120"/>
      <c r="G24" s="120"/>
      <c r="H24" s="121"/>
    </row>
    <row r="25" spans="1:13" ht="20.25" hidden="1" outlineLevel="1">
      <c r="B25" s="122" t="s">
        <v>24</v>
      </c>
      <c r="C25" s="123"/>
      <c r="D25" s="123"/>
      <c r="E25" s="123"/>
      <c r="F25" s="123"/>
      <c r="G25" s="123"/>
      <c r="H25" s="124"/>
      <c r="M25" s="84"/>
    </row>
    <row r="26" spans="1:13" ht="20.25" hidden="1" outlineLevel="1">
      <c r="B26" s="125" t="s">
        <v>25</v>
      </c>
      <c r="C26" s="126"/>
      <c r="D26" s="126"/>
      <c r="E26" s="126"/>
      <c r="F26" s="126"/>
      <c r="G26" s="126"/>
      <c r="H26" s="127"/>
    </row>
    <row r="27" spans="1:13" collapsed="1">
      <c r="B27" s="128"/>
      <c r="C27" s="129"/>
      <c r="D27" s="129"/>
      <c r="E27" s="129"/>
      <c r="F27" s="129"/>
      <c r="G27" s="129"/>
      <c r="H27" s="129"/>
    </row>
    <row r="28" spans="1:13">
      <c r="B28" s="128"/>
      <c r="C28" s="129"/>
      <c r="D28" s="129"/>
      <c r="E28" s="129"/>
      <c r="F28" s="129"/>
      <c r="G28" s="129"/>
      <c r="H28" s="129"/>
    </row>
    <row r="30" spans="1:13">
      <c r="B30" s="49" t="s">
        <v>26</v>
      </c>
      <c r="C30" s="50" t="s">
        <v>27</v>
      </c>
      <c r="D30" s="67" t="s">
        <v>28</v>
      </c>
    </row>
    <row r="31" spans="1:13" ht="20.25">
      <c r="A31" s="66">
        <v>4</v>
      </c>
      <c r="B31" s="30" t="s">
        <v>3</v>
      </c>
      <c r="C31" s="32">
        <v>198</v>
      </c>
    </row>
    <row r="32" spans="1:13" ht="20.25">
      <c r="B32" s="31" t="s">
        <v>4</v>
      </c>
      <c r="C32" s="32">
        <v>91</v>
      </c>
    </row>
    <row r="33" spans="1:9" ht="20.25">
      <c r="B33" s="33" t="s">
        <v>5</v>
      </c>
      <c r="C33" s="34">
        <v>18</v>
      </c>
    </row>
    <row r="36" spans="1:9">
      <c r="B36" s="84" t="s">
        <v>29</v>
      </c>
    </row>
    <row r="37" spans="1:9" ht="41.25">
      <c r="A37" s="66">
        <v>5</v>
      </c>
      <c r="B37" s="130" t="s">
        <v>18</v>
      </c>
      <c r="C37" s="130" t="s">
        <v>30</v>
      </c>
      <c r="D37" s="130" t="s">
        <v>31</v>
      </c>
      <c r="E37" s="130" t="s">
        <v>32</v>
      </c>
      <c r="F37" s="130" t="s">
        <v>33</v>
      </c>
    </row>
    <row r="38" spans="1:9" ht="20.25">
      <c r="B38" s="130" t="s">
        <v>3</v>
      </c>
      <c r="C38" s="131"/>
      <c r="D38" s="131"/>
      <c r="E38" s="131"/>
      <c r="F38" s="131"/>
    </row>
    <row r="39" spans="1:9" ht="20.25">
      <c r="B39" s="130" t="s">
        <v>4</v>
      </c>
      <c r="C39" s="132"/>
      <c r="D39" s="132"/>
      <c r="E39" s="132"/>
      <c r="F39" s="132"/>
    </row>
    <row r="40" spans="1:9" ht="20.25">
      <c r="B40" s="130" t="s">
        <v>5</v>
      </c>
      <c r="C40" s="132"/>
      <c r="D40" s="132"/>
      <c r="E40" s="132">
        <v>1</v>
      </c>
      <c r="F40" s="132"/>
      <c r="G40" s="66" t="s">
        <v>7</v>
      </c>
    </row>
    <row r="41" spans="1:9" ht="82.5">
      <c r="B41" s="133" t="s">
        <v>34</v>
      </c>
    </row>
    <row r="42" spans="1:9">
      <c r="B42" s="84" t="s">
        <v>35</v>
      </c>
    </row>
    <row r="44" spans="1:9">
      <c r="B44" s="84" t="s">
        <v>36</v>
      </c>
    </row>
    <row r="45" spans="1:9">
      <c r="A45" s="66">
        <v>6</v>
      </c>
      <c r="B45" s="134" t="s">
        <v>3</v>
      </c>
      <c r="C45" s="134"/>
      <c r="E45" s="134" t="s">
        <v>4</v>
      </c>
      <c r="F45" s="87"/>
      <c r="H45" s="134" t="s">
        <v>5</v>
      </c>
      <c r="I45" s="87"/>
    </row>
    <row r="46" spans="1:9" ht="19.5" customHeight="1">
      <c r="B46" s="135" t="s">
        <v>37</v>
      </c>
      <c r="C46" s="136"/>
      <c r="E46" s="135" t="s">
        <v>37</v>
      </c>
      <c r="F46" s="136">
        <v>17</v>
      </c>
      <c r="H46" s="135" t="s">
        <v>37</v>
      </c>
      <c r="I46" s="136"/>
    </row>
    <row r="47" spans="1:9" ht="19.5" customHeight="1">
      <c r="B47" s="137" t="s">
        <v>8</v>
      </c>
      <c r="C47" s="138"/>
      <c r="E47" s="137" t="s">
        <v>8</v>
      </c>
      <c r="F47" s="138"/>
      <c r="H47" s="137" t="s">
        <v>8</v>
      </c>
      <c r="I47" s="138"/>
    </row>
    <row r="48" spans="1:9" ht="19.5" customHeight="1">
      <c r="B48" s="139" t="s">
        <v>38</v>
      </c>
      <c r="C48" s="140"/>
      <c r="E48" s="139" t="s">
        <v>38</v>
      </c>
      <c r="F48" s="141"/>
      <c r="H48" s="139" t="s">
        <v>38</v>
      </c>
      <c r="I48" s="141"/>
    </row>
    <row r="51" spans="1:14">
      <c r="B51" s="84" t="s">
        <v>39</v>
      </c>
    </row>
    <row r="52" spans="1:14" s="146" customFormat="1" ht="41.25">
      <c r="A52" s="146">
        <v>7</v>
      </c>
      <c r="B52" s="142" t="s">
        <v>40</v>
      </c>
      <c r="C52" s="143" t="s">
        <v>41</v>
      </c>
      <c r="D52" s="143" t="s">
        <v>42</v>
      </c>
      <c r="E52" s="143" t="s">
        <v>43</v>
      </c>
      <c r="F52" s="143" t="s">
        <v>44</v>
      </c>
      <c r="G52" s="144" t="s">
        <v>45</v>
      </c>
      <c r="J52" s="142" t="s">
        <v>40</v>
      </c>
      <c r="K52" s="143" t="s">
        <v>41</v>
      </c>
      <c r="L52" s="143" t="s">
        <v>42</v>
      </c>
      <c r="M52" s="143" t="s">
        <v>43</v>
      </c>
      <c r="N52" s="144" t="s">
        <v>45</v>
      </c>
    </row>
    <row r="53" spans="1:14" ht="36.75" customHeight="1">
      <c r="B53" s="145" t="s">
        <v>46</v>
      </c>
      <c r="C53" s="71" t="s">
        <v>47</v>
      </c>
      <c r="D53" s="72">
        <v>63</v>
      </c>
      <c r="E53" s="73" t="s">
        <v>48</v>
      </c>
      <c r="F53" s="74"/>
      <c r="G53" s="72" t="s">
        <v>49</v>
      </c>
      <c r="J53" s="145" t="s">
        <v>46</v>
      </c>
      <c r="K53" s="237" t="s">
        <v>47</v>
      </c>
      <c r="L53" s="237">
        <v>63</v>
      </c>
      <c r="M53" s="238" t="s">
        <v>48</v>
      </c>
      <c r="N53" s="237" t="s">
        <v>49</v>
      </c>
    </row>
    <row r="54" spans="1:14" ht="36.75" customHeight="1">
      <c r="B54" s="145" t="s">
        <v>50</v>
      </c>
      <c r="C54" s="75" t="s">
        <v>51</v>
      </c>
      <c r="D54" s="76">
        <v>52</v>
      </c>
      <c r="E54" s="77" t="s">
        <v>52</v>
      </c>
      <c r="F54" s="78"/>
      <c r="G54" s="79" t="s">
        <v>53</v>
      </c>
      <c r="J54" s="145" t="s">
        <v>50</v>
      </c>
      <c r="K54" s="239" t="s">
        <v>51</v>
      </c>
      <c r="L54" s="239">
        <v>52</v>
      </c>
      <c r="M54" s="240" t="s">
        <v>52</v>
      </c>
      <c r="N54" s="241" t="s">
        <v>53</v>
      </c>
    </row>
    <row r="55" spans="1:14" ht="36.75" customHeight="1">
      <c r="B55" s="145" t="s">
        <v>54</v>
      </c>
      <c r="C55" s="80" t="s">
        <v>55</v>
      </c>
      <c r="D55" s="79">
        <v>61</v>
      </c>
      <c r="E55" s="81" t="s">
        <v>48</v>
      </c>
      <c r="F55" s="82"/>
      <c r="G55" s="79" t="s">
        <v>56</v>
      </c>
      <c r="J55" s="145" t="s">
        <v>54</v>
      </c>
      <c r="K55" s="241" t="s">
        <v>55</v>
      </c>
      <c r="L55" s="241">
        <v>61</v>
      </c>
      <c r="M55" s="242" t="s">
        <v>48</v>
      </c>
      <c r="N55" s="241" t="s">
        <v>56</v>
      </c>
    </row>
    <row r="56" spans="1:14" ht="27.75" customHeight="1">
      <c r="C56" s="146"/>
      <c r="G56" s="147"/>
      <c r="K56" s="146"/>
      <c r="N56" s="147"/>
    </row>
    <row r="57" spans="1:14" s="146" customFormat="1" ht="42" customHeight="1">
      <c r="A57" s="146">
        <v>8</v>
      </c>
      <c r="B57" s="148" t="s">
        <v>40</v>
      </c>
      <c r="C57" s="148" t="s">
        <v>41</v>
      </c>
      <c r="D57" s="148" t="s">
        <v>42</v>
      </c>
      <c r="E57" s="148" t="s">
        <v>43</v>
      </c>
      <c r="F57" s="148" t="s">
        <v>44</v>
      </c>
      <c r="G57" s="148" t="s">
        <v>45</v>
      </c>
      <c r="J57" s="148" t="s">
        <v>40</v>
      </c>
      <c r="K57" s="148" t="s">
        <v>41</v>
      </c>
      <c r="L57" s="148" t="s">
        <v>42</v>
      </c>
      <c r="M57" s="148" t="s">
        <v>43</v>
      </c>
      <c r="N57" s="148" t="s">
        <v>45</v>
      </c>
    </row>
    <row r="58" spans="1:14" ht="35.25" customHeight="1">
      <c r="B58" s="149" t="s">
        <v>57</v>
      </c>
      <c r="C58" s="150" t="s">
        <v>58</v>
      </c>
      <c r="D58" s="151">
        <v>36</v>
      </c>
      <c r="E58" s="152">
        <v>4</v>
      </c>
      <c r="F58" s="153"/>
      <c r="G58" s="152">
        <f>+D58/E58</f>
        <v>9</v>
      </c>
      <c r="J58" s="149" t="s">
        <v>57</v>
      </c>
      <c r="K58" s="226" t="s">
        <v>58</v>
      </c>
      <c r="L58" s="227">
        <v>36</v>
      </c>
      <c r="M58" s="228">
        <v>4</v>
      </c>
      <c r="N58" s="228">
        <f>+L58/M58</f>
        <v>9</v>
      </c>
    </row>
    <row r="59" spans="1:14" ht="35.25" customHeight="1">
      <c r="B59" s="154" t="s">
        <v>59</v>
      </c>
      <c r="C59" s="155" t="s">
        <v>60</v>
      </c>
      <c r="D59" s="156">
        <v>49</v>
      </c>
      <c r="E59" s="157">
        <v>4.5999999999999996</v>
      </c>
      <c r="F59" s="158"/>
      <c r="G59" s="159">
        <f>+D59/E59</f>
        <v>10.652173913043478</v>
      </c>
      <c r="J59" s="154" t="s">
        <v>59</v>
      </c>
      <c r="K59" s="229" t="s">
        <v>60</v>
      </c>
      <c r="L59" s="230">
        <v>49</v>
      </c>
      <c r="M59" s="231">
        <v>4.5999999999999996</v>
      </c>
      <c r="N59" s="232">
        <f>+L59/M59</f>
        <v>10.652173913043478</v>
      </c>
    </row>
    <row r="60" spans="1:14" ht="27.75" customHeight="1">
      <c r="C60" s="146"/>
      <c r="D60" s="35"/>
      <c r="E60" s="35"/>
      <c r="F60" s="35"/>
      <c r="G60" s="35"/>
      <c r="K60" s="146"/>
      <c r="L60" s="35"/>
      <c r="M60" s="35"/>
      <c r="N60" s="35"/>
    </row>
    <row r="61" spans="1:14" s="146" customFormat="1" ht="48" customHeight="1">
      <c r="A61" s="146">
        <v>9</v>
      </c>
      <c r="B61" s="160" t="s">
        <v>40</v>
      </c>
      <c r="C61" s="161" t="s">
        <v>41</v>
      </c>
      <c r="D61" s="161" t="s">
        <v>42</v>
      </c>
      <c r="E61" s="161" t="s">
        <v>43</v>
      </c>
      <c r="F61" s="161" t="s">
        <v>44</v>
      </c>
      <c r="G61" s="189" t="s">
        <v>45</v>
      </c>
      <c r="J61" s="160" t="s">
        <v>40</v>
      </c>
      <c r="K61" s="161" t="s">
        <v>41</v>
      </c>
      <c r="L61" s="161" t="s">
        <v>42</v>
      </c>
      <c r="M61" s="161" t="s">
        <v>43</v>
      </c>
      <c r="N61" s="189" t="s">
        <v>45</v>
      </c>
    </row>
    <row r="62" spans="1:14" ht="48.75" customHeight="1">
      <c r="B62" s="162" t="s">
        <v>61</v>
      </c>
      <c r="C62" s="163" t="s">
        <v>62</v>
      </c>
      <c r="D62" s="164">
        <v>58</v>
      </c>
      <c r="E62" s="165">
        <v>4.2949999999999999</v>
      </c>
      <c r="F62" s="166" t="s">
        <v>63</v>
      </c>
      <c r="G62" s="167">
        <f>D62/E62</f>
        <v>13.50407450523865</v>
      </c>
      <c r="J62" s="162" t="s">
        <v>61</v>
      </c>
      <c r="K62" s="235" t="s">
        <v>62</v>
      </c>
      <c r="L62" s="233">
        <v>58</v>
      </c>
      <c r="M62" s="234">
        <v>4.2949999999999999</v>
      </c>
      <c r="N62" s="236">
        <f>L62/M62</f>
        <v>13.50407450523865</v>
      </c>
    </row>
    <row r="63" spans="1:14" ht="33" customHeight="1">
      <c r="B63" s="168" t="s">
        <v>64</v>
      </c>
    </row>
    <row r="66" spans="1:7">
      <c r="B66" s="84" t="s">
        <v>65</v>
      </c>
    </row>
    <row r="68" spans="1:7" ht="30.95" customHeight="1">
      <c r="A68" s="66">
        <v>10</v>
      </c>
      <c r="B68" s="142" t="s">
        <v>40</v>
      </c>
      <c r="C68" s="143" t="s">
        <v>41</v>
      </c>
      <c r="D68" s="143" t="s">
        <v>66</v>
      </c>
      <c r="E68" s="169" t="s">
        <v>67</v>
      </c>
      <c r="F68" s="143" t="s">
        <v>68</v>
      </c>
      <c r="G68" s="144" t="s">
        <v>44</v>
      </c>
    </row>
    <row r="69" spans="1:7" ht="36" customHeight="1">
      <c r="B69" s="145" t="s">
        <v>46</v>
      </c>
      <c r="C69" s="170" t="s">
        <v>47</v>
      </c>
      <c r="D69" s="72">
        <v>69</v>
      </c>
      <c r="E69" s="171">
        <v>6</v>
      </c>
      <c r="F69" s="172" t="s">
        <v>69</v>
      </c>
      <c r="G69" s="73"/>
    </row>
    <row r="70" spans="1:7" ht="38.450000000000003" customHeight="1">
      <c r="B70" s="145" t="s">
        <v>50</v>
      </c>
      <c r="C70" s="173" t="s">
        <v>51</v>
      </c>
      <c r="D70" s="76">
        <v>62</v>
      </c>
      <c r="E70" s="174">
        <v>11</v>
      </c>
      <c r="F70" s="172" t="s">
        <v>70</v>
      </c>
      <c r="G70" s="77"/>
    </row>
    <row r="71" spans="1:7" ht="30.6" customHeight="1">
      <c r="B71" s="145" t="s">
        <v>54</v>
      </c>
      <c r="C71" s="170" t="s">
        <v>55</v>
      </c>
      <c r="D71" s="79">
        <v>63</v>
      </c>
      <c r="E71" s="175">
        <v>2</v>
      </c>
      <c r="F71" s="172" t="s">
        <v>71</v>
      </c>
      <c r="G71" s="81"/>
    </row>
    <row r="72" spans="1:7" ht="18.75" customHeight="1">
      <c r="E72" s="35"/>
    </row>
    <row r="74" spans="1:7" ht="30.6" customHeight="1">
      <c r="A74" s="66">
        <v>11</v>
      </c>
      <c r="B74" s="176" t="s">
        <v>40</v>
      </c>
      <c r="C74" s="177" t="s">
        <v>41</v>
      </c>
      <c r="D74" s="177" t="s">
        <v>66</v>
      </c>
      <c r="E74" s="177" t="s">
        <v>72</v>
      </c>
      <c r="F74" s="177" t="s">
        <v>73</v>
      </c>
      <c r="G74" s="178" t="s">
        <v>44</v>
      </c>
    </row>
    <row r="75" spans="1:7" ht="24.75" customHeight="1">
      <c r="B75" s="179" t="s">
        <v>57</v>
      </c>
      <c r="C75" s="180" t="s">
        <v>58</v>
      </c>
      <c r="D75" s="181">
        <v>36</v>
      </c>
      <c r="E75" s="182">
        <v>36</v>
      </c>
      <c r="F75" s="183"/>
      <c r="G75" s="183"/>
    </row>
    <row r="76" spans="1:7" ht="24.75" customHeight="1">
      <c r="B76" s="179" t="s">
        <v>59</v>
      </c>
      <c r="C76" s="184" t="s">
        <v>74</v>
      </c>
      <c r="D76" s="185">
        <v>49</v>
      </c>
      <c r="E76" s="186">
        <v>49</v>
      </c>
      <c r="F76" s="187"/>
      <c r="G76" s="187"/>
    </row>
    <row r="77" spans="1:7" ht="24.75" customHeight="1">
      <c r="D77" s="35"/>
      <c r="E77" s="35"/>
    </row>
    <row r="79" spans="1:7" ht="32.450000000000003" customHeight="1">
      <c r="A79" s="66">
        <v>12</v>
      </c>
      <c r="B79" s="188" t="s">
        <v>40</v>
      </c>
      <c r="C79" s="161" t="s">
        <v>41</v>
      </c>
      <c r="D79" s="161" t="s">
        <v>66</v>
      </c>
      <c r="E79" s="161" t="s">
        <v>72</v>
      </c>
      <c r="F79" s="161" t="s">
        <v>75</v>
      </c>
      <c r="G79" s="189" t="s">
        <v>44</v>
      </c>
    </row>
    <row r="80" spans="1:7" ht="33" customHeight="1">
      <c r="B80" s="190" t="s">
        <v>61</v>
      </c>
      <c r="C80" s="191" t="s">
        <v>76</v>
      </c>
      <c r="D80" s="192"/>
      <c r="E80" s="192"/>
      <c r="F80" s="193"/>
      <c r="G80" s="194"/>
    </row>
    <row r="82" spans="2:7">
      <c r="B82" s="95"/>
      <c r="C82" s="95"/>
      <c r="D82" s="95"/>
      <c r="E82" s="95"/>
      <c r="F82" s="95"/>
      <c r="G82" s="95"/>
    </row>
    <row r="83" spans="2:7" ht="21.95" customHeight="1">
      <c r="B83" s="195" t="s">
        <v>77</v>
      </c>
      <c r="C83" s="196" t="s">
        <v>78</v>
      </c>
      <c r="D83" s="197"/>
      <c r="E83" s="197"/>
      <c r="F83" s="197"/>
      <c r="G83" s="198"/>
    </row>
    <row r="84" spans="2:7">
      <c r="B84" s="199" t="s">
        <v>79</v>
      </c>
      <c r="C84" s="200">
        <v>61</v>
      </c>
      <c r="D84" s="197"/>
      <c r="E84" s="197"/>
      <c r="F84" s="197"/>
      <c r="G84" s="198"/>
    </row>
    <row r="85" spans="2:7">
      <c r="B85" s="201" t="s">
        <v>80</v>
      </c>
      <c r="C85" s="202">
        <v>10</v>
      </c>
      <c r="D85" s="40"/>
      <c r="E85" s="41"/>
      <c r="F85" s="42"/>
      <c r="G85" s="35"/>
    </row>
    <row r="86" spans="2:7">
      <c r="B86" s="203" t="s">
        <v>81</v>
      </c>
      <c r="C86" s="204">
        <v>6</v>
      </c>
      <c r="D86" s="40"/>
      <c r="E86" s="41"/>
      <c r="F86" s="42"/>
      <c r="G86" s="35"/>
    </row>
    <row r="87" spans="2:7">
      <c r="B87" s="203" t="s">
        <v>82</v>
      </c>
      <c r="C87" s="204">
        <v>10</v>
      </c>
      <c r="D87" s="40"/>
      <c r="E87" s="41"/>
      <c r="F87" s="42"/>
      <c r="G87" s="35"/>
    </row>
    <row r="88" spans="2:7">
      <c r="B88" s="203" t="s">
        <v>83</v>
      </c>
      <c r="C88" s="204">
        <v>10</v>
      </c>
      <c r="D88" s="40"/>
      <c r="E88" s="41"/>
      <c r="F88" s="42"/>
      <c r="G88" s="35"/>
    </row>
    <row r="89" spans="2:7">
      <c r="B89" s="203" t="s">
        <v>84</v>
      </c>
      <c r="C89" s="204">
        <v>11</v>
      </c>
      <c r="D89" s="43"/>
      <c r="E89" s="41"/>
      <c r="F89" s="42"/>
      <c r="G89" s="35"/>
    </row>
    <row r="90" spans="2:7">
      <c r="B90" s="203" t="s">
        <v>85</v>
      </c>
      <c r="C90" s="204">
        <v>6</v>
      </c>
      <c r="D90" s="40"/>
      <c r="E90" s="41"/>
      <c r="F90" s="42"/>
      <c r="G90" s="35"/>
    </row>
    <row r="91" spans="2:7">
      <c r="B91" s="203" t="s">
        <v>86</v>
      </c>
      <c r="C91" s="204">
        <v>8</v>
      </c>
      <c r="D91" s="40"/>
      <c r="E91" s="41"/>
      <c r="F91" s="42"/>
      <c r="G91" s="35"/>
    </row>
    <row r="92" spans="2:7">
      <c r="B92" s="199" t="s">
        <v>87</v>
      </c>
      <c r="C92" s="205">
        <v>52</v>
      </c>
      <c r="D92" s="40"/>
      <c r="E92" s="41"/>
      <c r="F92" s="42"/>
      <c r="G92" s="35"/>
    </row>
    <row r="93" spans="2:7">
      <c r="B93" s="201" t="s">
        <v>88</v>
      </c>
      <c r="C93" s="202">
        <v>15</v>
      </c>
      <c r="D93" s="197"/>
      <c r="E93" s="197"/>
      <c r="F93" s="197"/>
      <c r="G93" s="198"/>
    </row>
    <row r="94" spans="2:7">
      <c r="B94" s="203" t="s">
        <v>89</v>
      </c>
      <c r="C94" s="204">
        <v>11</v>
      </c>
      <c r="D94" s="40"/>
      <c r="E94" s="41"/>
      <c r="F94" s="42"/>
      <c r="G94" s="35"/>
    </row>
    <row r="95" spans="2:7">
      <c r="B95" s="203" t="s">
        <v>90</v>
      </c>
      <c r="C95" s="204">
        <v>6</v>
      </c>
      <c r="D95" s="40"/>
      <c r="E95" s="41"/>
      <c r="F95" s="42"/>
      <c r="G95" s="35"/>
    </row>
    <row r="96" spans="2:7">
      <c r="B96" s="203" t="s">
        <v>91</v>
      </c>
      <c r="C96" s="204">
        <v>3</v>
      </c>
      <c r="D96" s="43"/>
      <c r="E96" s="41"/>
      <c r="F96" s="42"/>
      <c r="G96" s="35"/>
    </row>
    <row r="97" spans="2:7">
      <c r="B97" s="203" t="s">
        <v>92</v>
      </c>
      <c r="C97" s="204">
        <v>17</v>
      </c>
      <c r="D97" s="40"/>
      <c r="E97" s="41"/>
      <c r="F97" s="42"/>
      <c r="G97" s="35"/>
    </row>
    <row r="98" spans="2:7">
      <c r="B98" s="206" t="s">
        <v>93</v>
      </c>
      <c r="C98" s="206">
        <v>63</v>
      </c>
      <c r="D98" s="40"/>
      <c r="E98" s="41"/>
      <c r="F98" s="42"/>
      <c r="G98" s="35"/>
    </row>
    <row r="99" spans="2:7">
      <c r="B99" s="203" t="s">
        <v>94</v>
      </c>
      <c r="C99" s="204">
        <v>13</v>
      </c>
      <c r="D99" s="43"/>
      <c r="E99" s="41"/>
      <c r="F99" s="42"/>
      <c r="G99" s="35"/>
    </row>
    <row r="100" spans="2:7">
      <c r="B100" s="203" t="s">
        <v>95</v>
      </c>
      <c r="C100" s="204">
        <v>6</v>
      </c>
      <c r="D100" s="197"/>
      <c r="E100" s="197"/>
      <c r="F100" s="197"/>
      <c r="G100" s="198"/>
    </row>
    <row r="101" spans="2:7">
      <c r="B101" s="203" t="s">
        <v>96</v>
      </c>
      <c r="C101" s="204">
        <v>15</v>
      </c>
      <c r="D101" s="40"/>
      <c r="E101" s="41"/>
      <c r="F101" s="42"/>
      <c r="G101" s="35"/>
    </row>
    <row r="102" spans="2:7">
      <c r="B102" s="203" t="s">
        <v>97</v>
      </c>
      <c r="C102" s="204">
        <v>13</v>
      </c>
      <c r="D102" s="40"/>
      <c r="E102" s="41"/>
      <c r="F102" s="42"/>
      <c r="G102" s="35"/>
    </row>
    <row r="103" spans="2:7">
      <c r="B103" s="203" t="s">
        <v>98</v>
      </c>
      <c r="C103" s="204">
        <v>9</v>
      </c>
      <c r="D103" s="43"/>
      <c r="E103" s="41"/>
      <c r="F103" s="42"/>
      <c r="G103" s="35"/>
    </row>
    <row r="104" spans="2:7">
      <c r="B104" s="203" t="s">
        <v>99</v>
      </c>
      <c r="C104" s="204">
        <v>7</v>
      </c>
      <c r="D104" s="40"/>
      <c r="E104" s="41"/>
      <c r="F104" s="42"/>
      <c r="G104" s="35"/>
    </row>
    <row r="105" spans="2:7">
      <c r="B105" s="207" t="s">
        <v>100</v>
      </c>
      <c r="C105" s="207">
        <v>176</v>
      </c>
      <c r="D105" s="43"/>
      <c r="E105" s="41"/>
      <c r="F105" s="42"/>
      <c r="G105" s="35"/>
    </row>
    <row r="106" spans="2:7" ht="7.5" customHeight="1">
      <c r="B106" s="208"/>
      <c r="C106" s="208"/>
      <c r="D106" s="43"/>
      <c r="E106" s="41"/>
      <c r="F106" s="42"/>
      <c r="G106" s="35"/>
    </row>
    <row r="107" spans="2:7" ht="18.75" customHeight="1">
      <c r="B107" s="40"/>
      <c r="C107" s="40"/>
      <c r="D107" s="40"/>
      <c r="E107" s="41"/>
      <c r="F107" s="44"/>
      <c r="G107" s="39"/>
    </row>
    <row r="108" spans="2:7" ht="22.5" customHeight="1">
      <c r="B108" s="45"/>
      <c r="C108" s="46"/>
      <c r="D108" s="47"/>
      <c r="E108" s="48"/>
      <c r="F108" s="20"/>
      <c r="G108" s="21"/>
    </row>
    <row r="109" spans="2:7" ht="41.25">
      <c r="B109" s="209" t="s">
        <v>101</v>
      </c>
      <c r="C109" s="22" t="s">
        <v>102</v>
      </c>
      <c r="D109" s="23" t="s">
        <v>103</v>
      </c>
      <c r="E109" s="24" t="s">
        <v>104</v>
      </c>
      <c r="F109" s="25" t="s">
        <v>105</v>
      </c>
      <c r="G109" s="51">
        <f>SUM(G110:G115)</f>
        <v>36</v>
      </c>
    </row>
    <row r="110" spans="2:7">
      <c r="B110" s="209"/>
      <c r="C110" s="26" t="s">
        <v>57</v>
      </c>
      <c r="D110" s="15" t="s">
        <v>106</v>
      </c>
      <c r="E110" s="13" t="s">
        <v>107</v>
      </c>
      <c r="F110" s="14" t="s">
        <v>108</v>
      </c>
      <c r="G110" s="52">
        <v>5</v>
      </c>
    </row>
    <row r="111" spans="2:7">
      <c r="B111" s="209"/>
      <c r="C111" s="26" t="s">
        <v>57</v>
      </c>
      <c r="D111" s="15" t="s">
        <v>109</v>
      </c>
      <c r="E111" s="13" t="s">
        <v>110</v>
      </c>
      <c r="F111" s="14" t="s">
        <v>108</v>
      </c>
      <c r="G111" s="52">
        <v>3</v>
      </c>
    </row>
    <row r="112" spans="2:7">
      <c r="B112" s="209"/>
      <c r="C112" s="26" t="s">
        <v>57</v>
      </c>
      <c r="D112" s="15" t="s">
        <v>111</v>
      </c>
      <c r="E112" s="13" t="s">
        <v>112</v>
      </c>
      <c r="F112" s="14" t="s">
        <v>113</v>
      </c>
      <c r="G112" s="52">
        <v>11</v>
      </c>
    </row>
    <row r="113" spans="2:8">
      <c r="B113" s="209"/>
      <c r="C113" s="26" t="s">
        <v>57</v>
      </c>
      <c r="D113" s="15" t="s">
        <v>114</v>
      </c>
      <c r="E113" s="13" t="s">
        <v>115</v>
      </c>
      <c r="F113" s="14" t="s">
        <v>116</v>
      </c>
      <c r="G113" s="52">
        <v>8</v>
      </c>
    </row>
    <row r="114" spans="2:8">
      <c r="B114" s="209"/>
      <c r="C114" s="26" t="s">
        <v>57</v>
      </c>
      <c r="D114" s="15" t="s">
        <v>117</v>
      </c>
      <c r="E114" s="13" t="s">
        <v>118</v>
      </c>
      <c r="F114" s="14" t="s">
        <v>116</v>
      </c>
      <c r="G114" s="53">
        <v>4</v>
      </c>
    </row>
    <row r="115" spans="2:8">
      <c r="B115" s="209"/>
      <c r="C115" s="26" t="s">
        <v>57</v>
      </c>
      <c r="D115" s="15" t="s">
        <v>119</v>
      </c>
      <c r="E115" s="13" t="s">
        <v>120</v>
      </c>
      <c r="F115" s="14" t="s">
        <v>108</v>
      </c>
      <c r="G115" s="53">
        <v>5</v>
      </c>
    </row>
    <row r="116" spans="2:8" ht="20.25">
      <c r="B116" s="209"/>
      <c r="C116" s="9" t="s">
        <v>59</v>
      </c>
      <c r="D116" s="10" t="s">
        <v>121</v>
      </c>
      <c r="E116" s="11" t="s">
        <v>122</v>
      </c>
      <c r="F116" s="12" t="s">
        <v>105</v>
      </c>
      <c r="G116" s="54">
        <f>SUM(G117:G122)</f>
        <v>49</v>
      </c>
    </row>
    <row r="117" spans="2:8">
      <c r="B117" s="209"/>
      <c r="C117" s="26" t="s">
        <v>59</v>
      </c>
      <c r="D117" s="15" t="s">
        <v>123</v>
      </c>
      <c r="E117" s="13" t="s">
        <v>124</v>
      </c>
      <c r="F117" s="14" t="s">
        <v>125</v>
      </c>
      <c r="G117" s="52">
        <v>10</v>
      </c>
    </row>
    <row r="118" spans="2:8">
      <c r="B118" s="209"/>
      <c r="C118" s="26" t="s">
        <v>59</v>
      </c>
      <c r="D118" s="15" t="s">
        <v>126</v>
      </c>
      <c r="E118" s="13" t="s">
        <v>127</v>
      </c>
      <c r="F118" s="14" t="s">
        <v>108</v>
      </c>
      <c r="G118" s="52">
        <v>3</v>
      </c>
    </row>
    <row r="119" spans="2:8">
      <c r="B119" s="209"/>
      <c r="C119" s="26" t="s">
        <v>59</v>
      </c>
      <c r="D119" s="15" t="s">
        <v>128</v>
      </c>
      <c r="E119" s="13" t="s">
        <v>129</v>
      </c>
      <c r="F119" s="14" t="s">
        <v>113</v>
      </c>
      <c r="G119" s="52">
        <v>10</v>
      </c>
    </row>
    <row r="120" spans="2:8">
      <c r="B120" s="209"/>
      <c r="C120" s="26" t="s">
        <v>59</v>
      </c>
      <c r="D120" s="15" t="s">
        <v>130</v>
      </c>
      <c r="E120" s="13" t="s">
        <v>131</v>
      </c>
      <c r="F120" s="14" t="s">
        <v>108</v>
      </c>
      <c r="G120" s="52">
        <v>10</v>
      </c>
    </row>
    <row r="121" spans="2:8">
      <c r="B121" s="209"/>
      <c r="C121" s="26" t="s">
        <v>59</v>
      </c>
      <c r="D121" s="15" t="s">
        <v>132</v>
      </c>
      <c r="E121" s="13" t="s">
        <v>133</v>
      </c>
      <c r="F121" s="14" t="s">
        <v>134</v>
      </c>
      <c r="G121" s="52">
        <v>8</v>
      </c>
    </row>
    <row r="122" spans="2:8">
      <c r="B122" s="209"/>
      <c r="C122" s="26" t="s">
        <v>57</v>
      </c>
      <c r="D122" s="15" t="s">
        <v>135</v>
      </c>
      <c r="E122" s="13" t="s">
        <v>136</v>
      </c>
      <c r="F122" s="14" t="s">
        <v>108</v>
      </c>
      <c r="G122" s="52">
        <v>8</v>
      </c>
    </row>
    <row r="123" spans="2:8" ht="15" customHeight="1">
      <c r="B123" s="210" t="s">
        <v>137</v>
      </c>
      <c r="C123" s="27"/>
      <c r="D123" s="18"/>
      <c r="E123" s="19"/>
      <c r="F123" s="20"/>
      <c r="G123" s="62">
        <f>+G116+G109</f>
        <v>85</v>
      </c>
    </row>
    <row r="124" spans="2:8" ht="65.25" customHeight="1">
      <c r="B124" s="211" t="s">
        <v>138</v>
      </c>
      <c r="C124" s="22" t="s">
        <v>139</v>
      </c>
      <c r="D124" s="23" t="s">
        <v>140</v>
      </c>
      <c r="E124" s="24" t="s">
        <v>141</v>
      </c>
      <c r="F124" s="58" t="s">
        <v>142</v>
      </c>
      <c r="G124" s="64"/>
      <c r="H124" s="35"/>
    </row>
    <row r="125" spans="2:8" ht="26.25" customHeight="1">
      <c r="B125" s="211"/>
      <c r="C125" s="26" t="s">
        <v>61</v>
      </c>
      <c r="D125" s="15" t="s">
        <v>143</v>
      </c>
      <c r="E125" s="13" t="s">
        <v>144</v>
      </c>
      <c r="F125" s="59" t="s">
        <v>134</v>
      </c>
      <c r="G125" s="63">
        <v>2</v>
      </c>
    </row>
    <row r="126" spans="2:8">
      <c r="B126" s="211"/>
      <c r="C126" s="26" t="s">
        <v>61</v>
      </c>
      <c r="D126" s="15" t="s">
        <v>145</v>
      </c>
      <c r="E126" s="13" t="s">
        <v>146</v>
      </c>
      <c r="F126" s="59" t="s">
        <v>125</v>
      </c>
      <c r="G126" s="63">
        <v>24</v>
      </c>
    </row>
    <row r="127" spans="2:8">
      <c r="B127" s="211"/>
      <c r="C127" s="26" t="s">
        <v>61</v>
      </c>
      <c r="D127" s="15" t="s">
        <v>147</v>
      </c>
      <c r="E127" s="13" t="s">
        <v>148</v>
      </c>
      <c r="F127" s="59" t="s">
        <v>116</v>
      </c>
      <c r="G127" s="63">
        <v>1</v>
      </c>
    </row>
    <row r="128" spans="2:8">
      <c r="B128" s="211"/>
      <c r="C128" s="26" t="s">
        <v>61</v>
      </c>
      <c r="D128" s="15" t="s">
        <v>149</v>
      </c>
      <c r="E128" s="13" t="s">
        <v>150</v>
      </c>
      <c r="F128" s="59" t="s">
        <v>125</v>
      </c>
      <c r="G128" s="63">
        <v>18</v>
      </c>
    </row>
    <row r="129" spans="2:8">
      <c r="B129" s="211"/>
      <c r="C129" s="26" t="s">
        <v>61</v>
      </c>
      <c r="D129" s="17" t="s">
        <v>151</v>
      </c>
      <c r="E129" s="13" t="s">
        <v>152</v>
      </c>
      <c r="F129" s="59" t="s">
        <v>134</v>
      </c>
      <c r="G129" s="63">
        <v>3</v>
      </c>
    </row>
    <row r="130" spans="2:8">
      <c r="B130" s="211"/>
      <c r="C130" s="15" t="s">
        <v>61</v>
      </c>
      <c r="D130" s="15" t="s">
        <v>153</v>
      </c>
      <c r="E130" s="16" t="s">
        <v>154</v>
      </c>
      <c r="F130" s="60" t="s">
        <v>125</v>
      </c>
      <c r="G130" s="63">
        <v>10</v>
      </c>
    </row>
    <row r="131" spans="2:8" ht="20.25">
      <c r="B131" s="212" t="s">
        <v>137</v>
      </c>
      <c r="C131" s="28"/>
      <c r="D131" s="28"/>
      <c r="E131" s="29"/>
      <c r="F131" s="61"/>
      <c r="G131" s="57">
        <f>SUM(G125:G130)</f>
        <v>58</v>
      </c>
      <c r="H131" s="95"/>
    </row>
    <row r="132" spans="2:8">
      <c r="B132" s="168"/>
    </row>
    <row r="134" spans="2:8">
      <c r="B134" s="84"/>
      <c r="H134" s="84"/>
    </row>
    <row r="135" spans="2:8">
      <c r="B135" s="84" t="s">
        <v>155</v>
      </c>
    </row>
    <row r="136" spans="2:8" ht="27" customHeight="1">
      <c r="H136" s="84"/>
    </row>
    <row r="137" spans="2:8" ht="27" customHeight="1">
      <c r="B137" s="213"/>
      <c r="C137" s="214" t="s">
        <v>156</v>
      </c>
      <c r="D137" s="214"/>
      <c r="H137" s="84"/>
    </row>
    <row r="138" spans="2:8" ht="36" customHeight="1">
      <c r="B138" s="215"/>
      <c r="C138" s="216" t="s">
        <v>157</v>
      </c>
      <c r="D138" s="216" t="s">
        <v>158</v>
      </c>
      <c r="H138" s="84"/>
    </row>
    <row r="139" spans="2:8" ht="36" customHeight="1">
      <c r="B139" s="217" t="s">
        <v>3</v>
      </c>
      <c r="C139" s="218"/>
      <c r="D139" s="218"/>
      <c r="H139" s="84"/>
    </row>
    <row r="140" spans="2:8" ht="87" customHeight="1">
      <c r="B140" s="219" t="s">
        <v>4</v>
      </c>
      <c r="C140" s="220"/>
      <c r="D140" s="221"/>
      <c r="H140" s="84"/>
    </row>
    <row r="141" spans="2:8" ht="165">
      <c r="B141" s="222" t="s">
        <v>5</v>
      </c>
      <c r="C141" s="223" t="s">
        <v>159</v>
      </c>
      <c r="D141" s="221" t="s">
        <v>160</v>
      </c>
      <c r="H141" s="84"/>
    </row>
    <row r="142" spans="2:8" ht="28.5" customHeight="1">
      <c r="B142" s="224" t="s">
        <v>10</v>
      </c>
      <c r="C142" s="224"/>
      <c r="D142" s="224"/>
    </row>
    <row r="143" spans="2:8" ht="17.25" customHeight="1">
      <c r="B143" s="128"/>
      <c r="C143" s="128"/>
      <c r="D143" s="128"/>
    </row>
    <row r="144" spans="2:8" ht="17.25" customHeight="1">
      <c r="B144" s="128"/>
      <c r="C144" s="128"/>
      <c r="D144" s="128"/>
    </row>
    <row r="146" spans="2:11">
      <c r="B146" s="84" t="s">
        <v>161</v>
      </c>
      <c r="E146" s="84" t="s">
        <v>161</v>
      </c>
      <c r="H146" s="84"/>
      <c r="J146" s="225"/>
      <c r="K146" s="225"/>
    </row>
    <row r="147" spans="2:11">
      <c r="K147" s="225"/>
    </row>
    <row r="148" spans="2:11">
      <c r="B148" s="1" t="s">
        <v>162</v>
      </c>
      <c r="C148" s="2" t="s">
        <v>3</v>
      </c>
      <c r="D148" s="2" t="s">
        <v>4</v>
      </c>
      <c r="E148" s="3" t="s">
        <v>5</v>
      </c>
      <c r="K148" s="225"/>
    </row>
    <row r="149" spans="2:11">
      <c r="B149" s="4" t="s">
        <v>163</v>
      </c>
      <c r="C149" s="5">
        <v>152</v>
      </c>
      <c r="D149" s="55">
        <v>76</v>
      </c>
      <c r="E149" s="6">
        <v>58</v>
      </c>
      <c r="K149" s="225"/>
    </row>
    <row r="150" spans="2:11">
      <c r="B150" s="4" t="s">
        <v>164</v>
      </c>
      <c r="C150" s="5">
        <v>13</v>
      </c>
      <c r="D150" s="55">
        <v>2</v>
      </c>
      <c r="E150" s="6">
        <v>0</v>
      </c>
      <c r="K150" s="225"/>
    </row>
    <row r="151" spans="2:11">
      <c r="B151" s="4" t="s">
        <v>165</v>
      </c>
      <c r="C151" s="56">
        <v>11</v>
      </c>
      <c r="D151" s="55">
        <v>7</v>
      </c>
      <c r="E151" s="6">
        <v>0</v>
      </c>
    </row>
    <row r="152" spans="2:11">
      <c r="B152" s="7" t="s">
        <v>166</v>
      </c>
      <c r="C152" s="56">
        <f>SUBTOTAL(109,C149:C151)</f>
        <v>176</v>
      </c>
      <c r="D152" s="56">
        <f>SUBTOTAL(109,D149:D151)</f>
        <v>85</v>
      </c>
      <c r="E152" s="8">
        <v>58</v>
      </c>
    </row>
    <row r="153" spans="2:11">
      <c r="B153" s="69"/>
      <c r="C153" s="70"/>
      <c r="D153" s="70"/>
      <c r="E153" s="70"/>
    </row>
    <row r="154" spans="2:11">
      <c r="B154" s="37"/>
      <c r="C154" s="38"/>
      <c r="D154" s="38"/>
      <c r="E154" s="38"/>
    </row>
    <row r="155" spans="2:11">
      <c r="B155" s="36" t="s">
        <v>167</v>
      </c>
      <c r="C155" s="65"/>
      <c r="D155" s="38"/>
      <c r="E155" s="38"/>
    </row>
    <row r="156" spans="2:11" ht="57" customHeight="1">
      <c r="B156" s="68"/>
      <c r="C156" s="38"/>
      <c r="D156" s="38"/>
      <c r="E156" s="38"/>
    </row>
  </sheetData>
  <conditionalFormatting sqref="A61 A6 A14 A21 A31 A37 A45 A52 A57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DF287CDE-023F-48EF-9A47-9E6E43764DCB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2026-02-24T23:58:53Z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