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C II\Gestión\Resolutores 2025\"/>
    </mc:Choice>
  </mc:AlternateContent>
  <xr:revisionPtr revIDLastSave="0" documentId="13_ncr:1_{8E6C8EFB-4567-4C9B-A2A7-8E1D5E5F2A70}" xr6:coauthVersionLast="47" xr6:coauthVersionMax="47" xr10:uidLastSave="{00000000-0000-0000-0000-000000000000}"/>
  <bookViews>
    <workbookView xWindow="19090" yWindow="-110" windowWidth="19420" windowHeight="10420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<sst xmlns="http://schemas.openxmlformats.org/spreadsheetml/2006/main" count="114" uniqueCount="74">
  <si>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</si>
  <si>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</si>
  <si>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</si>
  <si>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</si>
  <si>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</si>
  <si>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</si>
  <si>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</si>
  <si>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</si>
  <si>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</si>
  <si>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</si>
  <si>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</si>
  <si>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</si>
  <si>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</si>
  <si>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</si>
  <si>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</si>
  <si>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</si>
  <si>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</si>
  <si>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</si>
  <si>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</si>
  <si>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</si>
  <si>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</si>
  <si>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</si>
  <si>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</si>
  <si>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</si>
  <si>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</si>
  <si>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</si>
  <si>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</si>
  <si>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</si>
  <si>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</si>
  <si>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</si>
  <si>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</si>
  <si>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</si>
  <si>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</si>
  <si>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</si>
  <si>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</si>
  <si>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</si>
  <si>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</si>
  <si>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</si>
  <si>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</si>
  <si>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</si>
  <si>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</si>
  <si>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</si>
  <si>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</si>
  <si>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</si>
  <si>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</si>
  <si>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</si>
  <si>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</si>
  <si>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</si>
  <si>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</si>
  <si>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</si>
  <si>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</si>
  <si>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</si>
  <si>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</si>
  <si>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</si>
  <si>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</si>
  <si>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</si>
  <si>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</si>
  <si>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</si>
  <si>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</si>
  <si>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</si>
  <si>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</si>
  <si>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</si>
  <si>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</si>
  <si>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</si>
  <si>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</si>
  <si>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</si>
  <si>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</si>
  <si>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</si>
  <si>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</si>
  <si>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</si>
  <si>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</si>
  <si>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</si>
  <si>
    <t>CUYA VELARDE, JUAN CARLOS</t>
  </si>
  <si>
    <t>VELA NUÑEZ,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</si>
</sst>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4140625" defaultRowHeight="14.4" x14ac:dyDescent="0.3"/>
  <cols>
    <col min="1" max="1" width="18.109375" customWidth="1"/>
  </cols>
  <sheetData>
    <row r="1" spans="1:1" ht="18" x14ac:dyDescent="0.3">
      <c r="A1" s="1" t="s">
        <v>0</v>
      </c>
    </row>
    <row r="2" spans="1:1" x14ac:dyDescent="0.3">
      <c r="A2" s="6" t="s">
        <v>1</v>
      </c>
    </row>
    <row r="3" spans="1:1" x14ac:dyDescent="0.3">
      <c r="A3" s="6" t="s">
        <v>2</v>
      </c>
    </row>
    <row r="4" spans="1:1" x14ac:dyDescent="0.3">
      <c r="A4" s="6" t="s">
        <v>3</v>
      </c>
    </row>
    <row r="5" spans="1:1" x14ac:dyDescent="0.3">
      <c r="A5" s="6" t="s">
        <v>4</v>
      </c>
    </row>
    <row r="6" spans="1:1" x14ac:dyDescent="0.3">
      <c r="A6" s="6" t="s">
        <v>5</v>
      </c>
    </row>
    <row r="7" spans="1:1" x14ac:dyDescent="0.3">
      <c r="A7" s="6" t="s">
        <v>6</v>
      </c>
    </row>
    <row r="8" spans="1:1" x14ac:dyDescent="0.3">
      <c r="A8" s="6" t="s">
        <v>7</v>
      </c>
    </row>
    <row r="9" spans="1:1" x14ac:dyDescent="0.3">
      <c r="A9" s="6" t="s">
        <v>8</v>
      </c>
    </row>
    <row r="10" spans="1:1" x14ac:dyDescent="0.3">
      <c r="A10" s="7" t="s">
        <v>9</v>
      </c>
    </row>
    <row r="11" spans="1:1" x14ac:dyDescent="0.3">
      <c r="A11" s="6" t="s">
        <v>10</v>
      </c>
    </row>
    <row r="12" spans="1:1" x14ac:dyDescent="0.3">
      <c r="A12" s="6" t="s">
        <v>11</v>
      </c>
    </row>
    <row r="13" spans="1:1" x14ac:dyDescent="0.3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topLeftCell="D1" zoomScale="85" zoomScaleNormal="85" workbookViewId="0">
      <selection activeCell="M16" sqref="M16"/>
    </sheetView>
  </sheetViews>
  <sheetFormatPr baseColWidth="10" defaultColWidth="11.44140625" defaultRowHeight="14.4" x14ac:dyDescent="0.3"/>
  <cols>
    <col min="1" max="1" width="9.33203125" bestFit="1" customWidth="1"/>
    <col min="2" max="2" width="35.109375" customWidth="1"/>
    <col min="3" max="3" width="47.33203125" bestFit="1" customWidth="1"/>
    <col min="4" max="4" width="9.6640625" bestFit="1" customWidth="1"/>
    <col min="5" max="5" width="40.33203125" bestFit="1" customWidth="1"/>
    <col min="6" max="6" width="16.44140625" customWidth="1"/>
    <col min="7" max="7" width="16.6640625" hidden="1" customWidth="1"/>
    <col min="8" max="8" width="18.44140625" style="8" hidden="1" customWidth="1"/>
    <col min="9" max="9" width="11.6640625" style="8" customWidth="1"/>
    <col min="10" max="10" width="17.6640625" style="8" bestFit="1" customWidth="1"/>
    <col min="11" max="11" width="12.33203125" style="8" bestFit="1" customWidth="1"/>
    <col min="12" max="12" width="15.33203125" style="8" bestFit="1" customWidth="1"/>
    <col min="13" max="13" width="11.6640625" style="8" bestFit="1" customWidth="1"/>
    <col min="14" max="14" width="11.109375" customWidth="1"/>
    <col min="15" max="15" width="11.5546875" customWidth="1"/>
  </cols>
  <sheetData>
    <row r="1" spans="1:17" s="5" customFormat="1" ht="46.8" x14ac:dyDescent="0.3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" x14ac:dyDescent="0.35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>
        <v>6</v>
      </c>
      <c r="K2" s="37">
        <f t="shared" ref="K2:K16" si="0">+M2-I2-J2-L2</f>
        <v>16</v>
      </c>
      <c r="L2" s="22"/>
      <c r="M2" s="27">
        <v>22</v>
      </c>
      <c r="N2" s="41"/>
      <c r="O2" s="39"/>
    </row>
    <row r="3" spans="1:17" s="9" customFormat="1" ht="18" x14ac:dyDescent="0.35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>
        <v>1</v>
      </c>
      <c r="K3" s="37">
        <f t="shared" si="0"/>
        <v>21</v>
      </c>
      <c r="L3" s="22"/>
      <c r="M3" s="27">
        <v>22</v>
      </c>
      <c r="N3" s="38"/>
      <c r="O3" s="40"/>
    </row>
    <row r="4" spans="1:17" s="9" customFormat="1" ht="18" x14ac:dyDescent="0.35">
      <c r="A4" s="23"/>
      <c r="B4" s="24" t="s">
        <v>30</v>
      </c>
      <c r="C4" s="25" t="s">
        <v>31</v>
      </c>
      <c r="D4" s="26">
        <v>7342</v>
      </c>
      <c r="E4" s="43" t="s">
        <v>72</v>
      </c>
      <c r="F4" s="28" t="s">
        <v>34</v>
      </c>
      <c r="G4" s="29">
        <v>6</v>
      </c>
      <c r="H4" s="22"/>
      <c r="I4" s="22"/>
      <c r="J4" s="22">
        <v>1</v>
      </c>
      <c r="K4" s="37">
        <f t="shared" si="0"/>
        <v>20</v>
      </c>
      <c r="L4" s="22">
        <v>1</v>
      </c>
      <c r="M4" s="27">
        <v>22</v>
      </c>
      <c r="N4" s="38">
        <f t="shared" ref="N4:N8" si="1">+K4/M4</f>
        <v>0.90909090909090906</v>
      </c>
      <c r="O4" s="40"/>
    </row>
    <row r="5" spans="1:17" s="9" customFormat="1" ht="18" x14ac:dyDescent="0.35">
      <c r="A5" s="23"/>
      <c r="B5" s="24" t="s">
        <v>30</v>
      </c>
      <c r="C5" s="25" t="s">
        <v>31</v>
      </c>
      <c r="D5" s="26">
        <v>4644</v>
      </c>
      <c r="E5" s="24" t="s">
        <v>35</v>
      </c>
      <c r="F5" s="28" t="s">
        <v>34</v>
      </c>
      <c r="G5" s="29">
        <v>6</v>
      </c>
      <c r="H5" s="22"/>
      <c r="I5" s="22"/>
      <c r="J5" s="22"/>
      <c r="K5" s="37">
        <f t="shared" si="0"/>
        <v>22</v>
      </c>
      <c r="L5" s="22"/>
      <c r="M5" s="27">
        <v>22</v>
      </c>
      <c r="N5" s="38">
        <f t="shared" si="1"/>
        <v>1</v>
      </c>
      <c r="O5" s="40"/>
    </row>
    <row r="6" spans="1:17" s="9" customFormat="1" ht="18" x14ac:dyDescent="0.35">
      <c r="A6" s="23"/>
      <c r="B6" s="24" t="s">
        <v>30</v>
      </c>
      <c r="C6" s="25" t="s">
        <v>31</v>
      </c>
      <c r="D6" s="26" t="s">
        <v>36</v>
      </c>
      <c r="E6" s="24" t="s">
        <v>37</v>
      </c>
      <c r="F6" s="24" t="s">
        <v>1</v>
      </c>
      <c r="G6" s="29">
        <v>7</v>
      </c>
      <c r="H6" s="22"/>
      <c r="I6" s="22"/>
      <c r="J6" s="32"/>
      <c r="K6" s="37">
        <f t="shared" si="0"/>
        <v>22</v>
      </c>
      <c r="L6" s="22"/>
      <c r="M6" s="27">
        <v>22</v>
      </c>
      <c r="N6" s="38">
        <f t="shared" si="1"/>
        <v>1</v>
      </c>
      <c r="O6" s="40"/>
    </row>
    <row r="7" spans="1:17" s="9" customFormat="1" ht="18" x14ac:dyDescent="0.35">
      <c r="A7" s="23"/>
      <c r="B7" s="24" t="s">
        <v>30</v>
      </c>
      <c r="C7" s="25" t="s">
        <v>31</v>
      </c>
      <c r="D7" s="26">
        <v>7211</v>
      </c>
      <c r="E7" s="24" t="s">
        <v>38</v>
      </c>
      <c r="F7" s="24" t="s">
        <v>39</v>
      </c>
      <c r="G7" s="29">
        <v>9</v>
      </c>
      <c r="H7" s="22"/>
      <c r="I7" s="22"/>
      <c r="J7" s="22">
        <v>5</v>
      </c>
      <c r="K7" s="37">
        <f t="shared" si="0"/>
        <v>17</v>
      </c>
      <c r="L7" s="22"/>
      <c r="M7" s="27">
        <v>22</v>
      </c>
      <c r="N7" s="38">
        <f t="shared" si="1"/>
        <v>0.77272727272727271</v>
      </c>
      <c r="O7" s="40"/>
    </row>
    <row r="8" spans="1:17" s="9" customFormat="1" ht="15" customHeight="1" x14ac:dyDescent="0.35">
      <c r="A8" s="23"/>
      <c r="B8" s="24" t="s">
        <v>30</v>
      </c>
      <c r="C8" s="25" t="s">
        <v>31</v>
      </c>
      <c r="D8" s="26">
        <v>7624</v>
      </c>
      <c r="E8" s="24" t="s">
        <v>40</v>
      </c>
      <c r="F8" s="24" t="s">
        <v>39</v>
      </c>
      <c r="G8" s="29">
        <v>0</v>
      </c>
      <c r="H8" s="22"/>
      <c r="I8" s="22"/>
      <c r="J8" s="22"/>
      <c r="K8" s="37">
        <f t="shared" si="0"/>
        <v>22</v>
      </c>
      <c r="L8" s="22"/>
      <c r="M8" s="27">
        <v>22</v>
      </c>
      <c r="N8" s="38">
        <f t="shared" si="1"/>
        <v>1</v>
      </c>
      <c r="O8" s="40"/>
      <c r="P8" s="11"/>
    </row>
    <row r="9" spans="1:17" s="9" customFormat="1" ht="15" customHeight="1" x14ac:dyDescent="0.3">
      <c r="A9" s="23"/>
      <c r="B9" s="24" t="s">
        <v>30</v>
      </c>
      <c r="C9" s="25" t="s">
        <v>31</v>
      </c>
      <c r="D9" s="26">
        <v>5844</v>
      </c>
      <c r="E9" s="43" t="s">
        <v>73</v>
      </c>
      <c r="F9" s="9" t="s">
        <v>34</v>
      </c>
      <c r="G9" s="29">
        <v>9</v>
      </c>
      <c r="H9" s="22"/>
      <c r="I9" s="22"/>
      <c r="J9" s="22"/>
      <c r="K9" s="37">
        <f t="shared" si="0"/>
        <v>22</v>
      </c>
      <c r="L9" s="22"/>
      <c r="M9" s="27">
        <v>22</v>
      </c>
      <c r="N9" s="38">
        <f>+K9/M9</f>
        <v>1</v>
      </c>
      <c r="O9" s="44">
        <f>SUM(N4:N9)</f>
        <v>5.6818181818181817</v>
      </c>
    </row>
    <row r="10" spans="1:17" s="9" customFormat="1" ht="18" x14ac:dyDescent="0.35">
      <c r="A10" s="23"/>
      <c r="B10" s="24" t="s">
        <v>41</v>
      </c>
      <c r="C10" s="25" t="s">
        <v>42</v>
      </c>
      <c r="D10" s="26" t="s">
        <v>43</v>
      </c>
      <c r="E10" s="24" t="s">
        <v>44</v>
      </c>
      <c r="F10" s="24" t="s">
        <v>10</v>
      </c>
      <c r="G10" s="24"/>
      <c r="H10" s="22"/>
      <c r="I10" s="22"/>
      <c r="J10" s="22"/>
      <c r="K10" s="37">
        <f t="shared" si="0"/>
        <v>16</v>
      </c>
      <c r="L10" s="36">
        <v>6</v>
      </c>
      <c r="M10" s="27">
        <v>22</v>
      </c>
      <c r="N10" s="38"/>
      <c r="O10" s="39"/>
    </row>
    <row r="11" spans="1:17" s="9" customFormat="1" ht="18" x14ac:dyDescent="0.35">
      <c r="A11" s="23"/>
      <c r="B11" s="24" t="s">
        <v>41</v>
      </c>
      <c r="C11" s="25" t="s">
        <v>42</v>
      </c>
      <c r="D11" s="26" t="s">
        <v>45</v>
      </c>
      <c r="E11" s="24" t="s">
        <v>46</v>
      </c>
      <c r="F11" s="28" t="s">
        <v>47</v>
      </c>
      <c r="G11" s="29"/>
      <c r="H11" s="22"/>
      <c r="I11" s="22"/>
      <c r="J11" s="22"/>
      <c r="K11" s="37">
        <f t="shared" si="0"/>
        <v>22</v>
      </c>
      <c r="L11" s="36"/>
      <c r="M11" s="27">
        <v>22</v>
      </c>
      <c r="N11" s="38">
        <f t="shared" ref="N11:N15" si="2">+K11/M11</f>
        <v>1</v>
      </c>
      <c r="O11" s="40"/>
    </row>
    <row r="12" spans="1:17" s="9" customFormat="1" ht="18" x14ac:dyDescent="0.35">
      <c r="A12" s="23"/>
      <c r="B12" s="24" t="s">
        <v>41</v>
      </c>
      <c r="C12" s="25" t="s">
        <v>42</v>
      </c>
      <c r="D12" s="26" t="s">
        <v>48</v>
      </c>
      <c r="E12" s="24" t="s">
        <v>49</v>
      </c>
      <c r="F12" s="28" t="s">
        <v>34</v>
      </c>
      <c r="G12" s="29"/>
      <c r="H12" s="22"/>
      <c r="I12" s="22"/>
      <c r="J12" s="22">
        <v>3</v>
      </c>
      <c r="K12" s="37">
        <f t="shared" si="0"/>
        <v>19</v>
      </c>
      <c r="L12" s="36"/>
      <c r="M12" s="27">
        <v>22</v>
      </c>
      <c r="N12" s="38">
        <f t="shared" si="2"/>
        <v>0.86363636363636365</v>
      </c>
      <c r="O12" s="40"/>
      <c r="Q12" s="11"/>
    </row>
    <row r="13" spans="1:17" s="9" customFormat="1" ht="18" x14ac:dyDescent="0.35">
      <c r="A13" s="23"/>
      <c r="B13" s="24" t="s">
        <v>41</v>
      </c>
      <c r="C13" s="25" t="s">
        <v>42</v>
      </c>
      <c r="D13" s="26" t="s">
        <v>50</v>
      </c>
      <c r="E13" s="24" t="s">
        <v>51</v>
      </c>
      <c r="F13" s="24" t="s">
        <v>1</v>
      </c>
      <c r="G13" s="29"/>
      <c r="H13" s="22"/>
      <c r="I13" s="22"/>
      <c r="J13" s="22">
        <v>11</v>
      </c>
      <c r="K13" s="37">
        <f t="shared" si="0"/>
        <v>11</v>
      </c>
      <c r="L13" s="36"/>
      <c r="M13" s="27">
        <v>22</v>
      </c>
      <c r="N13" s="38">
        <f t="shared" si="2"/>
        <v>0.5</v>
      </c>
      <c r="O13" s="40"/>
    </row>
    <row r="14" spans="1:17" s="9" customFormat="1" ht="18" x14ac:dyDescent="0.35">
      <c r="A14" s="23"/>
      <c r="B14" s="24" t="s">
        <v>41</v>
      </c>
      <c r="C14" s="25" t="s">
        <v>42</v>
      </c>
      <c r="D14" s="26" t="s">
        <v>52</v>
      </c>
      <c r="E14" s="24" t="s">
        <v>53</v>
      </c>
      <c r="F14" s="28" t="s">
        <v>34</v>
      </c>
      <c r="G14" s="29"/>
      <c r="H14" s="22"/>
      <c r="I14" s="22"/>
      <c r="J14" s="22">
        <v>11</v>
      </c>
      <c r="K14" s="37">
        <f t="shared" si="0"/>
        <v>11</v>
      </c>
      <c r="L14" s="22"/>
      <c r="M14" s="27">
        <v>22</v>
      </c>
      <c r="N14" s="38">
        <f t="shared" si="2"/>
        <v>0.5</v>
      </c>
      <c r="O14" s="40"/>
    </row>
    <row r="15" spans="1:17" s="9" customFormat="1" ht="18" x14ac:dyDescent="0.35">
      <c r="A15" s="23"/>
      <c r="B15" s="24" t="s">
        <v>41</v>
      </c>
      <c r="C15" s="25" t="s">
        <v>42</v>
      </c>
      <c r="D15" s="26" t="s">
        <v>54</v>
      </c>
      <c r="E15" s="24" t="s">
        <v>55</v>
      </c>
      <c r="F15" s="28" t="s">
        <v>56</v>
      </c>
      <c r="G15" s="29"/>
      <c r="H15" s="22"/>
      <c r="I15" s="22"/>
      <c r="J15" s="22">
        <v>3</v>
      </c>
      <c r="K15" s="37">
        <f t="shared" si="0"/>
        <v>19</v>
      </c>
      <c r="L15" s="36"/>
      <c r="M15" s="27">
        <v>22</v>
      </c>
      <c r="N15" s="38">
        <f t="shared" si="2"/>
        <v>0.86363636363636365</v>
      </c>
      <c r="O15" s="40"/>
    </row>
    <row r="16" spans="1:17" s="9" customFormat="1" ht="15" customHeight="1" x14ac:dyDescent="0.3">
      <c r="A16" s="30"/>
      <c r="B16" s="15"/>
      <c r="C16" s="31"/>
      <c r="D16" s="26">
        <v>4569</v>
      </c>
      <c r="E16" s="24" t="s">
        <v>57</v>
      </c>
      <c r="F16" s="28" t="s">
        <v>34</v>
      </c>
      <c r="G16" s="29"/>
      <c r="H16" s="22"/>
      <c r="I16" s="22"/>
      <c r="J16" s="22"/>
      <c r="K16" s="37">
        <f t="shared" si="0"/>
        <v>22</v>
      </c>
      <c r="L16" s="22"/>
      <c r="M16" s="27">
        <v>22</v>
      </c>
      <c r="N16" s="38">
        <f t="shared" ref="N16" si="3">+K16/M16</f>
        <v>1</v>
      </c>
      <c r="O16" s="45">
        <f>SUM(N11:N16)</f>
        <v>4.7272727272727275</v>
      </c>
    </row>
    <row r="17" spans="1:16" s="9" customFormat="1" ht="18" x14ac:dyDescent="0.35">
      <c r="A17" s="48" t="s">
        <v>58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6">
        <f>SUM(N4:N16)</f>
        <v>10.409090909090908</v>
      </c>
      <c r="P17" s="13"/>
    </row>
    <row r="18" spans="1:16" s="9" customFormat="1" ht="133.5" customHeight="1" x14ac:dyDescent="0.35">
      <c r="A18" s="33" t="s">
        <v>59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7.95" customHeight="1" x14ac:dyDescent="0.35">
      <c r="A19" s="34"/>
      <c r="B19" s="49"/>
      <c r="C19" s="50"/>
      <c r="J19" s="20"/>
      <c r="N19" s="13"/>
      <c r="O19" s="5"/>
      <c r="P19" s="13"/>
    </row>
    <row r="20" spans="1:16" x14ac:dyDescent="0.3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baseColWidth="10" defaultColWidth="11.44140625" defaultRowHeight="14.4" x14ac:dyDescent="0.3"/>
  <cols>
    <col min="1" max="1" width="34.6640625" customWidth="1"/>
    <col min="2" max="2" width="9.88671875" customWidth="1"/>
    <col min="3" max="3" width="10" customWidth="1"/>
    <col min="7" max="7" width="18.44140625" bestFit="1" customWidth="1"/>
  </cols>
  <sheetData>
    <row r="2" spans="1:9" x14ac:dyDescent="0.3">
      <c r="A2" s="51" t="s">
        <v>60</v>
      </c>
      <c r="B2" s="53" t="s">
        <v>61</v>
      </c>
      <c r="C2" s="54"/>
      <c r="D2" s="53" t="s">
        <v>62</v>
      </c>
      <c r="E2" s="54"/>
      <c r="F2" s="57" t="s">
        <v>63</v>
      </c>
      <c r="G2" s="58"/>
      <c r="H2" s="55" t="s">
        <v>64</v>
      </c>
      <c r="I2" s="56"/>
    </row>
    <row r="3" spans="1:9" x14ac:dyDescent="0.3">
      <c r="A3" s="52"/>
      <c r="B3" s="21" t="s">
        <v>65</v>
      </c>
      <c r="C3" s="21" t="s">
        <v>66</v>
      </c>
      <c r="D3" s="21" t="s">
        <v>65</v>
      </c>
      <c r="E3" s="21" t="s">
        <v>66</v>
      </c>
      <c r="F3" s="21" t="s">
        <v>65</v>
      </c>
      <c r="G3" s="21" t="s">
        <v>66</v>
      </c>
      <c r="H3" s="21" t="s">
        <v>65</v>
      </c>
      <c r="I3" s="21" t="s">
        <v>66</v>
      </c>
    </row>
    <row r="4" spans="1:9" x14ac:dyDescent="0.3">
      <c r="A4" s="12" t="s">
        <v>67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 x14ac:dyDescent="0.3">
      <c r="A5" s="12" t="s">
        <v>68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 x14ac:dyDescent="0.3">
      <c r="A6" s="12" t="s">
        <v>69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 x14ac:dyDescent="0.3">
      <c r="A7" s="12" t="s">
        <v>70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 x14ac:dyDescent="0.3">
      <c r="A8" s="12" t="s">
        <v>71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0AF41-744F-42FF-B731-32026361FF36}"/>
</file>

<file path=customXml/itemProps2.xml><?xml version="1.0" encoding="utf-8"?>
<ds:datastoreItem xmlns:ds="http://schemas.openxmlformats.org/officeDocument/2006/customXml" ds:itemID="{AC2C4421-A1FB-420C-8979-96ADE81180FE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d94663fc-0bbb-4c75-ad7b-31b0161adbbf"/>
    <ds:schemaRef ds:uri="595d156a-dad3-4cb5-af16-8df3c58a879a"/>
    <ds:schemaRef ds:uri="http://schemas.microsoft.com/office/2006/documentManagement/types"/>
    <ds:schemaRef ds:uri="680c7679-6e7d-4828-b830-7705079186f8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3311D80-7783-478B-B047-821FCC784F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CARGOS</vt:lpstr>
      <vt:lpstr>GAFA_DCCII</vt:lpstr>
      <vt:lpstr>Hoja1</vt:lpstr>
      <vt:lpstr>Vacaciones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Munive Bisetti Alberto Anthar</cp:lastModifiedBy>
  <cp:revision/>
  <dcterms:created xsi:type="dcterms:W3CDTF">2023-01-19T19:37:24Z</dcterms:created>
  <dcterms:modified xsi:type="dcterms:W3CDTF">2025-10-01T15:59:23Z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