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C II\Gestión\Resolutores 2025\"/>
    </mc:Choice>
  </mc:AlternateContent>
  <xr:revisionPtr revIDLastSave="1" documentId="13_ncr:1_{B3251F9B-1D46-4F2D-B336-D0F02FEC75DB}" xr6:coauthVersionLast="47" xr6:coauthVersionMax="47" xr10:uidLastSave="{8E65C87C-569C-4244-8457-E9A6856A3F0F}"/>
  <bookViews>
    <workbookView xWindow="-108" yWindow="-108" windowWidth="23256" windowHeight="12576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<sst xmlns="http://schemas.openxmlformats.org/spreadsheetml/2006/main" count="114" uniqueCount="74">
  <si>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</si>
  <si>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</si>
  <si>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</si>
  <si>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</si>
  <si>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</si>
  <si>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</si>
  <si>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</si>
  <si>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</si>
  <si>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</si>
  <si>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</si>
  <si>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</si>
  <si>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</si>
  <si>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</si>
  <si>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</si>
  <si>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</si>
  <si>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</si>
  <si>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</si>
  <si>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</si>
  <si>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</si>
  <si>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</si>
  <si>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</si>
  <si>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</si>
  <si>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</si>
  <si>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</si>
  <si>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</si>
  <si>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</si>
  <si>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</si>
  <si>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</si>
  <si>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</si>
  <si>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</si>
  <si>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</si>
  <si>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</si>
  <si>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</si>
  <si>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</si>
  <si>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>CUYA VELARDE, JUAN CARLOS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</si>
  <si>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</si>
  <si>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</si>
  <si>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</si>
  <si>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</si>
  <si>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</si>
  <si>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</si>
  <si>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</si>
  <si>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VELA NUÑEZ, RICHARD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</si>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</sst>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zoomScale="85" zoomScaleNormal="85" workbookViewId="0">
      <selection activeCell="F1" sqref="F1:I1048576"/>
    </sheetView>
  </sheetViews>
  <sheetFormatPr defaultColWidth="11.42578125" defaultRowHeight="14.45"/>
  <cols>
    <col min="1" max="1" width="9.28515625" bestFit="1" customWidth="1"/>
    <col min="2" max="2" width="35.140625" customWidth="1"/>
    <col min="3" max="3" width="47.28515625" bestFit="1" customWidth="1"/>
    <col min="4" max="4" width="9.7109375" bestFit="1" customWidth="1"/>
    <col min="5" max="5" width="40.28515625" bestFit="1" customWidth="1"/>
    <col min="6" max="6" width="16.42578125" customWidth="1"/>
    <col min="7" max="7" width="16.7109375" customWidth="1"/>
    <col min="8" max="8" width="18.42578125" style="8" customWidth="1"/>
    <col min="9" max="9" width="11.7109375" style="8" customWidth="1"/>
    <col min="10" max="10" width="17.7109375" style="8" bestFit="1" customWidth="1"/>
    <col min="11" max="11" width="12.28515625" style="8" bestFit="1" customWidth="1"/>
    <col min="12" max="12" width="15.28515625" style="8" bestFit="1" customWidth="1"/>
    <col min="13" max="13" width="11.7109375" style="8" bestFit="1" customWidth="1"/>
    <col min="14" max="14" width="11.140625" customWidth="1"/>
    <col min="15" max="15" width="11.5703125" customWidth="1"/>
  </cols>
  <sheetData>
    <row r="1" spans="1:17" s="5" customFormat="1" ht="46.9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6" si="0">+M2-I2-J2-L2</f>
        <v>21</v>
      </c>
      <c r="L2" s="22"/>
      <c r="M2" s="27">
        <v>21</v>
      </c>
      <c r="N2" s="41"/>
      <c r="O2" s="39"/>
    </row>
    <row r="3" spans="1:17" s="9" customFormat="1" ht="18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/>
      <c r="K3" s="37">
        <f t="shared" si="0"/>
        <v>21</v>
      </c>
      <c r="L3" s="22"/>
      <c r="M3" s="27">
        <v>21</v>
      </c>
      <c r="N3" s="38"/>
      <c r="O3" s="40"/>
    </row>
    <row r="4" spans="1:17" s="9" customFormat="1" ht="18">
      <c r="A4" s="23"/>
      <c r="B4" s="24" t="s">
        <v>30</v>
      </c>
      <c r="C4" s="25" t="s">
        <v>31</v>
      </c>
      <c r="D4" s="26">
        <v>7342</v>
      </c>
      <c r="E4" s="43" t="s">
        <v>34</v>
      </c>
      <c r="F4" s="28" t="s">
        <v>35</v>
      </c>
      <c r="G4" s="29">
        <v>6</v>
      </c>
      <c r="H4" s="22"/>
      <c r="I4" s="22"/>
      <c r="J4" s="22"/>
      <c r="K4" s="37">
        <f t="shared" si="0"/>
        <v>21</v>
      </c>
      <c r="L4" s="22"/>
      <c r="M4" s="27">
        <v>21</v>
      </c>
      <c r="N4" s="38">
        <f t="shared" ref="N4:N8" si="1">+K4/M4</f>
        <v>1</v>
      </c>
      <c r="O4" s="40"/>
    </row>
    <row r="5" spans="1:17" s="9" customFormat="1" ht="18">
      <c r="A5" s="23"/>
      <c r="B5" s="24" t="s">
        <v>30</v>
      </c>
      <c r="C5" s="25" t="s">
        <v>31</v>
      </c>
      <c r="D5" s="26">
        <v>4644</v>
      </c>
      <c r="E5" s="24" t="s">
        <v>36</v>
      </c>
      <c r="F5" s="28" t="s">
        <v>35</v>
      </c>
      <c r="G5" s="29">
        <v>6</v>
      </c>
      <c r="H5" s="22"/>
      <c r="I5" s="22"/>
      <c r="J5" s="22"/>
      <c r="K5" s="37">
        <f t="shared" si="0"/>
        <v>21</v>
      </c>
      <c r="L5" s="22"/>
      <c r="M5" s="27">
        <v>21</v>
      </c>
      <c r="N5" s="38">
        <f t="shared" si="1"/>
        <v>1</v>
      </c>
      <c r="O5" s="40"/>
    </row>
    <row r="6" spans="1:17" s="9" customFormat="1" ht="18">
      <c r="A6" s="23"/>
      <c r="B6" s="24" t="s">
        <v>30</v>
      </c>
      <c r="C6" s="25" t="s">
        <v>31</v>
      </c>
      <c r="D6" s="26" t="s">
        <v>37</v>
      </c>
      <c r="E6" s="24" t="s">
        <v>38</v>
      </c>
      <c r="F6" s="24" t="s">
        <v>1</v>
      </c>
      <c r="G6" s="29">
        <v>7</v>
      </c>
      <c r="H6" s="22"/>
      <c r="I6" s="22"/>
      <c r="J6" s="32">
        <v>21</v>
      </c>
      <c r="K6" s="37">
        <f t="shared" si="0"/>
        <v>0</v>
      </c>
      <c r="L6" s="22"/>
      <c r="M6" s="27">
        <v>21</v>
      </c>
      <c r="N6" s="38">
        <f t="shared" si="1"/>
        <v>0</v>
      </c>
      <c r="O6" s="40"/>
    </row>
    <row r="7" spans="1:17" s="9" customFormat="1" ht="18">
      <c r="A7" s="23"/>
      <c r="B7" s="24" t="s">
        <v>30</v>
      </c>
      <c r="C7" s="25" t="s">
        <v>31</v>
      </c>
      <c r="D7" s="26">
        <v>7211</v>
      </c>
      <c r="E7" s="24" t="s">
        <v>39</v>
      </c>
      <c r="F7" s="24" t="s">
        <v>40</v>
      </c>
      <c r="G7" s="29">
        <v>9</v>
      </c>
      <c r="H7" s="22"/>
      <c r="I7" s="22"/>
      <c r="J7" s="22">
        <v>1</v>
      </c>
      <c r="K7" s="37">
        <f t="shared" si="0"/>
        <v>20</v>
      </c>
      <c r="L7" s="22"/>
      <c r="M7" s="27">
        <v>21</v>
      </c>
      <c r="N7" s="38">
        <f t="shared" si="1"/>
        <v>0.95238095238095233</v>
      </c>
      <c r="O7" s="40"/>
    </row>
    <row r="8" spans="1:17" s="9" customFormat="1" ht="15" customHeight="1">
      <c r="A8" s="23"/>
      <c r="B8" s="24" t="s">
        <v>30</v>
      </c>
      <c r="C8" s="25" t="s">
        <v>31</v>
      </c>
      <c r="D8" s="26">
        <v>7624</v>
      </c>
      <c r="E8" s="24" t="s">
        <v>41</v>
      </c>
      <c r="F8" s="24" t="s">
        <v>40</v>
      </c>
      <c r="G8" s="29">
        <v>0</v>
      </c>
      <c r="H8" s="22"/>
      <c r="I8" s="22">
        <v>8</v>
      </c>
      <c r="J8" s="22"/>
      <c r="K8" s="37">
        <f t="shared" si="0"/>
        <v>13</v>
      </c>
      <c r="L8" s="22"/>
      <c r="M8" s="27">
        <v>21</v>
      </c>
      <c r="N8" s="38">
        <f t="shared" si="1"/>
        <v>0.61904761904761907</v>
      </c>
      <c r="O8" s="40"/>
      <c r="P8" s="11"/>
    </row>
    <row r="9" spans="1:17" s="9" customFormat="1" ht="15" customHeight="1">
      <c r="A9" s="23"/>
      <c r="B9" s="24" t="s">
        <v>30</v>
      </c>
      <c r="C9" s="25" t="s">
        <v>31</v>
      </c>
      <c r="D9" s="26">
        <v>5844</v>
      </c>
      <c r="E9" s="43" t="s">
        <v>42</v>
      </c>
      <c r="F9" s="9" t="s">
        <v>35</v>
      </c>
      <c r="G9" s="29">
        <v>9</v>
      </c>
      <c r="H9" s="22"/>
      <c r="I9" s="22"/>
      <c r="J9" s="22"/>
      <c r="K9" s="37">
        <f t="shared" si="0"/>
        <v>21</v>
      </c>
      <c r="L9" s="22"/>
      <c r="M9" s="27">
        <v>21</v>
      </c>
      <c r="N9" s="38">
        <f>+K9/M9</f>
        <v>1</v>
      </c>
      <c r="O9" s="44">
        <f>SUM(N4:N9)</f>
        <v>4.5714285714285712</v>
      </c>
    </row>
    <row r="10" spans="1:17" s="9" customFormat="1" ht="18">
      <c r="A10" s="23"/>
      <c r="B10" s="24" t="s">
        <v>43</v>
      </c>
      <c r="C10" s="25" t="s">
        <v>44</v>
      </c>
      <c r="D10" s="26" t="s">
        <v>45</v>
      </c>
      <c r="E10" s="24" t="s">
        <v>46</v>
      </c>
      <c r="F10" s="24" t="s">
        <v>10</v>
      </c>
      <c r="G10" s="24"/>
      <c r="H10" s="22"/>
      <c r="I10" s="22"/>
      <c r="J10" s="22"/>
      <c r="K10" s="37">
        <f t="shared" si="0"/>
        <v>21</v>
      </c>
      <c r="L10" s="36"/>
      <c r="M10" s="27">
        <v>21</v>
      </c>
      <c r="N10" s="38"/>
      <c r="O10" s="39"/>
    </row>
    <row r="11" spans="1:17" s="9" customFormat="1" ht="18">
      <c r="A11" s="23"/>
      <c r="B11" s="24" t="s">
        <v>43</v>
      </c>
      <c r="C11" s="25" t="s">
        <v>44</v>
      </c>
      <c r="D11" s="26" t="s">
        <v>47</v>
      </c>
      <c r="E11" s="24" t="s">
        <v>48</v>
      </c>
      <c r="F11" s="28" t="s">
        <v>49</v>
      </c>
      <c r="G11" s="29"/>
      <c r="H11" s="22"/>
      <c r="I11" s="22"/>
      <c r="J11" s="22">
        <v>3</v>
      </c>
      <c r="K11" s="37">
        <f t="shared" si="0"/>
        <v>18</v>
      </c>
      <c r="L11" s="36"/>
      <c r="M11" s="27">
        <v>21</v>
      </c>
      <c r="N11" s="38">
        <f t="shared" ref="N11:N15" si="2">+K11/M11</f>
        <v>0.8571428571428571</v>
      </c>
      <c r="O11" s="40"/>
    </row>
    <row r="12" spans="1:17" s="9" customFormat="1" ht="18">
      <c r="A12" s="23"/>
      <c r="B12" s="24" t="s">
        <v>43</v>
      </c>
      <c r="C12" s="25" t="s">
        <v>44</v>
      </c>
      <c r="D12" s="26" t="s">
        <v>50</v>
      </c>
      <c r="E12" s="24" t="s">
        <v>51</v>
      </c>
      <c r="F12" s="28" t="s">
        <v>35</v>
      </c>
      <c r="G12" s="29"/>
      <c r="H12" s="22"/>
      <c r="I12" s="22"/>
      <c r="J12" s="22">
        <v>3</v>
      </c>
      <c r="K12" s="37">
        <f t="shared" si="0"/>
        <v>18</v>
      </c>
      <c r="L12" s="36"/>
      <c r="M12" s="27">
        <v>21</v>
      </c>
      <c r="N12" s="38">
        <f t="shared" si="2"/>
        <v>0.8571428571428571</v>
      </c>
      <c r="O12" s="40"/>
      <c r="Q12" s="11"/>
    </row>
    <row r="13" spans="1:17" s="9" customFormat="1" ht="18">
      <c r="A13" s="23"/>
      <c r="B13" s="24" t="s">
        <v>43</v>
      </c>
      <c r="C13" s="25" t="s">
        <v>44</v>
      </c>
      <c r="D13" s="26" t="s">
        <v>52</v>
      </c>
      <c r="E13" s="24" t="s">
        <v>53</v>
      </c>
      <c r="F13" s="24" t="s">
        <v>1</v>
      </c>
      <c r="G13" s="29"/>
      <c r="H13" s="22"/>
      <c r="I13" s="22"/>
      <c r="J13" s="22">
        <v>1</v>
      </c>
      <c r="K13" s="37">
        <f t="shared" si="0"/>
        <v>20</v>
      </c>
      <c r="L13" s="36"/>
      <c r="M13" s="27">
        <v>21</v>
      </c>
      <c r="N13" s="38">
        <f t="shared" si="2"/>
        <v>0.95238095238095233</v>
      </c>
      <c r="O13" s="40"/>
    </row>
    <row r="14" spans="1:17" s="9" customFormat="1" ht="18">
      <c r="A14" s="23"/>
      <c r="B14" s="24" t="s">
        <v>43</v>
      </c>
      <c r="C14" s="25" t="s">
        <v>44</v>
      </c>
      <c r="D14" s="26" t="s">
        <v>54</v>
      </c>
      <c r="E14" s="24" t="s">
        <v>55</v>
      </c>
      <c r="F14" s="28" t="s">
        <v>35</v>
      </c>
      <c r="G14" s="29"/>
      <c r="H14" s="22"/>
      <c r="I14" s="22"/>
      <c r="J14" s="22">
        <v>2</v>
      </c>
      <c r="K14" s="37">
        <f t="shared" si="0"/>
        <v>19</v>
      </c>
      <c r="L14" s="22"/>
      <c r="M14" s="27">
        <v>21</v>
      </c>
      <c r="N14" s="38">
        <f t="shared" si="2"/>
        <v>0.90476190476190477</v>
      </c>
      <c r="O14" s="40"/>
    </row>
    <row r="15" spans="1:17" s="9" customFormat="1" ht="18">
      <c r="A15" s="23"/>
      <c r="B15" s="24" t="s">
        <v>43</v>
      </c>
      <c r="C15" s="25" t="s">
        <v>44</v>
      </c>
      <c r="D15" s="26" t="s">
        <v>56</v>
      </c>
      <c r="E15" s="24" t="s">
        <v>57</v>
      </c>
      <c r="F15" s="28" t="s">
        <v>58</v>
      </c>
      <c r="G15" s="29"/>
      <c r="H15" s="22"/>
      <c r="I15" s="22"/>
      <c r="J15" s="22"/>
      <c r="K15" s="37">
        <f t="shared" si="0"/>
        <v>21</v>
      </c>
      <c r="L15" s="36"/>
      <c r="M15" s="27">
        <v>21</v>
      </c>
      <c r="N15" s="38">
        <f t="shared" si="2"/>
        <v>1</v>
      </c>
      <c r="O15" s="40"/>
    </row>
    <row r="16" spans="1:17" s="9" customFormat="1" ht="15" customHeight="1">
      <c r="A16" s="30"/>
      <c r="B16" s="15"/>
      <c r="C16" s="31"/>
      <c r="D16" s="26">
        <v>4569</v>
      </c>
      <c r="E16" s="24" t="s">
        <v>59</v>
      </c>
      <c r="F16" s="28" t="s">
        <v>35</v>
      </c>
      <c r="G16" s="29"/>
      <c r="H16" s="22"/>
      <c r="I16" s="22"/>
      <c r="J16" s="22"/>
      <c r="K16" s="37">
        <f t="shared" si="0"/>
        <v>21</v>
      </c>
      <c r="L16" s="22"/>
      <c r="M16" s="27">
        <v>21</v>
      </c>
      <c r="N16" s="38">
        <f t="shared" ref="N16" si="3">+K16/M16</f>
        <v>1</v>
      </c>
      <c r="O16" s="45">
        <f>SUM(N11:N16)</f>
        <v>5.5714285714285712</v>
      </c>
    </row>
    <row r="17" spans="1:16" s="9" customFormat="1" ht="18">
      <c r="A17" s="48" t="s">
        <v>60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6">
        <f>SUM(N4:N16)</f>
        <v>10.142857142857142</v>
      </c>
      <c r="P17" s="13"/>
    </row>
    <row r="18" spans="1:16" s="9" customFormat="1" ht="133.5" customHeight="1">
      <c r="A18" s="33" t="s">
        <v>61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7.9" customHeight="1">
      <c r="A19" s="34"/>
      <c r="B19" s="49"/>
      <c r="C19" s="50"/>
      <c r="J19" s="20"/>
      <c r="N19" s="13"/>
      <c r="O19" s="5"/>
      <c r="P19" s="13"/>
    </row>
    <row r="20" spans="1:16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710937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1" t="s">
        <v>62</v>
      </c>
      <c r="B2" s="53" t="s">
        <v>63</v>
      </c>
      <c r="C2" s="54"/>
      <c r="D2" s="53" t="s">
        <v>64</v>
      </c>
      <c r="E2" s="54"/>
      <c r="F2" s="57" t="s">
        <v>65</v>
      </c>
      <c r="G2" s="58"/>
      <c r="H2" s="55" t="s">
        <v>66</v>
      </c>
      <c r="I2" s="56"/>
    </row>
    <row r="3" spans="1:9">
      <c r="A3" s="52"/>
      <c r="B3" s="21" t="s">
        <v>67</v>
      </c>
      <c r="C3" s="21" t="s">
        <v>68</v>
      </c>
      <c r="D3" s="21" t="s">
        <v>67</v>
      </c>
      <c r="E3" s="21" t="s">
        <v>68</v>
      </c>
      <c r="F3" s="21" t="s">
        <v>67</v>
      </c>
      <c r="G3" s="21" t="s">
        <v>68</v>
      </c>
      <c r="H3" s="21" t="s">
        <v>67</v>
      </c>
      <c r="I3" s="21" t="s">
        <v>68</v>
      </c>
    </row>
    <row r="4" spans="1:9">
      <c r="A4" s="12" t="s">
        <v>69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>
      <c r="A5" s="12" t="s">
        <v>70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>
      <c r="A6" s="12" t="s">
        <v>71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>
      <c r="A7" s="12" t="s">
        <v>72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>
      <c r="A8" s="12" t="s">
        <v>73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FB2F4255-940E-40DB-B7A0-554D05CD8F6E}"/>
</file>

<file path=customXml/itemProps2.xml><?xml version="1.0" encoding="utf-8"?>
<ds:datastoreItem xmlns:ds="http://schemas.openxmlformats.org/officeDocument/2006/customXml" ds:itemID="{23311D80-7783-478B-B047-821FCC784FA9}"/>
</file>

<file path=customXml/itemProps3.xml><?xml version="1.0" encoding="utf-8"?>
<ds:datastoreItem xmlns:ds="http://schemas.openxmlformats.org/officeDocument/2006/customXml" ds:itemID="{AC2C4421-A1FB-420C-8979-96ADE8118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