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\Desktop\Control posterior supervision\reportes\reporte junio 2025 final\"/>
    </mc:Choice>
  </mc:AlternateContent>
  <xr:revisionPtr revIDLastSave="0" documentId="13_ncr:1_{D4012C62-DCFE-4428-96FC-07BC201504B9}" xr6:coauthVersionLast="47" xr6:coauthVersionMax="47" xr10:uidLastSave="{00000000-0000-0000-0000-000000000000}"/>
  <bookViews>
    <workbookView xWindow="-110" yWindow="-110" windowWidth="19420" windowHeight="10420" tabRatio="790" firstSheet="9" activeTab="9" xr2:uid="{0F01A59B-1C5F-4CB0-B37F-93A0DD64A306}"/>
  </bookViews>
  <sheets>
    <sheet name="LISTA CARGOS" sheetId="2" state="hidden" r:id="rId1"/>
    <sheet name="GAC_DA" sheetId="6" r:id="rId2"/>
    <sheet name="GAC_DC" sheetId="10" r:id="rId3"/>
    <sheet name="GAF I_D1" sheetId="1" r:id="rId4"/>
    <sheet name="GAF I_D2" sheetId="3" r:id="rId5"/>
    <sheet name="GAF I_D3" sheetId="4" r:id="rId6"/>
    <sheet name="GAF I_D4" sheetId="5" r:id="rId7"/>
    <sheet name="GAF II_D1" sheetId="7" r:id="rId8"/>
    <sheet name="GAF II_D2" sheetId="8" r:id="rId9"/>
    <sheet name="GAFA" sheetId="11" r:id="rId10"/>
    <sheet name="Hoja1" sheetId="12" r:id="rId11"/>
    <sheet name="GAF II_D3" sheetId="9" r:id="rId12"/>
  </sheets>
  <externalReferences>
    <externalReference r:id="rId13"/>
  </externalReferences>
  <definedNames>
    <definedName name="_xlnm._FilterDatabase" localSheetId="3" hidden="1">'GAF I_D1'!$A$1:$I$263</definedName>
    <definedName name="archivo">#REF!</definedName>
    <definedName name="Correo" localSheetId="3">#REF!</definedName>
    <definedName name="Correo">#REF!</definedName>
    <definedName name="HabilesAB">'[1]Dias H'!$A$2:$B$4029</definedName>
    <definedName name="HabilesBCDE">'[1]Dias H'!$B$2:$E$4029</definedName>
    <definedName name="Ultimoh2EF">'[1]Dias H'!$E$2:$F$4029</definedName>
    <definedName name="UltimohBCDEF">'[1]Dias H'!$B$2:$F$4029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53" i="11" l="1"/>
  <c r="O50" i="11"/>
  <c r="O52" i="11"/>
  <c r="N14" i="11"/>
  <c r="O14" i="11" s="1"/>
  <c r="O51" i="11"/>
  <c r="O54" i="11"/>
  <c r="N25" i="11"/>
  <c r="O25" i="11" s="1"/>
  <c r="N37" i="11"/>
  <c r="O37" i="11" s="1"/>
  <c r="N38" i="11"/>
  <c r="O38" i="11" s="1"/>
  <c r="N39" i="11"/>
  <c r="O39" i="11" s="1"/>
  <c r="N40" i="11"/>
  <c r="O40" i="11" s="1"/>
  <c r="N41" i="11"/>
  <c r="O41" i="11" s="1"/>
  <c r="N42" i="11"/>
  <c r="O42" i="11" s="1"/>
  <c r="N43" i="11"/>
  <c r="O43" i="11" s="1"/>
  <c r="N44" i="11"/>
  <c r="O44" i="11" s="1"/>
  <c r="O46" i="11"/>
  <c r="O47" i="11"/>
  <c r="O48" i="11"/>
  <c r="O49" i="11"/>
  <c r="N36" i="11"/>
  <c r="O36" i="11" s="1"/>
  <c r="N35" i="11"/>
  <c r="O35" i="11" s="1"/>
  <c r="N34" i="11"/>
  <c r="O34" i="11" s="1"/>
  <c r="N33" i="11"/>
  <c r="O33" i="11" s="1"/>
  <c r="N32" i="11"/>
  <c r="O32" i="11" s="1"/>
  <c r="N31" i="11"/>
  <c r="O31" i="11" s="1"/>
  <c r="N30" i="11"/>
  <c r="O30" i="11" s="1"/>
  <c r="N29" i="11"/>
  <c r="O29" i="11" s="1"/>
  <c r="N28" i="11"/>
  <c r="O28" i="11" s="1"/>
  <c r="N27" i="11"/>
  <c r="O27" i="11" s="1"/>
  <c r="N24" i="11"/>
  <c r="O24" i="11" s="1"/>
  <c r="N23" i="11"/>
  <c r="O23" i="11" s="1"/>
  <c r="N22" i="11"/>
  <c r="O22" i="11" s="1"/>
  <c r="N21" i="11"/>
  <c r="O21" i="11" s="1"/>
  <c r="N20" i="11"/>
  <c r="O20" i="11" s="1"/>
  <c r="N19" i="11"/>
  <c r="O19" i="11" s="1"/>
  <c r="N18" i="11"/>
  <c r="O18" i="11" s="1"/>
  <c r="N17" i="11"/>
  <c r="O17" i="11" s="1"/>
  <c r="N16" i="11"/>
  <c r="O16" i="11" s="1"/>
  <c r="N10" i="11"/>
  <c r="O10" i="11" s="1"/>
  <c r="N9" i="11"/>
  <c r="O9" i="11" s="1"/>
  <c r="N8" i="11"/>
  <c r="O8" i="11" s="1"/>
  <c r="N7" i="11"/>
  <c r="O7" i="11" s="1"/>
  <c r="N6" i="11"/>
  <c r="O6" i="11" s="1"/>
  <c r="N5" i="11"/>
  <c r="O5" i="11" s="1"/>
  <c r="N4" i="11"/>
  <c r="O4" i="11" s="1"/>
  <c r="L5" i="10"/>
  <c r="M5" i="10" s="1"/>
  <c r="L6" i="10"/>
  <c r="M6" i="10"/>
  <c r="L7" i="10"/>
  <c r="M7" i="10"/>
  <c r="L8" i="10"/>
  <c r="M8" i="10" s="1"/>
  <c r="L9" i="10"/>
  <c r="M9" i="10" s="1"/>
  <c r="L10" i="10"/>
  <c r="M10" i="10"/>
  <c r="L11" i="10"/>
  <c r="M11" i="10"/>
  <c r="L12" i="10"/>
  <c r="M12" i="10" s="1"/>
  <c r="L13" i="10"/>
  <c r="M13" i="10" s="1"/>
  <c r="L14" i="10"/>
  <c r="M14" i="10"/>
  <c r="L16" i="10"/>
  <c r="M16" i="10" s="1"/>
  <c r="L17" i="10"/>
  <c r="M17" i="10" s="1"/>
  <c r="L18" i="10"/>
  <c r="M18" i="10"/>
  <c r="L19" i="10"/>
  <c r="M19" i="10"/>
  <c r="L20" i="10"/>
  <c r="M20" i="10" s="1"/>
  <c r="L21" i="10"/>
  <c r="M21" i="10" s="1"/>
  <c r="L22" i="10"/>
  <c r="M22" i="10"/>
  <c r="L23" i="10"/>
  <c r="M23" i="10"/>
  <c r="L24" i="10"/>
  <c r="M24" i="10" s="1"/>
  <c r="L26" i="10"/>
  <c r="M26" i="10"/>
  <c r="L27" i="10"/>
  <c r="M27" i="10"/>
  <c r="L28" i="10"/>
  <c r="M28" i="10" s="1"/>
  <c r="L29" i="10"/>
  <c r="M29" i="10" s="1"/>
  <c r="L30" i="10"/>
  <c r="M30" i="10"/>
  <c r="L31" i="10"/>
  <c r="M31" i="10"/>
  <c r="L32" i="10"/>
  <c r="M32" i="10" s="1"/>
  <c r="L33" i="10"/>
  <c r="M33" i="10" s="1"/>
  <c r="L35" i="10"/>
  <c r="M35" i="10"/>
  <c r="L36" i="10"/>
  <c r="M36" i="10" s="1"/>
  <c r="L37" i="10"/>
  <c r="M37" i="10" s="1"/>
  <c r="L38" i="10"/>
  <c r="M38" i="10"/>
  <c r="L39" i="10"/>
  <c r="M39" i="10"/>
  <c r="L40" i="10"/>
  <c r="M40" i="10" s="1"/>
  <c r="L41" i="10"/>
  <c r="M41" i="10" s="1"/>
  <c r="L42" i="10"/>
  <c r="M42" i="10"/>
  <c r="L43" i="10"/>
  <c r="M43" i="10"/>
  <c r="L44" i="10"/>
  <c r="M44" i="10" s="1"/>
  <c r="L4" i="10"/>
  <c r="M4" i="10" s="1"/>
  <c r="L4" i="9"/>
  <c r="M4" i="9"/>
  <c r="L5" i="9"/>
  <c r="M5" i="9" s="1"/>
  <c r="L6" i="9"/>
  <c r="M6" i="9"/>
  <c r="L7" i="9"/>
  <c r="M7" i="9" s="1"/>
  <c r="L8" i="9"/>
  <c r="M8" i="9"/>
  <c r="L9" i="9"/>
  <c r="M9" i="9" s="1"/>
  <c r="L10" i="9"/>
  <c r="M10" i="9"/>
  <c r="L11" i="9"/>
  <c r="M11" i="9" s="1"/>
  <c r="L12" i="9"/>
  <c r="M12" i="9"/>
  <c r="L13" i="9"/>
  <c r="M13" i="9" s="1"/>
  <c r="L14" i="9"/>
  <c r="M14" i="9"/>
  <c r="L15" i="9"/>
  <c r="M15" i="9" s="1"/>
  <c r="L17" i="9"/>
  <c r="M17" i="9" s="1"/>
  <c r="L18" i="9"/>
  <c r="M18" i="9"/>
  <c r="L19" i="9"/>
  <c r="M19" i="9" s="1"/>
  <c r="L20" i="9"/>
  <c r="M20" i="9"/>
  <c r="L21" i="9"/>
  <c r="M21" i="9" s="1"/>
  <c r="L22" i="9"/>
  <c r="M22" i="9"/>
  <c r="L23" i="9"/>
  <c r="M23" i="9" s="1"/>
  <c r="L24" i="9"/>
  <c r="M24" i="9"/>
  <c r="L25" i="9"/>
  <c r="M25" i="9" s="1"/>
  <c r="L27" i="9"/>
  <c r="M27" i="9" s="1"/>
  <c r="L28" i="9"/>
  <c r="M28" i="9"/>
  <c r="L29" i="9"/>
  <c r="M29" i="9" s="1"/>
  <c r="L30" i="9"/>
  <c r="M30" i="9"/>
  <c r="L31" i="9"/>
  <c r="M31" i="9" s="1"/>
  <c r="L32" i="9"/>
  <c r="M32" i="9"/>
  <c r="L33" i="9"/>
  <c r="M33" i="9" s="1"/>
  <c r="L34" i="9"/>
  <c r="M34" i="9"/>
  <c r="L35" i="9"/>
  <c r="M35" i="9" s="1"/>
  <c r="L36" i="9"/>
  <c r="M36" i="9"/>
  <c r="L4" i="8"/>
  <c r="M4" i="8" s="1"/>
  <c r="L5" i="8"/>
  <c r="M5" i="8" s="1"/>
  <c r="L6" i="8"/>
  <c r="M6" i="8" s="1"/>
  <c r="L7" i="8"/>
  <c r="M7" i="8"/>
  <c r="L8" i="8"/>
  <c r="M8" i="8" s="1"/>
  <c r="L9" i="8"/>
  <c r="M9" i="8"/>
  <c r="L10" i="8"/>
  <c r="M10" i="8" s="1"/>
  <c r="L11" i="8"/>
  <c r="M11" i="8"/>
  <c r="L12" i="8"/>
  <c r="M12" i="8" s="1"/>
  <c r="L13" i="8"/>
  <c r="M13" i="8"/>
  <c r="L15" i="8"/>
  <c r="M15" i="8"/>
  <c r="L16" i="8"/>
  <c r="M16" i="8" s="1"/>
  <c r="L17" i="8"/>
  <c r="M17" i="8"/>
  <c r="L18" i="8"/>
  <c r="M18" i="8" s="1"/>
  <c r="L19" i="8"/>
  <c r="M19" i="8"/>
  <c r="L20" i="8"/>
  <c r="M20" i="8" s="1"/>
  <c r="L21" i="8"/>
  <c r="M21" i="8"/>
  <c r="L22" i="8"/>
  <c r="M22" i="8" s="1"/>
  <c r="L24" i="8"/>
  <c r="M24" i="8" s="1"/>
  <c r="L25" i="8"/>
  <c r="M25" i="8"/>
  <c r="L26" i="8"/>
  <c r="M26" i="8" s="1"/>
  <c r="L27" i="8"/>
  <c r="M27" i="8"/>
  <c r="L28" i="8"/>
  <c r="M28" i="8" s="1"/>
  <c r="L29" i="8"/>
  <c r="M29" i="8"/>
  <c r="L30" i="8"/>
  <c r="M30" i="8" s="1"/>
  <c r="L31" i="8"/>
  <c r="M31" i="8"/>
  <c r="L33" i="8"/>
  <c r="M33" i="8"/>
  <c r="L34" i="8"/>
  <c r="M34" i="8" s="1"/>
  <c r="L35" i="8"/>
  <c r="M35" i="8"/>
  <c r="L36" i="8"/>
  <c r="M36" i="8" s="1"/>
  <c r="L37" i="8"/>
  <c r="M37" i="8"/>
  <c r="L38" i="8"/>
  <c r="M38" i="8" s="1"/>
  <c r="L39" i="8"/>
  <c r="M39" i="8"/>
  <c r="L40" i="8"/>
  <c r="M40" i="8" s="1"/>
  <c r="L41" i="8"/>
  <c r="M41" i="8"/>
  <c r="L27" i="7"/>
  <c r="M27" i="7" s="1"/>
  <c r="L28" i="7"/>
  <c r="M28" i="7" s="1"/>
  <c r="L29" i="7"/>
  <c r="M29" i="7"/>
  <c r="L30" i="7"/>
  <c r="M30" i="7"/>
  <c r="L31" i="7"/>
  <c r="M31" i="7" s="1"/>
  <c r="L32" i="7"/>
  <c r="M32" i="7" s="1"/>
  <c r="L33" i="7"/>
  <c r="M33" i="7"/>
  <c r="L34" i="7"/>
  <c r="M34" i="7"/>
  <c r="L26" i="7"/>
  <c r="M26" i="7" s="1"/>
  <c r="L16" i="7"/>
  <c r="M16" i="7" s="1"/>
  <c r="L17" i="7"/>
  <c r="M17" i="7" s="1"/>
  <c r="L18" i="7"/>
  <c r="M18" i="7"/>
  <c r="L19" i="7"/>
  <c r="M19" i="7"/>
  <c r="L20" i="7"/>
  <c r="M20" i="7" s="1"/>
  <c r="L21" i="7"/>
  <c r="M21" i="7" s="1"/>
  <c r="L22" i="7"/>
  <c r="M22" i="7"/>
  <c r="L23" i="7"/>
  <c r="M23" i="7"/>
  <c r="L24" i="7"/>
  <c r="M24" i="7" s="1"/>
  <c r="L15" i="7"/>
  <c r="M15" i="7" s="1"/>
  <c r="L6" i="7"/>
  <c r="M6" i="7" s="1"/>
  <c r="L7" i="7"/>
  <c r="M7" i="7" s="1"/>
  <c r="L8" i="7"/>
  <c r="M8" i="7" s="1"/>
  <c r="L9" i="7"/>
  <c r="M9" i="7" s="1"/>
  <c r="L10" i="7"/>
  <c r="M10" i="7" s="1"/>
  <c r="L11" i="7"/>
  <c r="M11" i="7" s="1"/>
  <c r="L12" i="7"/>
  <c r="M12" i="7" s="1"/>
  <c r="L5" i="7"/>
  <c r="M5" i="7" s="1"/>
  <c r="L5" i="6"/>
  <c r="M5" i="6" s="1"/>
  <c r="L6" i="6"/>
  <c r="M6" i="6" s="1"/>
  <c r="L7" i="6"/>
  <c r="M7" i="6" s="1"/>
  <c r="L8" i="6"/>
  <c r="M8" i="6"/>
  <c r="L9" i="6"/>
  <c r="M9" i="6" s="1"/>
  <c r="L10" i="6"/>
  <c r="M10" i="6" s="1"/>
  <c r="L12" i="6"/>
  <c r="M12" i="6"/>
  <c r="L13" i="6"/>
  <c r="M13" i="6" s="1"/>
  <c r="L14" i="6"/>
  <c r="M14" i="6" s="1"/>
  <c r="L15" i="6"/>
  <c r="M15" i="6" s="1"/>
  <c r="L16" i="6"/>
  <c r="M16" i="6"/>
  <c r="L17" i="6"/>
  <c r="M17" i="6" s="1"/>
  <c r="L18" i="6"/>
  <c r="M18" i="6" s="1"/>
  <c r="L20" i="6"/>
  <c r="M20" i="6"/>
  <c r="L21" i="6"/>
  <c r="M21" i="6" s="1"/>
  <c r="L22" i="6"/>
  <c r="M22" i="6" s="1"/>
  <c r="L23" i="6"/>
  <c r="M23" i="6" s="1"/>
  <c r="L24" i="6"/>
  <c r="M24" i="6"/>
  <c r="L25" i="6"/>
  <c r="M25" i="6" s="1"/>
  <c r="L26" i="6"/>
  <c r="M26" i="6" s="1"/>
  <c r="L28" i="6"/>
  <c r="M28" i="6"/>
  <c r="L29" i="6"/>
  <c r="M29" i="6" s="1"/>
  <c r="L30" i="6"/>
  <c r="M30" i="6" s="1"/>
  <c r="L31" i="6"/>
  <c r="M31" i="6" s="1"/>
  <c r="L32" i="6"/>
  <c r="M32" i="6"/>
  <c r="L33" i="6"/>
  <c r="M33" i="6"/>
  <c r="L34" i="6"/>
  <c r="M34" i="6" s="1"/>
  <c r="L35" i="6"/>
  <c r="M35" i="6" s="1"/>
  <c r="L37" i="6"/>
  <c r="M37" i="6"/>
  <c r="L38" i="6"/>
  <c r="M38" i="6" s="1"/>
  <c r="L39" i="6"/>
  <c r="M39" i="6" s="1"/>
  <c r="L40" i="6"/>
  <c r="M40" i="6"/>
  <c r="L41" i="6"/>
  <c r="M41" i="6"/>
  <c r="L42" i="6"/>
  <c r="M42" i="6" s="1"/>
  <c r="L43" i="6"/>
  <c r="M43" i="6" s="1"/>
  <c r="L44" i="6"/>
  <c r="M44" i="6"/>
  <c r="L46" i="6"/>
  <c r="M46" i="6" s="1"/>
  <c r="L47" i="6"/>
  <c r="M47" i="6" s="1"/>
  <c r="L48" i="6"/>
  <c r="M48" i="6"/>
  <c r="L49" i="6"/>
  <c r="M49" i="6"/>
  <c r="L50" i="6"/>
  <c r="M50" i="6" s="1"/>
  <c r="L51" i="6"/>
  <c r="M51" i="6" s="1"/>
  <c r="L52" i="6"/>
  <c r="M52" i="6"/>
  <c r="L53" i="6"/>
  <c r="M53" i="6"/>
  <c r="L25" i="5"/>
  <c r="M25" i="5" s="1"/>
  <c r="L24" i="5"/>
  <c r="M24" i="5" s="1"/>
  <c r="M23" i="5"/>
  <c r="L23" i="5"/>
  <c r="M22" i="5"/>
  <c r="L22" i="5"/>
  <c r="L21" i="5"/>
  <c r="M21" i="5" s="1"/>
  <c r="L20" i="5"/>
  <c r="M20" i="5" s="1"/>
  <c r="M19" i="5"/>
  <c r="L19" i="5"/>
  <c r="M18" i="5"/>
  <c r="L18" i="5"/>
  <c r="L17" i="5"/>
  <c r="M17" i="5" s="1"/>
  <c r="L5" i="5"/>
  <c r="M5" i="5"/>
  <c r="L6" i="5"/>
  <c r="M6" i="5" s="1"/>
  <c r="L7" i="5"/>
  <c r="M7" i="5"/>
  <c r="L8" i="5"/>
  <c r="M8" i="5" s="1"/>
  <c r="L9" i="5"/>
  <c r="M9" i="5"/>
  <c r="L10" i="5"/>
  <c r="M10" i="5"/>
  <c r="L11" i="5"/>
  <c r="M11" i="5"/>
  <c r="L12" i="5"/>
  <c r="M12" i="5"/>
  <c r="L13" i="5"/>
  <c r="M13" i="5"/>
  <c r="L14" i="5"/>
  <c r="M14" i="5"/>
  <c r="L15" i="5"/>
  <c r="M15" i="5"/>
  <c r="L4" i="5"/>
  <c r="M4" i="5" s="1"/>
  <c r="L4" i="4"/>
  <c r="M4" i="4" s="1"/>
  <c r="L5" i="4"/>
  <c r="M5" i="4" s="1"/>
  <c r="L6" i="4"/>
  <c r="M6" i="4"/>
  <c r="L7" i="4"/>
  <c r="M7" i="4"/>
  <c r="L8" i="4"/>
  <c r="M8" i="4" s="1"/>
  <c r="L9" i="4"/>
  <c r="M9" i="4" s="1"/>
  <c r="L11" i="4"/>
  <c r="M11" i="4"/>
  <c r="L12" i="4"/>
  <c r="M12" i="4" s="1"/>
  <c r="L13" i="4"/>
  <c r="M13" i="4" s="1"/>
  <c r="L14" i="4"/>
  <c r="M14" i="4"/>
  <c r="L15" i="4"/>
  <c r="M15" i="4"/>
  <c r="L16" i="4"/>
  <c r="M16" i="4" s="1"/>
  <c r="L17" i="4"/>
  <c r="M17" i="4" s="1"/>
  <c r="L3" i="4"/>
  <c r="M3" i="4" s="1"/>
  <c r="A10" i="4"/>
  <c r="L15" i="3"/>
  <c r="M15" i="3" s="1"/>
  <c r="L16" i="3"/>
  <c r="M16" i="3"/>
  <c r="L17" i="3"/>
  <c r="M17" i="3"/>
  <c r="L18" i="3"/>
  <c r="M18" i="3"/>
  <c r="L19" i="3"/>
  <c r="M19" i="3"/>
  <c r="L20" i="3"/>
  <c r="M20" i="3"/>
  <c r="L21" i="3"/>
  <c r="M21" i="3"/>
  <c r="L14" i="3"/>
  <c r="M14" i="3" s="1"/>
  <c r="L5" i="3"/>
  <c r="M5" i="3" s="1"/>
  <c r="L6" i="3"/>
  <c r="M6" i="3"/>
  <c r="L7" i="3"/>
  <c r="M7" i="3"/>
  <c r="L8" i="3"/>
  <c r="M8" i="3"/>
  <c r="L9" i="3"/>
  <c r="M9" i="3" s="1"/>
  <c r="L10" i="3"/>
  <c r="M10" i="3"/>
  <c r="L11" i="3"/>
  <c r="M11" i="3"/>
  <c r="L12" i="3"/>
  <c r="M12" i="3"/>
  <c r="L4" i="3"/>
  <c r="M4" i="3" s="1"/>
  <c r="L12" i="1"/>
  <c r="M12" i="1" s="1"/>
  <c r="L13" i="1"/>
  <c r="M13" i="1" s="1"/>
  <c r="L14" i="1"/>
  <c r="M14" i="1"/>
  <c r="L15" i="1"/>
  <c r="M15" i="1" s="1"/>
  <c r="L16" i="1"/>
  <c r="M16" i="1"/>
  <c r="L6" i="1"/>
  <c r="M6" i="1"/>
  <c r="L7" i="1"/>
  <c r="M7" i="1" s="1"/>
  <c r="L8" i="1"/>
  <c r="M8" i="1" s="1"/>
  <c r="L9" i="1"/>
  <c r="M9" i="1"/>
  <c r="L11" i="1"/>
  <c r="M11" i="1" s="1"/>
  <c r="L18" i="1"/>
  <c r="M18" i="1"/>
  <c r="L19" i="1"/>
  <c r="M19" i="1" s="1"/>
  <c r="L20" i="1"/>
  <c r="M20" i="1" s="1"/>
  <c r="L21" i="1"/>
  <c r="M21" i="1"/>
  <c r="L22" i="1"/>
  <c r="M22" i="1"/>
  <c r="L23" i="1"/>
  <c r="M23" i="1" s="1"/>
  <c r="L24" i="1"/>
  <c r="M24" i="1" s="1"/>
  <c r="L25" i="1"/>
  <c r="M25" i="1"/>
  <c r="L26" i="1"/>
  <c r="M26" i="1"/>
  <c r="A3" i="3"/>
  <c r="A12" i="3" s="1"/>
  <c r="A3" i="1"/>
  <c r="A4" i="1" s="1"/>
  <c r="L263" i="1"/>
  <c r="M263" i="1" s="1"/>
  <c r="L262" i="1"/>
  <c r="M262" i="1" s="1"/>
  <c r="L261" i="1"/>
  <c r="M261" i="1" s="1"/>
  <c r="L260" i="1"/>
  <c r="M260" i="1" s="1"/>
  <c r="L259" i="1"/>
  <c r="M259" i="1" s="1"/>
  <c r="L258" i="1"/>
  <c r="M258" i="1" s="1"/>
  <c r="M257" i="1"/>
  <c r="L257" i="1"/>
  <c r="L256" i="1"/>
  <c r="M256" i="1" s="1"/>
  <c r="L254" i="1"/>
  <c r="M254" i="1" s="1"/>
  <c r="L253" i="1"/>
  <c r="M253" i="1" s="1"/>
  <c r="L252" i="1"/>
  <c r="M252" i="1" s="1"/>
  <c r="L251" i="1"/>
  <c r="M251" i="1" s="1"/>
  <c r="M250" i="1"/>
  <c r="L250" i="1"/>
  <c r="L249" i="1"/>
  <c r="M249" i="1" s="1"/>
  <c r="L248" i="1"/>
  <c r="M248" i="1" s="1"/>
  <c r="L247" i="1"/>
  <c r="M247" i="1" s="1"/>
  <c r="L245" i="1"/>
  <c r="M245" i="1" s="1"/>
  <c r="L244" i="1"/>
  <c r="M244" i="1" s="1"/>
  <c r="L243" i="1"/>
  <c r="M243" i="1" s="1"/>
  <c r="L242" i="1"/>
  <c r="M242" i="1" s="1"/>
  <c r="L241" i="1"/>
  <c r="M241" i="1" s="1"/>
  <c r="L240" i="1"/>
  <c r="M240" i="1" s="1"/>
  <c r="L239" i="1"/>
  <c r="M239" i="1" s="1"/>
  <c r="L238" i="1"/>
  <c r="M238" i="1" s="1"/>
  <c r="L236" i="1"/>
  <c r="M236" i="1" s="1"/>
  <c r="L235" i="1"/>
  <c r="M235" i="1" s="1"/>
  <c r="L234" i="1"/>
  <c r="M234" i="1" s="1"/>
  <c r="L233" i="1"/>
  <c r="M233" i="1" s="1"/>
  <c r="L232" i="1"/>
  <c r="M232" i="1" s="1"/>
  <c r="L231" i="1"/>
  <c r="M231" i="1" s="1"/>
  <c r="L230" i="1"/>
  <c r="M230" i="1" s="1"/>
  <c r="L229" i="1"/>
  <c r="M229" i="1" s="1"/>
  <c r="L228" i="1"/>
  <c r="M228" i="1" s="1"/>
  <c r="L227" i="1"/>
  <c r="M227" i="1" s="1"/>
  <c r="L226" i="1"/>
  <c r="M226" i="1" s="1"/>
  <c r="L224" i="1"/>
  <c r="M224" i="1" s="1"/>
  <c r="L223" i="1"/>
  <c r="M223" i="1" s="1"/>
  <c r="L222" i="1"/>
  <c r="M222" i="1" s="1"/>
  <c r="L221" i="1"/>
  <c r="M221" i="1" s="1"/>
  <c r="L220" i="1"/>
  <c r="M220" i="1" s="1"/>
  <c r="L219" i="1"/>
  <c r="M219" i="1" s="1"/>
  <c r="A219" i="1"/>
  <c r="A220" i="1" s="1"/>
  <c r="A221" i="1" s="1"/>
  <c r="A222" i="1" s="1"/>
  <c r="A225" i="1" s="1"/>
  <c r="A226" i="1" s="1"/>
  <c r="A227" i="1" s="1"/>
  <c r="A228" i="1" s="1"/>
  <c r="A229" i="1" s="1"/>
  <c r="A230" i="1" s="1"/>
  <c r="A231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L218" i="1"/>
  <c r="M218" i="1" s="1"/>
  <c r="L217" i="1"/>
  <c r="M217" i="1" s="1"/>
  <c r="L216" i="1"/>
  <c r="M216" i="1" s="1"/>
  <c r="L215" i="1"/>
  <c r="M215" i="1" s="1"/>
  <c r="L214" i="1"/>
  <c r="M214" i="1" s="1"/>
  <c r="L212" i="1"/>
  <c r="M212" i="1" s="1"/>
  <c r="L211" i="1"/>
  <c r="M211" i="1" s="1"/>
  <c r="L210" i="1"/>
  <c r="M210" i="1" s="1"/>
  <c r="L209" i="1"/>
  <c r="M209" i="1" s="1"/>
  <c r="L208" i="1"/>
  <c r="M208" i="1" s="1"/>
  <c r="L205" i="1"/>
  <c r="M205" i="1" s="1"/>
  <c r="L204" i="1"/>
  <c r="M204" i="1" s="1"/>
  <c r="L203" i="1"/>
  <c r="M203" i="1" s="1"/>
  <c r="A201" i="1"/>
  <c r="A202" i="1" s="1"/>
  <c r="L200" i="1"/>
  <c r="M200" i="1" s="1"/>
  <c r="L199" i="1"/>
  <c r="M199" i="1" s="1"/>
  <c r="L198" i="1"/>
  <c r="M198" i="1" s="1"/>
  <c r="L197" i="1"/>
  <c r="M197" i="1" s="1"/>
  <c r="L196" i="1"/>
  <c r="M196" i="1" s="1"/>
  <c r="L195" i="1"/>
  <c r="M195" i="1" s="1"/>
  <c r="L194" i="1"/>
  <c r="M194" i="1" s="1"/>
  <c r="L193" i="1"/>
  <c r="M193" i="1" s="1"/>
  <c r="L192" i="1"/>
  <c r="M192" i="1" s="1"/>
  <c r="L190" i="1"/>
  <c r="M190" i="1" s="1"/>
  <c r="L189" i="1"/>
  <c r="M189" i="1" s="1"/>
  <c r="L188" i="1"/>
  <c r="M188" i="1" s="1"/>
  <c r="L187" i="1"/>
  <c r="M187" i="1" s="1"/>
  <c r="L186" i="1"/>
  <c r="M186" i="1" s="1"/>
  <c r="L185" i="1"/>
  <c r="M185" i="1" s="1"/>
  <c r="L184" i="1"/>
  <c r="M184" i="1" s="1"/>
  <c r="L183" i="1"/>
  <c r="M183" i="1" s="1"/>
  <c r="L182" i="1"/>
  <c r="M182" i="1" s="1"/>
  <c r="L181" i="1"/>
  <c r="M181" i="1" s="1"/>
  <c r="L179" i="1"/>
  <c r="M179" i="1" s="1"/>
  <c r="M178" i="1"/>
  <c r="L178" i="1"/>
  <c r="L177" i="1"/>
  <c r="M177" i="1" s="1"/>
  <c r="L176" i="1"/>
  <c r="M176" i="1" s="1"/>
  <c r="L175" i="1"/>
  <c r="M175" i="1" s="1"/>
  <c r="L174" i="1"/>
  <c r="M174" i="1" s="1"/>
  <c r="L173" i="1"/>
  <c r="M173" i="1" s="1"/>
  <c r="L172" i="1"/>
  <c r="M172" i="1" s="1"/>
  <c r="L171" i="1"/>
  <c r="M171" i="1" s="1"/>
  <c r="L170" i="1"/>
  <c r="M170" i="1" s="1"/>
  <c r="L169" i="1"/>
  <c r="M169" i="1" s="1"/>
  <c r="L168" i="1"/>
  <c r="M168" i="1" s="1"/>
  <c r="L166" i="1"/>
  <c r="M166" i="1" s="1"/>
  <c r="L165" i="1"/>
  <c r="M165" i="1" s="1"/>
  <c r="L164" i="1"/>
  <c r="M164" i="1" s="1"/>
  <c r="L162" i="1"/>
  <c r="M162" i="1" s="1"/>
  <c r="L161" i="1"/>
  <c r="M161" i="1" s="1"/>
  <c r="L160" i="1"/>
  <c r="M160" i="1" s="1"/>
  <c r="L159" i="1"/>
  <c r="M159" i="1" s="1"/>
  <c r="L158" i="1"/>
  <c r="M158" i="1" s="1"/>
  <c r="L157" i="1"/>
  <c r="M157" i="1" s="1"/>
  <c r="L156" i="1"/>
  <c r="M156" i="1" s="1"/>
  <c r="L155" i="1"/>
  <c r="M155" i="1" s="1"/>
  <c r="L154" i="1"/>
  <c r="M154" i="1" s="1"/>
  <c r="L152" i="1"/>
  <c r="M152" i="1" s="1"/>
  <c r="L151" i="1"/>
  <c r="M151" i="1" s="1"/>
  <c r="L150" i="1"/>
  <c r="M150" i="1" s="1"/>
  <c r="L149" i="1"/>
  <c r="M149" i="1" s="1"/>
  <c r="L148" i="1"/>
  <c r="M148" i="1" s="1"/>
  <c r="I147" i="1"/>
  <c r="L147" i="1" s="1"/>
  <c r="M147" i="1" s="1"/>
  <c r="L146" i="1"/>
  <c r="M146" i="1" s="1"/>
  <c r="L145" i="1"/>
  <c r="M145" i="1" s="1"/>
  <c r="L143" i="1"/>
  <c r="M143" i="1" s="1"/>
  <c r="L142" i="1"/>
  <c r="M142" i="1" s="1"/>
  <c r="L141" i="1"/>
  <c r="M141" i="1" s="1"/>
  <c r="L140" i="1"/>
  <c r="M140" i="1" s="1"/>
  <c r="L139" i="1"/>
  <c r="M139" i="1" s="1"/>
  <c r="L138" i="1"/>
  <c r="M138" i="1" s="1"/>
  <c r="L137" i="1"/>
  <c r="M137" i="1" s="1"/>
  <c r="L136" i="1"/>
  <c r="M136" i="1" s="1"/>
  <c r="L134" i="1"/>
  <c r="M134" i="1" s="1"/>
  <c r="L133" i="1"/>
  <c r="M133" i="1" s="1"/>
  <c r="L132" i="1"/>
  <c r="M132" i="1" s="1"/>
  <c r="L131" i="1"/>
  <c r="M131" i="1" s="1"/>
  <c r="L130" i="1"/>
  <c r="M130" i="1" s="1"/>
  <c r="L129" i="1"/>
  <c r="M129" i="1" s="1"/>
  <c r="L128" i="1"/>
  <c r="M128" i="1" s="1"/>
  <c r="L127" i="1"/>
  <c r="M127" i="1" s="1"/>
  <c r="L126" i="1"/>
  <c r="M126" i="1" s="1"/>
  <c r="L125" i="1"/>
  <c r="M125" i="1" s="1"/>
  <c r="L123" i="1"/>
  <c r="M123" i="1" s="1"/>
  <c r="L122" i="1"/>
  <c r="M122" i="1" s="1"/>
  <c r="L120" i="1"/>
  <c r="M120" i="1" s="1"/>
  <c r="L119" i="1"/>
  <c r="M119" i="1" s="1"/>
  <c r="L118" i="1"/>
  <c r="M118" i="1" s="1"/>
  <c r="L117" i="1"/>
  <c r="M117" i="1" s="1"/>
  <c r="L116" i="1"/>
  <c r="M116" i="1" s="1"/>
  <c r="L115" i="1"/>
  <c r="M115" i="1" s="1"/>
  <c r="L114" i="1"/>
  <c r="M114" i="1" s="1"/>
  <c r="L113" i="1"/>
  <c r="M113" i="1" s="1"/>
  <c r="L112" i="1"/>
  <c r="M112" i="1" s="1"/>
  <c r="L110" i="1"/>
  <c r="M110" i="1" s="1"/>
  <c r="L109" i="1"/>
  <c r="M109" i="1" s="1"/>
  <c r="L108" i="1"/>
  <c r="M108" i="1" s="1"/>
  <c r="L107" i="1"/>
  <c r="M107" i="1" s="1"/>
  <c r="L106" i="1"/>
  <c r="M106" i="1" s="1"/>
  <c r="L105" i="1"/>
  <c r="M105" i="1" s="1"/>
  <c r="L104" i="1"/>
  <c r="M104" i="1" s="1"/>
  <c r="L103" i="1"/>
  <c r="M103" i="1" s="1"/>
  <c r="L102" i="1"/>
  <c r="M102" i="1" s="1"/>
  <c r="A102" i="1"/>
  <c r="A103" i="1" s="1"/>
  <c r="A104" i="1" s="1"/>
  <c r="A105" i="1" s="1"/>
  <c r="A106" i="1" s="1"/>
  <c r="A107" i="1" s="1"/>
  <c r="A108" i="1" s="1"/>
  <c r="A109" i="1" s="1"/>
  <c r="A110" i="1" s="1"/>
  <c r="L101" i="1"/>
  <c r="M101" i="1" s="1"/>
  <c r="L99" i="1"/>
  <c r="M99" i="1" s="1"/>
  <c r="L98" i="1"/>
  <c r="M98" i="1" s="1"/>
  <c r="L97" i="1"/>
  <c r="M97" i="1" s="1"/>
  <c r="L96" i="1"/>
  <c r="M96" i="1" s="1"/>
  <c r="L95" i="1"/>
  <c r="M95" i="1" s="1"/>
  <c r="L94" i="1"/>
  <c r="M94" i="1" s="1"/>
  <c r="L93" i="1"/>
  <c r="M93" i="1" s="1"/>
  <c r="L92" i="1"/>
  <c r="M92" i="1" s="1"/>
  <c r="L91" i="1"/>
  <c r="M91" i="1" s="1"/>
  <c r="L89" i="1"/>
  <c r="M89" i="1" s="1"/>
  <c r="L88" i="1"/>
  <c r="M88" i="1" s="1"/>
  <c r="L87" i="1"/>
  <c r="M87" i="1" s="1"/>
  <c r="L84" i="1"/>
  <c r="M84" i="1" s="1"/>
  <c r="L83" i="1"/>
  <c r="M83" i="1" s="1"/>
  <c r="L82" i="1"/>
  <c r="M82" i="1" s="1"/>
  <c r="L81" i="1"/>
  <c r="M81" i="1" s="1"/>
  <c r="L80" i="1"/>
  <c r="M80" i="1" s="1"/>
  <c r="L79" i="1"/>
  <c r="M79" i="1" s="1"/>
  <c r="L78" i="1"/>
  <c r="M78" i="1" s="1"/>
  <c r="L77" i="1"/>
  <c r="M77" i="1" s="1"/>
  <c r="L76" i="1"/>
  <c r="M76" i="1" s="1"/>
  <c r="L74" i="1"/>
  <c r="M74" i="1" s="1"/>
  <c r="L73" i="1"/>
  <c r="M73" i="1" s="1"/>
  <c r="L72" i="1"/>
  <c r="M72" i="1" s="1"/>
  <c r="L71" i="1"/>
  <c r="M71" i="1" s="1"/>
  <c r="L70" i="1"/>
  <c r="M70" i="1" s="1"/>
  <c r="L69" i="1"/>
  <c r="M69" i="1" s="1"/>
  <c r="L68" i="1"/>
  <c r="M68" i="1" s="1"/>
  <c r="L67" i="1"/>
  <c r="M67" i="1" s="1"/>
  <c r="L66" i="1"/>
  <c r="M66" i="1" s="1"/>
  <c r="L65" i="1"/>
  <c r="M65" i="1" s="1"/>
  <c r="L64" i="1"/>
  <c r="M64" i="1" s="1"/>
  <c r="L63" i="1"/>
  <c r="M63" i="1" s="1"/>
  <c r="L60" i="1"/>
  <c r="M60" i="1" s="1"/>
  <c r="L59" i="1"/>
  <c r="M59" i="1" s="1"/>
  <c r="L58" i="1"/>
  <c r="M58" i="1" s="1"/>
  <c r="L57" i="1"/>
  <c r="M57" i="1" s="1"/>
  <c r="L56" i="1"/>
  <c r="M56" i="1" s="1"/>
  <c r="L55" i="1"/>
  <c r="M55" i="1" s="1"/>
  <c r="L54" i="1"/>
  <c r="M54" i="1" s="1"/>
  <c r="L52" i="1"/>
  <c r="M52" i="1" s="1"/>
  <c r="L51" i="1"/>
  <c r="M51" i="1" s="1"/>
  <c r="L50" i="1"/>
  <c r="M50" i="1" s="1"/>
  <c r="L49" i="1"/>
  <c r="M49" i="1" s="1"/>
  <c r="L48" i="1"/>
  <c r="M48" i="1" s="1"/>
  <c r="L47" i="1"/>
  <c r="M47" i="1" s="1"/>
  <c r="A47" i="1"/>
  <c r="L46" i="1"/>
  <c r="M46" i="1" s="1"/>
  <c r="L44" i="1"/>
  <c r="M44" i="1" s="1"/>
  <c r="L43" i="1"/>
  <c r="M43" i="1" s="1"/>
  <c r="L42" i="1"/>
  <c r="M42" i="1" s="1"/>
  <c r="L41" i="1"/>
  <c r="M41" i="1" s="1"/>
  <c r="L40" i="1"/>
  <c r="M40" i="1" s="1"/>
  <c r="L39" i="1"/>
  <c r="M39" i="1" s="1"/>
  <c r="L38" i="1"/>
  <c r="M38" i="1" s="1"/>
  <c r="L37" i="1"/>
  <c r="M37" i="1" s="1"/>
  <c r="L36" i="1"/>
  <c r="M36" i="1" s="1"/>
  <c r="L34" i="1"/>
  <c r="M34" i="1" s="1"/>
  <c r="L33" i="1"/>
  <c r="M33" i="1" s="1"/>
  <c r="L32" i="1"/>
  <c r="M32" i="1" s="1"/>
  <c r="I31" i="1"/>
  <c r="L31" i="1" s="1"/>
  <c r="M31" i="1" s="1"/>
  <c r="L30" i="1"/>
  <c r="M30" i="1" s="1"/>
  <c r="L29" i="1"/>
  <c r="M29" i="1" s="1"/>
  <c r="L28" i="1"/>
  <c r="M28" i="1" s="1"/>
  <c r="L27" i="1"/>
  <c r="M27" i="1" s="1"/>
  <c r="A25" i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5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17" i="1"/>
  <c r="A10" i="1"/>
  <c r="L5" i="1"/>
  <c r="M5" i="1" s="1"/>
  <c r="O55" i="11" l="1"/>
  <c r="H61" i="11" s="1"/>
  <c r="I61" i="11" s="1"/>
  <c r="A121" i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11" i="1"/>
  <c r="A112" i="1" s="1"/>
  <c r="A113" i="1" s="1"/>
  <c r="A114" i="1" s="1"/>
  <c r="A115" i="1" s="1"/>
  <c r="A116" i="1" s="1"/>
  <c r="A117" i="1" s="1"/>
  <c r="A118" i="1" s="1"/>
  <c r="A119" i="1" s="1"/>
  <c r="A120" i="1" s="1"/>
  <c r="A67" i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63" i="1"/>
  <c r="A64" i="1" s="1"/>
  <c r="A65" i="1" s="1"/>
  <c r="A66" i="1" s="1"/>
  <c r="A206" i="1"/>
  <c r="A207" i="1" s="1"/>
  <c r="A232" i="1" s="1"/>
  <c r="A223" i="1" s="1"/>
  <c r="A203" i="1"/>
  <c r="A204" i="1" s="1"/>
  <c r="A205" i="1" s="1"/>
  <c r="A224" i="1" l="1"/>
  <c r="A208" i="1"/>
  <c r="A209" i="1" s="1"/>
  <c r="A210" i="1" s="1"/>
  <c r="A233" i="1" s="1"/>
  <c r="A211" i="1" s="1"/>
  <c r="A212" i="1" s="1"/>
  <c r="A213" i="1" s="1"/>
  <c r="A214" i="1" s="1"/>
  <c r="A215" i="1" s="1"/>
  <c r="A216" i="1" s="1"/>
  <c r="A234" i="1" s="1"/>
  <c r="A90" i="1"/>
  <c r="A91" i="1" s="1"/>
  <c r="A92" i="1" s="1"/>
  <c r="A93" i="1" s="1"/>
  <c r="A94" i="1" s="1"/>
  <c r="A95" i="1" s="1"/>
  <c r="A101" i="1" s="1"/>
  <c r="A96" i="1" s="1"/>
  <c r="A97" i="1" s="1"/>
  <c r="A98" i="1" s="1"/>
  <c r="A99" i="1" s="1"/>
  <c r="A100" i="1" s="1"/>
  <c r="A89" i="1"/>
  <c r="A162" i="1"/>
  <c r="A164" i="1" s="1"/>
  <c r="A165" i="1" s="1"/>
  <c r="A166" i="1" s="1"/>
  <c r="A88" i="1" s="1"/>
  <c r="A167" i="1" s="1"/>
  <c r="A168" i="1" s="1"/>
  <c r="A169" i="1" s="1"/>
  <c r="A163" i="1"/>
  <c r="A122" i="1" s="1"/>
  <c r="A87" i="1" s="1"/>
  <c r="A123" i="1" s="1"/>
  <c r="A235" i="1" l="1"/>
  <c r="A236" i="1" s="1"/>
  <c r="A217" i="1"/>
  <c r="A218" i="1" s="1"/>
  <c r="A171" i="1"/>
  <c r="A172" i="1" s="1"/>
  <c r="A173" i="1" s="1"/>
  <c r="A170" i="1"/>
  <c r="A174" i="1" l="1"/>
  <c r="A175" i="1" s="1"/>
  <c r="A176" i="1"/>
  <c r="A177" i="1" s="1"/>
  <c r="A178" i="1" s="1"/>
  <c r="A179" i="1" l="1"/>
  <c r="A180" i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tc={AE1DFC03-F7E7-401F-BCA6-31E588023D91}</author>
  </authors>
  <commentList>
    <comment ref="L1" authorId="0" shapeId="0" xr:uid="{AE1DFC03-F7E7-401F-BCA6-31E588023D91}">
      <text>
        <t>[Threaded comment]
Your version of Excel allows you to read this threaded comment; however, any edits to it will get removed if the file is opened in a newer version of Excel. Learn more: https://go.microsoft.com/fwlink/?linkid=870924
Comment:
    Diciembre tiene 21 dh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tc={0EC8556A-1925-4156-99B4-158FCC0DB9B7}</author>
    <author>tc={CE382FB1-BF62-41E4-937A-7FB90CD91ACE}</author>
    <author>tc={54C677D1-0539-42EF-AEB1-402BF4135546}</author>
    <author>tc={F5197582-4128-4B0B-9B3C-37E6BDB9E642}</author>
    <author>tc={28F53DD5-F4DC-451E-B7A1-62E3C1553C44}</author>
    <author>tc={48D5E120-7F30-4D44-880C-16348052771F}</author>
    <author>tc={A2EF1A97-884B-4684-B84D-847E1F7BB182}</author>
    <author>tc={A3CB0D86-7AAE-4AA7-818D-60C4EF7722EE}</author>
    <author>tc={9582F70C-0EC2-456B-B5C6-5027FAFC2DD9}</author>
    <author>tc={CCEA457B-C1F0-4745-9767-CABB0CE5FFB1}</author>
    <author>tc={7C7AA384-5A03-4059-B7DB-91F2DC7260B1}</author>
    <author>tc={88A56B7F-DEDB-4AA4-BE66-F661FA1B9674}</author>
    <author>tc={83CE0C93-BAE9-4685-9FC1-E53850999CB2}</author>
    <author>tc={B501B176-10E0-4198-BD11-5C9248911437}</author>
    <author>tc={60020A39-2895-40C1-B0A8-73A93B48EAFB}</author>
    <author>tc={87C71AEB-AB98-4896-BE50-23D32DA83B00}</author>
    <author>tc={63906CDC-4950-46F0-B8DF-E56FF7B53C5C}</author>
    <author>tc={9B665D97-8DFA-4FB4-923C-72E2EA074324}</author>
    <author>tc={7C1E3A64-A9FE-46D3-825B-E57ADD1EED04}</author>
    <author>tc={CDF6745C-C7C6-491F-9EFC-CA6F8A8FE258}</author>
    <author>tc={80AA031E-CF70-42C1-8B1B-4D0B3C9F86E7}</author>
    <author>tc={B6EC6A61-A40A-444A-A441-0D7E0CB2B7BD}</author>
    <author>tc={2BC2B13F-1C1D-4912-B421-C8CD2375B905}</author>
    <author>tc={76A363D6-9173-4965-A86E-7214E39F2438}</author>
    <author>tc={73FD51E4-CF39-429D-998D-5FD183B0A291}</author>
    <author>tc={A257D8D5-B136-4948-8A63-B519AB202EEC}</author>
    <author>tc={18041124-6A28-4AC0-95BE-85C57907D891}</author>
    <author>tc={FDD4775B-0B5F-47DA-B0E4-1B4E11000F98}</author>
    <author>tc={2F56081C-1A2F-4707-84DB-B3A6479AAE17}</author>
    <author>tc={7937FFB5-CCC6-4D34-AD70-96655F6EDB16}</author>
    <author>tc={0A3F85B3-0DBE-4A49-BA53-7000F3539C1D}</author>
    <author>tc={99C3BCC1-3D3A-4E38-90E8-E9A2A55B7589}</author>
    <author>tc={23FC2350-E674-447C-87E4-8252118AE7A2}</author>
    <author>tc={9991CC9F-3DC3-43B1-89BE-A102E7954D01}</author>
    <author>tc={993CDE65-E022-4C27-AD23-A88CCAD45807}</author>
    <author>tc={A3F6E46A-675B-44EC-A01B-07D623C9E4E2}</author>
    <author>tc={4AAEEA6F-126A-4693-8FFC-B78E36590C09}</author>
    <author>tc={D64C59EB-05FE-41C6-AE72-831F28855F22}</author>
    <author>tc={8F93347B-5F27-4A9C-9D8C-BA05ED178C08}</author>
    <author>tc={16FF43EE-A4CD-4E9A-AB3C-F0F9CB49EDE5}</author>
    <author>tc={6829E16A-265E-45A1-AB92-E4EC99393C22}</author>
    <author>tc={1B5A5CBE-4669-4789-A08E-6F7241A88EA3}</author>
    <author>tc={4F48FF2F-804C-467F-BF3E-6A7BD2C0F132}</author>
    <author>tc={705F229C-6128-4C67-B260-368E64910EC1}</author>
    <author>tc={34EB25FA-A522-4CD8-BE77-E65BA424F712}</author>
  </authors>
  <commentList>
    <comment ref="L1" authorId="0" shapeId="0" xr:uid="{0EC8556A-1925-4156-99B4-158FCC0DB9B7}">
      <text>
        <t>[Threaded comment]
Your version of Excel allows you to read this threaded comment; however, any edits to it will get removed if the file is opened in a newer version of Excel. Learn more: https://go.microsoft.com/fwlink/?linkid=870924
Comment:
    Diciembre tiene 21 dh</t>
      </text>
    </comment>
    <comment ref="H44" authorId="1" shapeId="0" xr:uid="{CE382FB1-BF62-41E4-937A-7FB90CD91ACE}">
      <text>
        <t>[Threaded comment]
Your version of Excel allows you to read this threaded comment; however, any edits to it will get removed if the file is opened in a newer version of Excel. Learn more: https://go.microsoft.com/fwlink/?linkid=870924
Comment:
    Apoyo d e la G1D1 Sup 3 por 20 dias</t>
      </text>
    </comment>
    <comment ref="H46" authorId="2" shapeId="0" xr:uid="{54C677D1-0539-42EF-AEB1-402BF4135546}">
      <text>
        <t>[Threaded comment]
Your version of Excel allows you to read this threaded comment; however, any edits to it will get removed if the file is opened in a newer version of Excel. Learn more: https://go.microsoft.com/fwlink/?linkid=870924
Comment:
    Apoyo de G1D1 POR 20 DIAS</t>
      </text>
    </comment>
    <comment ref="H47" authorId="3" shapeId="0" xr:uid="{F5197582-4128-4B0B-9B3C-37E6BDB9E642}">
      <text>
        <t>[Threaded comment]
Your version of Excel allows you to read this threaded comment; however, any edits to it will get removed if the file is opened in a newer version of Excel. Learn more: https://go.microsoft.com/fwlink/?linkid=870924
Comment:
    Apoyo de G1D1 de 5 dias</t>
      </text>
    </comment>
    <comment ref="H63" authorId="4" shapeId="0" xr:uid="{28F53DD5-F4DC-451E-B7A1-62E3C1553C44}">
      <text>
        <t>[Threaded comment]
Your version of Excel allows you to read this threaded comment; however, any edits to it will get removed if the file is opened in a newer version of Excel. Learn more: https://go.microsoft.com/fwlink/?linkid=870924
Comment:
    apoyo de G1D1 por 11 dh</t>
      </text>
    </comment>
    <comment ref="H64" authorId="5" shapeId="0" xr:uid="{48D5E120-7F30-4D44-880C-16348052771F}">
      <text>
        <t>[Threaded comment]
Your version of Excel allows you to read this threaded comment; however, any edits to it will get removed if the file is opened in a newer version of Excel. Learn more: https://go.microsoft.com/fwlink/?linkid=870924
Comment:
    Apoyo de G1D1 por 11 dh</t>
      </text>
    </comment>
    <comment ref="H65" authorId="6" shapeId="0" xr:uid="{A2EF1A97-884B-4684-B84D-847E1F7BB182}">
      <text>
        <t>[Threaded comment]
Your version of Excel allows you to read this threaded comment; however, any edits to it will get removed if the file is opened in a newer version of Excel. Learn more: https://go.microsoft.com/fwlink/?linkid=870924
Comment:
    Del 1 al 13 apoyo a 7U4200 y Del 14 al 23 y del 27 al 29 (11 dias) a 7U5400</t>
      </text>
    </comment>
    <comment ref="H66" authorId="7" shapeId="0" xr:uid="{A3CB0D86-7AAE-4AA7-818D-60C4EF7722EE}">
      <text>
        <t>[Threaded comment]
Your version of Excel allows you to read this threaded comment; however, any edits to it will get removed if the file is opened in a newer version of Excel. Learn more: https://go.microsoft.com/fwlink/?linkid=870924
Comment:
    Apoyo de la G1D1 por 18 días</t>
      </text>
    </comment>
    <comment ref="I74" authorId="8" shapeId="0" xr:uid="{9582F70C-0EC2-456B-B5C6-5027FAFC2DD9}">
      <text>
        <t>[Threaded comment]
Your version of Excel allows you to read this threaded comment; however, any edits to it will get removed if the file is opened in a newer version of Excel. Learn more: https://go.microsoft.com/fwlink/?linkid=870924
Comment:
    Vacaciones del 5 al 21</t>
      </text>
    </comment>
    <comment ref="I84" authorId="9" shapeId="0" xr:uid="{CCEA457B-C1F0-4745-9767-CABB0CE5FFB1}">
      <text>
        <t>[Threaded comment]
Your version of Excel allows you to read this threaded comment; however, any edits to it will get removed if the file is opened in a newer version of Excel. Learn more: https://go.microsoft.com/fwlink/?linkid=870924
Comment:
    Vacaciones del 12 al 19</t>
      </text>
    </comment>
    <comment ref="H87" authorId="10" shapeId="0" xr:uid="{7C7AA384-5A03-4059-B7DB-91F2DC7260B1}">
      <text>
        <t>[Threaded comment]
Your version of Excel allows you to read this threaded comment; however, any edits to it will get removed if the file is opened in a newer version of Excel. Learn more: https://go.microsoft.com/fwlink/?linkid=870924
Comment:
    Pasaron de la D3 desde el 5 de diciembre</t>
      </text>
    </comment>
    <comment ref="H88" authorId="11" shapeId="0" xr:uid="{88A56B7F-DEDB-4AA4-BE66-F661FA1B9674}">
      <text>
        <t>[Threaded comment]
Your version of Excel allows you to read this threaded comment; however, any edits to it will get removed if the file is opened in a newer version of Excel. Learn more: https://go.microsoft.com/fwlink/?linkid=870924
Comment:
    Pasaron de la D3 desde el 5 de diciembre</t>
      </text>
    </comment>
    <comment ref="H89" authorId="12" shapeId="0" xr:uid="{83CE0C93-BAE9-4685-9FC1-E53850999CB2}">
      <text>
        <t>[Threaded comment]
Your version of Excel allows you to read this threaded comment; however, any edits to it will get removed if the file is opened in a newer version of Excel. Learn more: https://go.microsoft.com/fwlink/?linkid=870924
Comment:
    Apoyo de G1D2 de 8 dias</t>
      </text>
    </comment>
    <comment ref="I91" authorId="13" shapeId="0" xr:uid="{B501B176-10E0-4198-BD11-5C9248911437}">
      <text>
        <t>[Threaded comment]
Your version of Excel allows you to read this threaded comment; however, any edits to it will get removed if the file is opened in a newer version of Excel. Learn more: https://go.microsoft.com/fwlink/?linkid=870924
Comment:
    vacaciones del 5 al 7</t>
      </text>
    </comment>
    <comment ref="I93" authorId="14" shapeId="0" xr:uid="{60020A39-2895-40C1-B0A8-73A93B48EAFB}">
      <text>
        <t>[Threaded comment]
Your version of Excel allows you to read this threaded comment; however, any edits to it will get removed if the file is opened in a newer version of Excel. Learn more: https://go.microsoft.com/fwlink/?linkid=870924
Comment:
    Vacaciones del 26 de dicembre al 2 de enero</t>
      </text>
    </comment>
    <comment ref="I97" authorId="15" shapeId="0" xr:uid="{87C71AEB-AB98-4896-BE50-23D32DA83B00}">
      <text>
        <t>[Threaded comment]
Your version of Excel allows you to read this threaded comment; however, any edits to it will get removed if the file is opened in a newer version of Excel. Learn more: https://go.microsoft.com/fwlink/?linkid=870924
Comment:
    VACACIONES hasta el 23 compensacion 26 y 30 licencia del 27 al 29</t>
      </text>
    </comment>
    <comment ref="I99" authorId="16" shapeId="0" xr:uid="{63906CDC-4950-46F0-B8DF-E56FF7B53C5C}">
      <text>
        <t>[Threaded comment]
Your version of Excel allows you to read this threaded comment; however, any edits to it will get removed if the file is opened in a newer version of Excel. Learn more: https://go.microsoft.com/fwlink/?linkid=870924
Comment:
    descanso medico del 2 al 6</t>
      </text>
    </comment>
    <comment ref="I102" authorId="17" shapeId="0" xr:uid="{9B665D97-8DFA-4FB4-923C-72E2EA074324}">
      <text>
        <t>[Threaded comment]
Your version of Excel allows you to read this threaded comment; however, any edits to it will get removed if the file is opened in a newer version of Excel. Learn more: https://go.microsoft.com/fwlink/?linkid=870924
Comment:
    licencia por paternidad del 26 al 30</t>
      </text>
    </comment>
    <comment ref="I103" authorId="18" shapeId="0" xr:uid="{7C1E3A64-A9FE-46D3-825B-E57ADD1EED04}">
      <text>
        <t>[Threaded comment]
Your version of Excel allows you to read this threaded comment; however, any edits to it will get removed if the file is opened in a newer version of Excel. Learn more: https://go.microsoft.com/fwlink/?linkid=870924
Comment:
    vacaciones 2 de diciembre</t>
      </text>
    </comment>
    <comment ref="I105" authorId="19" shapeId="0" xr:uid="{CDF6745C-C7C6-491F-9EFC-CA6F8A8FE258}">
      <text>
        <t>[Threaded comment]
Your version of Excel allows you to read this threaded comment; however, any edits to it will get removed if the file is opened in a newer version of Excel. Learn more: https://go.microsoft.com/fwlink/?linkid=870924
Comment:
    vacaciones y cumple del 21 al 28</t>
      </text>
    </comment>
    <comment ref="I112" authorId="20" shapeId="0" xr:uid="{80AA031E-CF70-42C1-8B1B-4D0B3C9F86E7}">
      <text>
        <t>[Threaded comment]
Your version of Excel allows you to read this threaded comment; however, any edits to it will get removed if the file is opened in a newer version of Excel. Learn more: https://go.microsoft.com/fwlink/?linkid=870924
Comment:
    Vacaciones del 12 al 22</t>
      </text>
    </comment>
    <comment ref="I113" authorId="21" shapeId="0" xr:uid="{B6EC6A61-A40A-444A-A441-0D7E0CB2B7BD}">
      <text>
        <t>[Threaded comment]
Your version of Excel allows you to read this threaded comment; however, any edits to it will get removed if the file is opened in a newer version of Excel. Learn more: https://go.microsoft.com/fwlink/?linkid=870924
Comment:
    vacaciones del 12 al 18</t>
      </text>
    </comment>
    <comment ref="G115" authorId="22" shapeId="0" xr:uid="{2BC2B13F-1C1D-4912-B421-C8CD2375B905}">
      <text>
        <t>[Threaded comment]
Your version of Excel allows you to read this threaded comment; however, any edits to it will get removed if the file is opened in a newer version of Excel. Learn more: https://go.microsoft.com/fwlink/?linkid=870924
Comment:
    Apoya supervision de Mari Mariño</t>
      </text>
    </comment>
    <comment ref="H120" authorId="23" shapeId="0" xr:uid="{76A363D6-9173-4965-A86E-7214E39F2438}">
      <text>
        <t>[Threaded comment]
Your version of Excel allows you to read this threaded comment; however, any edits to it will get removed if the file is opened in a newer version of Excel. Learn more: https://go.microsoft.com/fwlink/?linkid=870924
Comment:
    Apoyo a esta unidad por 20 dias</t>
      </text>
    </comment>
    <comment ref="H122" authorId="24" shapeId="0" xr:uid="{73FD51E4-CF39-429D-998D-5FD183B0A291}">
      <text>
        <t>[Threaded comment]
Your version of Excel allows you to read this threaded comment; however, any edits to it will get removed if the file is opened in a newer version of Excel. Learn more: https://go.microsoft.com/fwlink/?linkid=870924
Comment:
    Pasaron de la D3 a esta division a partir del 5</t>
      </text>
    </comment>
    <comment ref="H123" authorId="25" shapeId="0" xr:uid="{A257D8D5-B136-4948-8A63-B519AB202EEC}">
      <text>
        <t>[Threaded comment]
Your version of Excel allows you to read this threaded comment; however, any edits to it will get removed if the file is opened in a newer version of Excel. Learn more: https://go.microsoft.com/fwlink/?linkid=870924
Comment:
    Pasaron de la D3 desde el 5</t>
      </text>
    </comment>
    <comment ref="I129" authorId="26" shapeId="0" xr:uid="{18041124-6A28-4AC0-95BE-85C57907D891}">
      <text>
        <t>[Threaded comment]
Your version of Excel allows you to read this threaded comment; however, any edits to it will get removed if the file is opened in a newer version of Excel. Learn more: https://go.microsoft.com/fwlink/?linkid=870924
Comment:
    Licencia por enfermedad</t>
      </text>
    </comment>
    <comment ref="I130" authorId="27" shapeId="0" xr:uid="{FDD4775B-0B5F-47DA-B0E4-1B4E11000F98}">
      <text>
        <t>[Threaded comment]
Your version of Excel allows you to read this threaded comment; however, any edits to it will get removed if the file is opened in a newer version of Excel. Learn more: https://go.microsoft.com/fwlink/?linkid=870924
Comment:
    Licencia por enfermedad</t>
      </text>
    </comment>
    <comment ref="E133" authorId="28" shapeId="0" xr:uid="{2F56081C-1A2F-4707-84DB-B3A6479AAE17}">
      <text>
        <t>[Threaded comment]
Your version of Excel allows you to read this threaded comment; however, any edits to it will get removed if the file is opened in a newer version of Excel. Learn more: https://go.microsoft.com/fwlink/?linkid=870924
Comment:
    Nunca perteneció a la division ni laboró en la division Cumplimiento 7U4203</t>
      </text>
    </comment>
    <comment ref="I146" authorId="29" shapeId="0" xr:uid="{7937FFB5-CCC6-4D34-AD70-96655F6EDB16}">
      <text>
        <t>[Threaded comment]
Your version of Excel allows you to read this threaded comment; however, any edits to it will get removed if the file is opened in a newer version of Excel. Learn more: https://go.microsoft.com/fwlink/?linkid=870924
Comment:
    Licencia por enfermedad</t>
      </text>
    </comment>
    <comment ref="I149" authorId="30" shapeId="0" xr:uid="{0A3F85B3-0DBE-4A49-BA53-7000F3539C1D}">
      <text>
        <t>[Threaded comment]
Your version of Excel allows you to read this threaded comment; however, any edits to it will get removed if the file is opened in a newer version of Excel. Learn more: https://go.microsoft.com/fwlink/?linkid=870924
Comment:
    Licencia por enfermedad</t>
      </text>
    </comment>
    <comment ref="I150" authorId="31" shapeId="0" xr:uid="{99C3BCC1-3D3A-4E38-90E8-E9A2A55B7589}">
      <text>
        <t>[Threaded comment]
Your version of Excel allows you to read this threaded comment; however, any edits to it will get removed if the file is opened in a newer version of Excel. Learn more: https://go.microsoft.com/fwlink/?linkid=870924
Comment:
    Licencia por enfermedad</t>
      </text>
    </comment>
    <comment ref="I157" authorId="32" shapeId="0" xr:uid="{23FC2350-E674-447C-87E4-8252118AE7A2}">
      <text>
        <t>[Threaded comment]
Your version of Excel allows you to read this threaded comment; however, any edits to it will get removed if the file is opened in a newer version of Excel. Learn more: https://go.microsoft.com/fwlink/?linkid=870924
Comment:
    Licencia por enfermedad</t>
      </text>
    </comment>
    <comment ref="I192" authorId="33" shapeId="0" xr:uid="{9991CC9F-3DC3-43B1-89BE-A102E7954D01}">
      <text>
        <t>[Threaded comment]
Your version of Excel allows you to read this threaded comment; however, any edits to it will get removed if the file is opened in a newer version of Excel. Learn more: https://go.microsoft.com/fwlink/?linkid=870924
Comment:
    licencia por maternidad del 29 de nov al 6 de marz</t>
      </text>
    </comment>
    <comment ref="E200" authorId="34" shapeId="0" xr:uid="{993CDE65-E022-4C27-AD23-A88CCAD45807}">
      <text>
        <t>[Threaded comment]
Your version of Excel allows you to read this threaded comment; however, any edits to it will get removed if the file is opened in a newer version of Excel. Learn more: https://go.microsoft.com/fwlink/?linkid=870924
Comment:
    Se agregó a la lista a partir de la data de producción. El Área no la reportó en este relevamiento pero si confirmó que labora en la supervisión. A falta de información se considera tiempo completo (21 dh)</t>
      </text>
    </comment>
    <comment ref="H203" authorId="35" shapeId="0" xr:uid="{A3F6E46A-675B-44EC-A01B-07D623C9E4E2}">
      <text>
        <t>[Threaded comment]
Your version of Excel allows you to read this threaded comment; however, any edits to it will get removed if the file is opened in a newer version of Excel. Learn more: https://go.microsoft.com/fwlink/?linkid=870924
Comment:
    apoyo de 7u5103 por 15 dias</t>
      </text>
    </comment>
    <comment ref="H204" authorId="36" shapeId="0" xr:uid="{4AAEEA6F-126A-4693-8FFC-B78E36590C09}">
      <text>
        <t>[Threaded comment]
Your version of Excel allows you to read this threaded comment; however, any edits to it will get removed if the file is opened in a newer version of Excel. Learn more: https://go.microsoft.com/fwlink/?linkid=870924
Comment:
    apoyo de 7u5103 por 13 dias</t>
      </text>
    </comment>
    <comment ref="H205" authorId="37" shapeId="0" xr:uid="{D64C59EB-05FE-41C6-AE72-831F28855F22}">
      <text>
        <t>[Threaded comment]
Your version of Excel allows you to read this threaded comment; however, any edits to it will get removed if the file is opened in a newer version of Excel. Learn more: https://go.microsoft.com/fwlink/?linkid=870924
Comment:
    apoyo de G1D4 por 11 dias</t>
      </text>
    </comment>
    <comment ref="I207" authorId="38" shapeId="0" xr:uid="{8F93347B-5F27-4A9C-9D8C-BA05ED178C08}">
      <text>
        <t>[Threaded comment]
Your version of Excel allows you to read this threaded comment; however, any edits to it will get removed if the file is opened in a newer version of Excel. Learn more: https://go.microsoft.com/fwlink/?linkid=870924
Comment:
    VE ADMISIBILIDAD DE APELACIONES ipcn</t>
      </text>
    </comment>
    <comment ref="I215" authorId="39" shapeId="0" xr:uid="{16FF43EE-A4CD-4E9A-AB3C-F0F9CB49EDE5}">
      <text>
        <t>[Threaded comment]
Your version of Excel allows you to read this threaded comment; however, any edits to it will get removed if the file is opened in a newer version of Excel. Learn more: https://go.microsoft.com/fwlink/?linkid=870924
Comment:
    descanso medico del 1 al 29 y del 30 de nov al 21 de dic</t>
      </text>
    </comment>
    <comment ref="H218" authorId="40" shapeId="0" xr:uid="{6829E16A-265E-45A1-AB92-E4EC99393C22}">
      <text>
        <t>[Threaded comment]
Your version of Excel allows you to read this threaded comment; however, any edits to it will get removed if the file is opened in a newer version of Excel. Learn more: https://go.microsoft.com/fwlink/?linkid=870924
Comment:
    Se encarga de Monitor de equipo 6 a partir del 21de noviembre</t>
      </text>
    </comment>
    <comment ref="G224" authorId="41" shapeId="0" xr:uid="{1B5A5CBE-4669-4789-A08E-6F7241A88EA3}">
      <text>
        <t>[Threaded comment]
Your version of Excel allows you to read this threaded comment; however, any edits to it will get removed if the file is opened in a newer version of Excel. Learn more: https://go.microsoft.com/fwlink/?linkid=870924
Comment:
    Apoya supervision de Mari Mariño</t>
      </text>
    </comment>
    <comment ref="G227" authorId="42" shapeId="0" xr:uid="{4F48FF2F-804C-467F-BF3E-6A7BD2C0F132}">
      <text>
        <t>[Threaded comment]
Your version of Excel allows you to read this threaded comment; however, any edits to it will get removed if the file is opened in a newer version of Excel. Learn more: https://go.microsoft.com/fwlink/?linkid=870924
Comment:
    siempre estuvo laborando en 4103</t>
      </text>
    </comment>
    <comment ref="H235" authorId="43" shapeId="0" xr:uid="{705F229C-6128-4C67-B260-368E64910EC1}">
      <text>
        <t>[Threaded comment]
Your version of Excel allows you to read this threaded comment; however, any edits to it will get removed if the file is opened in a newer version of Excel. Learn more: https://go.microsoft.com/fwlink/?linkid=870924
Comment:
    Apoyo de la G2D2 por 2 dias</t>
      </text>
    </comment>
    <comment ref="H236" authorId="44" shapeId="0" xr:uid="{34EB25FA-A522-4CD8-BE77-E65BA424F712}">
      <text>
        <t>[Threaded comment]
Your version of Excel allows you to read this threaded comment; however, any edits to it will get removed if the file is opened in a newer version of Excel. Learn more: https://go.microsoft.com/fwlink/?linkid=870924
Comment:
    Apoyo de la G2D2 por 2 dias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tc={DE134800-2C04-4B6F-A6F8-76699625BACD}</author>
    <author>tc={E7F50F7F-A398-4051-B8D9-711D35078724}</author>
  </authors>
  <commentList>
    <comment ref="L1" authorId="0" shapeId="0" xr:uid="{DE134800-2C04-4B6F-A6F8-76699625BACD}">
      <text>
        <t>[Threaded comment]
Your version of Excel allows you to read this threaded comment; however, any edits to it will get removed if the file is opened in a newer version of Excel. Learn more: https://go.microsoft.com/fwlink/?linkid=870924
Comment:
    Diciembre tiene 21 dh</t>
      </text>
    </comment>
    <comment ref="J13" authorId="1" shapeId="0" xr:uid="{E7F50F7F-A398-4051-B8D9-711D35078724}">
      <text>
        <t>[Threaded comment]
Your version of Excel allows you to read this threaded comment; however, any edits to it will get removed if the file is opened in a newer version of Excel. Learn more: https://go.microsoft.com/fwlink/?linkid=870924
Comment:
    Apoyo de colaborador de la unidad 7U5201</t>
      </text>
    </comment>
  </commentList>
</comments>
</file>

<file path=xl/sharedStrings.xml><?xml version="1.0" encoding="utf-8"?>
<sst xmlns="http://schemas.openxmlformats.org/spreadsheetml/2006/main" count="1769" uniqueCount="720">
  <si>
    <t>Cargo</t>
  </si>
  <si>
    <t>CAS</t>
  </si>
  <si>
    <t>ESPECIALISTA 1</t>
  </si>
  <si>
    <t>ESPECIALISTA 2</t>
  </si>
  <si>
    <t>ESPECIALISTA 3</t>
  </si>
  <si>
    <t>ESPECIALISTA 4</t>
  </si>
  <si>
    <t>ESPECIALISTA 5</t>
  </si>
  <si>
    <t xml:space="preserve">GERENTE </t>
  </si>
  <si>
    <t>Jefe de División</t>
  </si>
  <si>
    <t>Monitor</t>
  </si>
  <si>
    <t>Supervisor</t>
  </si>
  <si>
    <t>TÉCNICO 3</t>
  </si>
  <si>
    <t>Nro. De Orden</t>
  </si>
  <si>
    <t>UUOO</t>
  </si>
  <si>
    <t>Gerencia/División/Supervisión</t>
  </si>
  <si>
    <t>Cod Res</t>
  </si>
  <si>
    <t>Apellidos y Nombres</t>
  </si>
  <si>
    <t>UNIDAD DE APOYO COMPARTIDO</t>
  </si>
  <si>
    <t>TIEMPO DE APOYO (dh)</t>
  </si>
  <si>
    <t>LICENCIA Y/O VACACIONES  (dh)</t>
  </si>
  <si>
    <t>DIAS LABORADOS</t>
  </si>
  <si>
    <t>encargatura de div/supervision</t>
  </si>
  <si>
    <t>Dias hábiles del mes</t>
  </si>
  <si>
    <t>Resolutor efectivo</t>
  </si>
  <si>
    <t>7U4000</t>
  </si>
  <si>
    <t>GERENCIA DE ADMISIBILIDAD Y CUMPLIMIENTO</t>
  </si>
  <si>
    <t>2050</t>
  </si>
  <si>
    <t>SOTO MONTEJOS JOHNNY</t>
  </si>
  <si>
    <t>7U4100</t>
  </si>
  <si>
    <t xml:space="preserve">DIVISIÓN DE ADMISIBILIDAD Y PROGRAMACIÓN </t>
  </si>
  <si>
    <t>9312</t>
  </si>
  <si>
    <t>MARTINEZ LARA CESAR CARLOS</t>
  </si>
  <si>
    <t>7U4101</t>
  </si>
  <si>
    <t>SUPERVISIÓN DE LA DIVISIÓN DE ADMISIBILIDAD Y PROGRAMACIÓN - SUP. 1</t>
  </si>
  <si>
    <t>6173</t>
  </si>
  <si>
    <t>VILLALBA CABRERA ALVARO JAVIER</t>
  </si>
  <si>
    <t>7U4102</t>
  </si>
  <si>
    <t>SUPERVISIÓN DE LA DIVISIÓN DE ADMISIBILIDAD Y PROGRAMACIÓN - SUP. 2</t>
  </si>
  <si>
    <t>2405</t>
  </si>
  <si>
    <t>MARIÑO ADRIANZEN MARIA ISABEL</t>
  </si>
  <si>
    <t>7U4103</t>
  </si>
  <si>
    <t>SUPERVISIÓN DE LA DIVISIÓN DE ADMISIBILIDAD Y PROGRAMACIÓN - SUP. 3</t>
  </si>
  <si>
    <t>8548</t>
  </si>
  <si>
    <t>ZAMORA CORTEZ DEYSI MAGNOLI</t>
  </si>
  <si>
    <t>7U4104</t>
  </si>
  <si>
    <t>SUPERVISIÓN DE LA DIVISIÓN DE ADMISIBILIDAD Y PROGRAMACIÓN - SUP. 4</t>
  </si>
  <si>
    <t>7359</t>
  </si>
  <si>
    <t>GAMARRA CHUCLE MELISSA ISABEL</t>
  </si>
  <si>
    <t>E.5</t>
  </si>
  <si>
    <t>SUPERVISIÓN DE LA DIVISIÓN DE ADMISIBILIDAD Y PROGRAMACIÓN - E.5</t>
  </si>
  <si>
    <t>879A</t>
  </si>
  <si>
    <t>REYES SANCHEZ JUAN CARLOS</t>
  </si>
  <si>
    <t>E.6</t>
  </si>
  <si>
    <t>SUPERVISIÓN DE LA DIVISIÓN DE ADMISIBILIDAD Y PROGRAMACIÓN - E.6</t>
  </si>
  <si>
    <t>9878</t>
  </si>
  <si>
    <t>MIGUEL DE LA CRUZ, MARIA ELENA</t>
  </si>
  <si>
    <t>DIAS LABORADOS (dh)</t>
  </si>
  <si>
    <t>ENCARGATURA POR VACACIONES/LICENCIA DE JEFE /SUPERVISOR (dh)</t>
  </si>
  <si>
    <t>7U4200</t>
  </si>
  <si>
    <t>DIVISIÓN DE CUMPLIMIENTO</t>
  </si>
  <si>
    <t>AMAYA FARFAN ZOILO JAVIER</t>
  </si>
  <si>
    <t>JEFE DE DIVISIÓN DE CUMPLIMIENTO</t>
  </si>
  <si>
    <t/>
  </si>
  <si>
    <t>7U4201</t>
  </si>
  <si>
    <t>SUPERVISIÓN DE LA DIVISIÓN DE CUMPLIMIENTO - SUP. 1</t>
  </si>
  <si>
    <t>OCHOA LUNA MARGOT JUDY</t>
  </si>
  <si>
    <t>SUPERVISOR</t>
  </si>
  <si>
    <t>7U4202</t>
  </si>
  <si>
    <t>SUPERVISIÓN DE LA DIVISIÓN DE CUMPLIMIENTO - SUP. 2</t>
  </si>
  <si>
    <t>MARQUEZ SANGUINETTI GIOVANNA MARIA</t>
  </si>
  <si>
    <t>7U4203</t>
  </si>
  <si>
    <t>SUPERVISIÓN DE LA DIVISIÓN DE CUMPLIMIENTO - SUP. 3</t>
  </si>
  <si>
    <t>GUILLERMO GARCIA CESAR AUGUSTO</t>
  </si>
  <si>
    <t>7U4204</t>
  </si>
  <si>
    <t>SUPERVISIÓN DE LA DIVISIÓN DE CUMPLIMIENTO - SUP. 4</t>
  </si>
  <si>
    <t>PAZ GASTAÑAGA GABRIELA</t>
  </si>
  <si>
    <t>7U5000</t>
  </si>
  <si>
    <t>GERENCIA DE ANÁLISIS DE FONDO DE TRIBUTOS I</t>
  </si>
  <si>
    <t>7807</t>
  </si>
  <si>
    <t>REYES MORÓN ALLAN DYCK</t>
  </si>
  <si>
    <t>7U5100</t>
  </si>
  <si>
    <t>DIVISIÓN DE RECLAMACIONES I</t>
  </si>
  <si>
    <t>6883</t>
  </si>
  <si>
    <t>MELGAREJO SILVA EDUARDO ANDERSON</t>
  </si>
  <si>
    <t>7U5101</t>
  </si>
  <si>
    <t>SUPERVISIÓN DE LA DIVISIÓN DE RECLAMACIONES I - SUP. 1</t>
  </si>
  <si>
    <t>7793</t>
  </si>
  <si>
    <t>TUNQUE FLORES OLINDA</t>
  </si>
  <si>
    <t>XXXX</t>
  </si>
  <si>
    <t>Javier Martinez García</t>
  </si>
  <si>
    <t>7U5202</t>
  </si>
  <si>
    <t>7U5102</t>
  </si>
  <si>
    <t>SUPERVISIÓN DE LA DIVISIÓN DE RECLAMACIONES I - SUP. 2</t>
  </si>
  <si>
    <t>6315</t>
  </si>
  <si>
    <t>7U5103</t>
  </si>
  <si>
    <t>SUPERVISIÓN DE LA DIVISIÓN DE RECLAMACIONES I - SUP. 3</t>
  </si>
  <si>
    <t>9309</t>
  </si>
  <si>
    <t>MARTINEZ INCHE ISELA ELENA</t>
  </si>
  <si>
    <t>7U5200</t>
  </si>
  <si>
    <t>DIVISIÓN DE RECLAMACIONES II</t>
  </si>
  <si>
    <t>4071</t>
  </si>
  <si>
    <t>PINEDO BUNSEN SOFIA FRANCISCA</t>
  </si>
  <si>
    <t>7U5201</t>
  </si>
  <si>
    <t>SUPERVISIÓN DE LA DIVISIÓN DE RECLAMACIONES II - SUP. 1</t>
  </si>
  <si>
    <t>2192</t>
  </si>
  <si>
    <t>ALVIS TAFUR ALICIA SOLEDAD</t>
  </si>
  <si>
    <t>4033</t>
  </si>
  <si>
    <t>PINELO RISCO PERCY SIMON</t>
  </si>
  <si>
    <t>9311</t>
  </si>
  <si>
    <t>USCCA ALARCON LIZETH VANESSA</t>
  </si>
  <si>
    <t>3683</t>
  </si>
  <si>
    <t>GARCIA DAVILA DORIS ROXANA</t>
  </si>
  <si>
    <t>6089</t>
  </si>
  <si>
    <t>RAMOS MONTENEGRO LUIS ALBERTO</t>
  </si>
  <si>
    <t>4034</t>
  </si>
  <si>
    <t>REYES SARMIENTO JAVIER ENRIQUE</t>
  </si>
  <si>
    <t>3591</t>
  </si>
  <si>
    <t>MARTEL VERAMENDI MIGUEL ANTONIO</t>
  </si>
  <si>
    <t>2383</t>
  </si>
  <si>
    <t>FRISANCHO CONTRERAS YAMILETH VANESSA</t>
  </si>
  <si>
    <t>3680</t>
  </si>
  <si>
    <t>ALVAREZ NEUMANN MARTIN JORGE</t>
  </si>
  <si>
    <t>SUPERVISIÓN DE LA DIVISIÓN DE RECLAMACIONES II - SUP. 2</t>
  </si>
  <si>
    <t>9995</t>
  </si>
  <si>
    <t>DIAZ MARROQUIN MARIA DEL CARMEN</t>
  </si>
  <si>
    <t>9310</t>
  </si>
  <si>
    <t>ROMAN YRIGOIN DIANA ELIZABETH</t>
  </si>
  <si>
    <t>2178</t>
  </si>
  <si>
    <t>BELLOTA CARRASCO MIRYAM GIANCARLA</t>
  </si>
  <si>
    <t>2008</t>
  </si>
  <si>
    <t>PERALTA PEREZ OMAR</t>
  </si>
  <si>
    <t>3791</t>
  </si>
  <si>
    <t>BARRIGA DEL BARCO LENA ALEXEY</t>
  </si>
  <si>
    <t>8672</t>
  </si>
  <si>
    <t>CORTEGANA HERNANDEZ JHOSSAN CRHISTIAN</t>
  </si>
  <si>
    <t>7789</t>
  </si>
  <si>
    <t>CONTRERAS ALVA CRISTHIAN ORLANDO</t>
  </si>
  <si>
    <t>RB97</t>
  </si>
  <si>
    <r>
      <t xml:space="preserve">PUSCAN BAZALAR KEVIN XAVIER </t>
    </r>
    <r>
      <rPr>
        <vertAlign val="superscript"/>
        <sz val="10"/>
        <rFont val="Calibri"/>
        <family val="2"/>
        <scheme val="minor"/>
      </rPr>
      <t>3/</t>
    </r>
  </si>
  <si>
    <t>3625</t>
  </si>
  <si>
    <t>CARRILLO SERNA BRENDA (contadora)</t>
  </si>
  <si>
    <t>Especialista 4</t>
  </si>
  <si>
    <t>7U6000</t>
  </si>
  <si>
    <t>6290</t>
  </si>
  <si>
    <t>LADINES LEON JULIO CESAR</t>
  </si>
  <si>
    <t>7U5300</t>
  </si>
  <si>
    <t>DIVISIÓN DE RECLAMACIONES III</t>
  </si>
  <si>
    <t>6849</t>
  </si>
  <si>
    <t>PIZARRO ZEVALLOS NANCY MARIA</t>
  </si>
  <si>
    <t>3954</t>
  </si>
  <si>
    <t>ARIZABAL CASTILLA IDALIA</t>
  </si>
  <si>
    <t>5054</t>
  </si>
  <si>
    <t>HUAMAN JURADO CARLOS FRANCISCO</t>
  </si>
  <si>
    <t xml:space="preserve">	7U5300</t>
  </si>
  <si>
    <t>9872</t>
  </si>
  <si>
    <t>MEDINA PAREJA NADIA KATERINE</t>
  </si>
  <si>
    <t>7426</t>
  </si>
  <si>
    <t>PERICH MAGAN CLAUDIA CARMELA</t>
  </si>
  <si>
    <t>6815</t>
  </si>
  <si>
    <t>CASANOVA RONDOY CARLOS HUMBERTO</t>
  </si>
  <si>
    <t>0563</t>
  </si>
  <si>
    <t>GUTIERREZ VARGAS DARIO FREDY</t>
  </si>
  <si>
    <t>SUPERVISIÓN DE LA DIVISIÓN DE RECLAMACIONES II - SUP. 5</t>
  </si>
  <si>
    <t>7000</t>
  </si>
  <si>
    <t>AGUILAR PLASCENCIA MARIA LUISA</t>
  </si>
  <si>
    <t>7U5301</t>
  </si>
  <si>
    <t>SUPERVISIÓN DE LA DIVISIÓN DE RECLAMACIONES III - SUP. 1</t>
  </si>
  <si>
    <t>2011</t>
  </si>
  <si>
    <t>RAMIREZ BORJAS MANUEL ENRIQUE</t>
  </si>
  <si>
    <t>7363</t>
  </si>
  <si>
    <t>RAMOS SILVA GLORIA</t>
  </si>
  <si>
    <t>1952</t>
  </si>
  <si>
    <t>CADENAS CARRILLO MIGUEL ALFREDO</t>
  </si>
  <si>
    <t>0394</t>
  </si>
  <si>
    <t>GARIBAY CISNEROS CARLOS RUBEN</t>
  </si>
  <si>
    <t>RZ04</t>
  </si>
  <si>
    <t>ACASIETE ARCE CARLA LUCERO ISABEL</t>
  </si>
  <si>
    <t>AT54</t>
  </si>
  <si>
    <t>CALLOMAMANI AROCUTIPA JAEL</t>
  </si>
  <si>
    <t>2407</t>
  </si>
  <si>
    <t>MORALES SEMINARIO EDGARD RICARDO</t>
  </si>
  <si>
    <t>7189</t>
  </si>
  <si>
    <t>GARCIA VERASTEGUI SANDRA MAGDALENA</t>
  </si>
  <si>
    <t>7U5400</t>
  </si>
  <si>
    <t>DIVISIÓN DE RECLAMACIONES IV</t>
  </si>
  <si>
    <t>9994</t>
  </si>
  <si>
    <t>VERA LIMAYMANTA ANA KATHERINE</t>
  </si>
  <si>
    <t>7U5401</t>
  </si>
  <si>
    <t>SUPERVISIÓN DE LA DIVISIÓN DE RECLAMACIONES IV - SUP. 1</t>
  </si>
  <si>
    <t>2173</t>
  </si>
  <si>
    <t>BEDOYA ARBAÑIL CLAUDIA GABRIELA</t>
  </si>
  <si>
    <t>7799</t>
  </si>
  <si>
    <t>JURADO CORIMANYA ERIKA EDITH</t>
  </si>
  <si>
    <t>2200</t>
  </si>
  <si>
    <t>ROSAS GAMERO KATHERINE LUCRECIA</t>
  </si>
  <si>
    <t>5084</t>
  </si>
  <si>
    <t>OTAROLA DAVILA SILVIA ADELA</t>
  </si>
  <si>
    <t xml:space="preserve">7U5102 </t>
  </si>
  <si>
    <t>6355</t>
  </si>
  <si>
    <t>TORRES VALENCIA STEINZY (contadora)</t>
  </si>
  <si>
    <t>Especialista 3</t>
  </si>
  <si>
    <t>6894</t>
  </si>
  <si>
    <t>RODRIGUEZ RUIZ LILLIAM FABIOLA</t>
  </si>
  <si>
    <t>2182</t>
  </si>
  <si>
    <t>VASQUEZ TORRES ELIANA GIOVANNA</t>
  </si>
  <si>
    <t>4167</t>
  </si>
  <si>
    <t>ESPADA SIRI CARLOS HUGO</t>
  </si>
  <si>
    <t>3744</t>
  </si>
  <si>
    <t>SALAS COLQUE JAVIER MENDELL</t>
  </si>
  <si>
    <t>2213</t>
  </si>
  <si>
    <t>APAZA ZEBALLOS ROSARIO DEL PILAR</t>
  </si>
  <si>
    <t>4182</t>
  </si>
  <si>
    <t>SOTOMAYOR SALAS MILTON FLAVIO</t>
  </si>
  <si>
    <t>3581</t>
  </si>
  <si>
    <t>ESCOBAR GUZMAN CLAUDIA BEATRIZ</t>
  </si>
  <si>
    <t>3580</t>
  </si>
  <si>
    <t>DIAZ NUÑEZ PATRICIA MARIA</t>
  </si>
  <si>
    <t>7U5402</t>
  </si>
  <si>
    <t>SUPERVISIÓN DE LA DIVISIÓN DE RECLAMACIONES IV - SUP. 2</t>
  </si>
  <si>
    <t>6292</t>
  </si>
  <si>
    <t>LEON YOSHIDO SONIA NERIDA</t>
  </si>
  <si>
    <t>8704</t>
  </si>
  <si>
    <t>ESPINOZA CORDOVA CLAUDIA STEFANNY</t>
  </si>
  <si>
    <t>2051</t>
  </si>
  <si>
    <t>QUISPE LINGAN JUAN MANUEL</t>
  </si>
  <si>
    <t>3931</t>
  </si>
  <si>
    <t>CASTILLO ZEGARRA CARMEN GIOVANNA</t>
  </si>
  <si>
    <t>3964</t>
  </si>
  <si>
    <t>SANCHEZ VILLANUEVA MARIA DEL CARMEN</t>
  </si>
  <si>
    <t>1324</t>
  </si>
  <si>
    <t>ULLOA VASQUEZ EMILIANO WILFREDO</t>
  </si>
  <si>
    <t>3865</t>
  </si>
  <si>
    <t>PASTOR RAMIREZ MARIO FERNANDO</t>
  </si>
  <si>
    <t>3452</t>
  </si>
  <si>
    <t>GARRIDO SILVA CECILIA</t>
  </si>
  <si>
    <t>7279</t>
  </si>
  <si>
    <t>MARTINEZ ARBOLEDA, NANCY ROSSANA</t>
  </si>
  <si>
    <t>MELENDREZ TEMOCHE NIZA</t>
  </si>
  <si>
    <t>GERENCIA DE ANÁLISIS DE FONDO DE TRIBUTOS II</t>
  </si>
  <si>
    <t>4184</t>
  </si>
  <si>
    <t>VELEZ ZEVALLOS SILVIA VERONICA</t>
  </si>
  <si>
    <t>7U6100</t>
  </si>
  <si>
    <t>6798</t>
  </si>
  <si>
    <t>GARCIA CRUZ KARINA VANESSA</t>
  </si>
  <si>
    <t>7U6300</t>
  </si>
  <si>
    <t>QY81</t>
  </si>
  <si>
    <t>ASTORGA REQUENA DE VELASQUEZ, SANDRA KARINA</t>
  </si>
  <si>
    <t>AP58</t>
  </si>
  <si>
    <t>HERRERA AZNARAN, JAVIER ALFREDO</t>
  </si>
  <si>
    <t>7U6101</t>
  </si>
  <si>
    <t>8929</t>
  </si>
  <si>
    <t>ZAVALAGA TEJADA CINTHYA ANAHI</t>
  </si>
  <si>
    <t xml:space="preserve"> 7U6101</t>
  </si>
  <si>
    <t>9857</t>
  </si>
  <si>
    <t>TRUJILLO ALVAREZ LIZBET</t>
  </si>
  <si>
    <t>9314</t>
  </si>
  <si>
    <t>GUTIERREZ ZEVALLOS JUANA GUSTIN</t>
  </si>
  <si>
    <t>8655</t>
  </si>
  <si>
    <t>CORONADO MILLONES LUIS ENRIQUE</t>
  </si>
  <si>
    <t>8087</t>
  </si>
  <si>
    <t>VANCES AGUILA IRMA AMALIA</t>
  </si>
  <si>
    <t>8626</t>
  </si>
  <si>
    <t>GAVIDIA CHING ANDREA NATALIA</t>
  </si>
  <si>
    <t>8838</t>
  </si>
  <si>
    <t>DAVILA DEL AGUILA ANTONIO EDUARDO</t>
  </si>
  <si>
    <t xml:space="preserve">7U6101 </t>
  </si>
  <si>
    <t>4041</t>
  </si>
  <si>
    <t>VIDAL TEMOCHE FRANKLIN KENNEDY</t>
  </si>
  <si>
    <t>1175</t>
  </si>
  <si>
    <t>CORONEL NUÑEZ RODNEY FERNANDO</t>
  </si>
  <si>
    <t>0240</t>
  </si>
  <si>
    <t>PODESTA GUTARRA SERGIO FERNANDO</t>
  </si>
  <si>
    <t>7U6102</t>
  </si>
  <si>
    <t>7800</t>
  </si>
  <si>
    <t>MELGAR MARAZA MARIANELLA LUCERO</t>
  </si>
  <si>
    <t>2385</t>
  </si>
  <si>
    <t>DE LA CRUZ ORELLANA RICHARD FREDY</t>
  </si>
  <si>
    <t xml:space="preserve"> 7U6102</t>
  </si>
  <si>
    <t>8764</t>
  </si>
  <si>
    <t>AVILA SAAVEDRA ANDY EMMANUEL</t>
  </si>
  <si>
    <t>9318</t>
  </si>
  <si>
    <t>HORNA GUEVARA PEDRO ANTONIO</t>
  </si>
  <si>
    <t>9367</t>
  </si>
  <si>
    <t>QUISPE VILCA MELISSA KATHERINE</t>
  </si>
  <si>
    <t>6873</t>
  </si>
  <si>
    <t>BENAVENTE ALANOCA DANITZA LILIANA</t>
  </si>
  <si>
    <t>6871</t>
  </si>
  <si>
    <t>RIVERA ACOSTA MARIA ANTONIETA</t>
  </si>
  <si>
    <t>2029</t>
  </si>
  <si>
    <t>RODRIGUEZ CARO JULIA YSABEL</t>
  </si>
  <si>
    <t>8264</t>
  </si>
  <si>
    <t>RODRIGUEZ RAMIREZ CARMEN MILAGRO BERTHA</t>
  </si>
  <si>
    <t>8081</t>
  </si>
  <si>
    <r>
      <rPr>
        <b/>
        <sz val="10"/>
        <color rgb="FF000000"/>
        <rFont val="Calibri"/>
        <family val="2"/>
        <scheme val="minor"/>
      </rPr>
      <t>SUTTA QUISPE NAYU</t>
    </r>
    <r>
      <rPr>
        <b/>
        <sz val="10"/>
        <color rgb="FF000000"/>
        <rFont val="Arial"/>
        <family val="2"/>
      </rPr>
      <t xml:space="preserve"> (abogada) </t>
    </r>
  </si>
  <si>
    <t>Especialista 1</t>
  </si>
  <si>
    <t>8698</t>
  </si>
  <si>
    <t>Tocto Gómez Renzo Ronald (abogado)</t>
  </si>
  <si>
    <t>7U6202</t>
  </si>
  <si>
    <t>6268</t>
  </si>
  <si>
    <t>DAVILA REAÑO JACQUELINE DEL ROSARIO</t>
  </si>
  <si>
    <t>4209</t>
  </si>
  <si>
    <t>DELGADO SEMINARIO LUCY LOURDES</t>
  </si>
  <si>
    <t>944A</t>
  </si>
  <si>
    <t>URBINA COELLO NICOLE VALERIA</t>
  </si>
  <si>
    <t>1590</t>
  </si>
  <si>
    <t>BORREGO REYES VICTOR JOSE</t>
  </si>
  <si>
    <t>1657</t>
  </si>
  <si>
    <t>ESPINOZA LLANOS FABIOLA LIBERTAD</t>
  </si>
  <si>
    <t>1419</t>
  </si>
  <si>
    <t>CERDEÑA RODRIGUEZ YTALO</t>
  </si>
  <si>
    <t>AQ48</t>
  </si>
  <si>
    <t>LÓPEZ AGÜERO DELIA KATHERINE</t>
  </si>
  <si>
    <t>9383</t>
  </si>
  <si>
    <t>ORE ROMERO VLADIMIR CARLOS</t>
  </si>
  <si>
    <t>9870</t>
  </si>
  <si>
    <t>VASQUEZ PACHERRES MIGUEL ANGEL</t>
  </si>
  <si>
    <t>8927</t>
  </si>
  <si>
    <t>QUILLATUPA ARANCIAGA SHARON LIZ</t>
  </si>
  <si>
    <t>7U6200</t>
  </si>
  <si>
    <t>1453</t>
  </si>
  <si>
    <t>ORTIZ CORTEZ CARMEN DEL ROCIO</t>
  </si>
  <si>
    <t>QZ05</t>
  </si>
  <si>
    <t>RODRIGUEZ VASQUEZ, PEDRO PABLO ROBERTO</t>
  </si>
  <si>
    <t>RB46</t>
  </si>
  <si>
    <t>AGÜERO CALERO, KATTERIN ESTEFANY</t>
  </si>
  <si>
    <t>7U6201</t>
  </si>
  <si>
    <t>1311</t>
  </si>
  <si>
    <t>PORTUGAL GOMEZ, JENNY KARIM</t>
  </si>
  <si>
    <t>7722</t>
  </si>
  <si>
    <t>OLIVERA ALCCA ELIAS</t>
  </si>
  <si>
    <t>6681</t>
  </si>
  <si>
    <t>VALDEZ VELAZCO SILDA</t>
  </si>
  <si>
    <t>Procuraduría</t>
  </si>
  <si>
    <t>9415</t>
  </si>
  <si>
    <t>GUTIERREZ CARHUAMACA ANDREA MARITZA</t>
  </si>
  <si>
    <t>583A</t>
  </si>
  <si>
    <t>CAIRAMPOMA ZUMARAN ANTHONY ABEL</t>
  </si>
  <si>
    <t>711A</t>
  </si>
  <si>
    <r>
      <t>GOICOCHEA GOICOCHEA WINY TATIANA</t>
    </r>
    <r>
      <rPr>
        <vertAlign val="superscript"/>
        <sz val="10"/>
        <rFont val="Calibri"/>
        <family val="2"/>
        <scheme val="minor"/>
      </rPr>
      <t xml:space="preserve"> 2/</t>
    </r>
  </si>
  <si>
    <t>7973</t>
  </si>
  <si>
    <t>HURTADO SIERRA ALINA CECILIA</t>
  </si>
  <si>
    <t>4013</t>
  </si>
  <si>
    <t>VERA LAZO MARIA ELENA</t>
  </si>
  <si>
    <t>RJ21</t>
  </si>
  <si>
    <t>SAAVEDRA OCHAVANO BRENDA LICENIA</t>
  </si>
  <si>
    <t>1913</t>
  </si>
  <si>
    <t>CHAVEZ ROMERO LEYLA</t>
  </si>
  <si>
    <t>9852</t>
  </si>
  <si>
    <t>ANDIA FLORES MELISSA DIANY</t>
  </si>
  <si>
    <t>7U6203</t>
  </si>
  <si>
    <t>SUPERVISIÓN DE LA DIVISIÓN DE RECLAMACIONES II - SUP. 3</t>
  </si>
  <si>
    <t>0285</t>
  </si>
  <si>
    <t>ORELLANA MORANTE MERCEDES TERESA</t>
  </si>
  <si>
    <t>7108</t>
  </si>
  <si>
    <t>GONZALEZ ZUÑIGA ODA GRACIELA CECILIA</t>
  </si>
  <si>
    <t>671A</t>
  </si>
  <si>
    <t>DIAZ RAMIREZ CESAR ABRAHAM</t>
  </si>
  <si>
    <t>7762</t>
  </si>
  <si>
    <t>RUIZ FLORES MIGUEL</t>
  </si>
  <si>
    <t>1956</t>
  </si>
  <si>
    <t>CARDICH MENACHO WILLIAM ANATOLY</t>
  </si>
  <si>
    <t>7373</t>
  </si>
  <si>
    <t>HERRERA GOÑI LILIAN SHEILA</t>
  </si>
  <si>
    <t>1389</t>
  </si>
  <si>
    <t>NUÑEZ CANCINO FLOR DE MARIA</t>
  </si>
  <si>
    <t>RB85</t>
  </si>
  <si>
    <t>ANGULO GAMARRA SUSANA EMPERATRIZ</t>
  </si>
  <si>
    <t>9060</t>
  </si>
  <si>
    <t>TUPAYACHI ABARCA MILWAY WILFREDO</t>
  </si>
  <si>
    <t>7U6204</t>
  </si>
  <si>
    <t>SUPERVISIÓN DE LA DIVISIÓN DE RECLAMACIONES II - SUP. 4</t>
  </si>
  <si>
    <t>1455</t>
  </si>
  <si>
    <t>PELAES CARPIO SONIA ALICIA</t>
  </si>
  <si>
    <t>6227</t>
  </si>
  <si>
    <t>TALLEDO NEYRA MARIA ELIZABETH</t>
  </si>
  <si>
    <t>3716</t>
  </si>
  <si>
    <t>CHIRIBOGA RODRIGUEZ SMILDZHINIA LOURDES</t>
  </si>
  <si>
    <t>3989</t>
  </si>
  <si>
    <t>SANCHEZ CHAVEZ MARITZA</t>
  </si>
  <si>
    <t>3897</t>
  </si>
  <si>
    <t>SALINAS ASCENCIO JOSE LUIS</t>
  </si>
  <si>
    <t>0150</t>
  </si>
  <si>
    <r>
      <t xml:space="preserve">NEYRA ORTEGA LILIANA RAQUEL </t>
    </r>
    <r>
      <rPr>
        <vertAlign val="superscript"/>
        <sz val="10"/>
        <rFont val="Calibri"/>
        <family val="2"/>
        <scheme val="minor"/>
      </rPr>
      <t>1/</t>
    </r>
  </si>
  <si>
    <t>0265</t>
  </si>
  <si>
    <t>ROJAS LUCANAS ELER ANTONIO</t>
  </si>
  <si>
    <t>9881</t>
  </si>
  <si>
    <t>OTINIANO LIÑAN JOEL ULISES</t>
  </si>
  <si>
    <t>8632</t>
  </si>
  <si>
    <t>SERNAQUE RAMIREZ JONATHAN JESUS</t>
  </si>
  <si>
    <t>7U6205</t>
  </si>
  <si>
    <t>4161</t>
  </si>
  <si>
    <t>ALVAREZ SOLIS CARLOS ALBERTO</t>
  </si>
  <si>
    <t>9286</t>
  </si>
  <si>
    <t>GARAVITO JUNES ROCIO DEL PILAR</t>
  </si>
  <si>
    <t>535A</t>
  </si>
  <si>
    <t>ALBERCA FERNANDEZ VANIA ELIZABETH</t>
  </si>
  <si>
    <t>824A</t>
  </si>
  <si>
    <t>NUÑEZ REATEGUI CAROL ALMENDRA</t>
  </si>
  <si>
    <t>6656</t>
  </si>
  <si>
    <t>GOMEZ CAMPOS HELEN LOURDES</t>
  </si>
  <si>
    <t>3717</t>
  </si>
  <si>
    <t>CURUCHAGA ZEVALLOS LILIAN FATIMA</t>
  </si>
  <si>
    <t>8685</t>
  </si>
  <si>
    <t>CAMPODONICO MACAZANA HUMBERTO</t>
  </si>
  <si>
    <t>8873</t>
  </si>
  <si>
    <t>DE LA CRUZ MERCADO EVER DENNIS</t>
  </si>
  <si>
    <t>3620</t>
  </si>
  <si>
    <t>SANCHEZ ROBLEDO JORGE TRIFON</t>
  </si>
  <si>
    <t>AT70</t>
  </si>
  <si>
    <t>VALDIVIA VARGAS WALTER</t>
  </si>
  <si>
    <t>8898</t>
  </si>
  <si>
    <t>BEJARANO PEREZ HENRY PIERRE</t>
  </si>
  <si>
    <t>QU58</t>
  </si>
  <si>
    <t>FELIX HUAMAN, KARINA ROCIO</t>
  </si>
  <si>
    <t>RJ04</t>
  </si>
  <si>
    <t>PICOAGA VALDIVIA, ANGELICA MARIA</t>
  </si>
  <si>
    <t>AO29</t>
  </si>
  <si>
    <t xml:space="preserve">	ROJAS ALCARRAZ, CRISS JENNYFER</t>
  </si>
  <si>
    <t>7U6301</t>
  </si>
  <si>
    <t>6273</t>
  </si>
  <si>
    <t>ESPINOZA RUIZ NAYELY CLEMENTINA</t>
  </si>
  <si>
    <t>0344</t>
  </si>
  <si>
    <t>SANCHEZ RAEZ ROSARIO ENCARNACION</t>
  </si>
  <si>
    <t>667A</t>
  </si>
  <si>
    <t>DIAZ BULLON JUAN RENATO</t>
  </si>
  <si>
    <t>668A</t>
  </si>
  <si>
    <t>DIAZ HUAMAN EDUARDO ALEJANDRO</t>
  </si>
  <si>
    <t>7T1004</t>
  </si>
  <si>
    <t>6954</t>
  </si>
  <si>
    <t>TORALVA GONZALES CARMEN DEL PILAR</t>
  </si>
  <si>
    <t>7773</t>
  </si>
  <si>
    <t>TINTAYA ALANOCCA LUZ YANET</t>
  </si>
  <si>
    <t>7247</t>
  </si>
  <si>
    <t>CAJACHAGUA GOZALVES NICOLAS ENRIQUE</t>
  </si>
  <si>
    <t>7N0302</t>
  </si>
  <si>
    <t>1381</t>
  </si>
  <si>
    <t>QUIROZ BARCO MARIA ANTONIETA</t>
  </si>
  <si>
    <t>8694</t>
  </si>
  <si>
    <t>RIVAS ALARCON PAULINA</t>
  </si>
  <si>
    <t>0231</t>
  </si>
  <si>
    <t>OSORIO SANDOVAL ROXANA MILAGROS</t>
  </si>
  <si>
    <t>9244</t>
  </si>
  <si>
    <t>ANGELES TAPIA, ALEXANDER FREDDY</t>
  </si>
  <si>
    <t>8722</t>
  </si>
  <si>
    <t>VIZCARRA PASTOR NADIA LISSETTE</t>
  </si>
  <si>
    <t>7U6302</t>
  </si>
  <si>
    <t>SUPERVISIÓN DE LA DIVISIÓN DE RECLAMACIONES III - SUP. 2</t>
  </si>
  <si>
    <t>8198</t>
  </si>
  <si>
    <t>FALCON BUSTAMANTE ADOLFO EDUARDO</t>
  </si>
  <si>
    <t>580A</t>
  </si>
  <si>
    <t>CABRERA DIAZ GERALDINE</t>
  </si>
  <si>
    <t>8269</t>
  </si>
  <si>
    <t>ROMAN CACERES CARLA LUISA</t>
  </si>
  <si>
    <t>902A</t>
  </si>
  <si>
    <t>SALAZAR MERA EDSGAR</t>
  </si>
  <si>
    <t>8921</t>
  </si>
  <si>
    <t>LEON VEGA MARIA DEL ROSARIO</t>
  </si>
  <si>
    <t>6799</t>
  </si>
  <si>
    <t>HUAMAN ROMERO DANNY GLORIA</t>
  </si>
  <si>
    <t>3870</t>
  </si>
  <si>
    <t>VELIZ PALMA CESAR LUIS</t>
  </si>
  <si>
    <t>0528</t>
  </si>
  <si>
    <t>MARRUFFO BERROA MIRIAM VIOLETA</t>
  </si>
  <si>
    <t>6500</t>
  </si>
  <si>
    <t>ABANTO SARAVIA WALTER ROBERT</t>
  </si>
  <si>
    <t>9414</t>
  </si>
  <si>
    <t>POZO QUISPE JESUS MANUEL</t>
  </si>
  <si>
    <t>7U6303</t>
  </si>
  <si>
    <t>SUPERVISIÓN DE LA DIVISIÓN DE RECLAMACIONES III - SUP. 3</t>
  </si>
  <si>
    <t>3626</t>
  </si>
  <si>
    <t>CHAPILLIQUEN PRADO FRANCISCO</t>
  </si>
  <si>
    <t>1409</t>
  </si>
  <si>
    <t>FARFÁN SOBERÓN ROSA ELENA</t>
  </si>
  <si>
    <t>8717</t>
  </si>
  <si>
    <t>CALLE ARAUJO VERONIKA CAROLINA</t>
  </si>
  <si>
    <t>6941</t>
  </si>
  <si>
    <t>LUDEÑA HERNANDEZ DE CORCUERA EMMA KARINA</t>
  </si>
  <si>
    <t>7284</t>
  </si>
  <si>
    <t>HURTADO DIAZ MIGUEL ANGEL</t>
  </si>
  <si>
    <t>7377</t>
  </si>
  <si>
    <t>REVOREDO MARTINEZ BETSY JUDITH</t>
  </si>
  <si>
    <t>3646</t>
  </si>
  <si>
    <t>SAAVEDRA ELERA AURELIO ERNESTO</t>
  </si>
  <si>
    <t>8683</t>
  </si>
  <si>
    <t>MIRANDA DE LA TORRE SILVANA GUVEL</t>
  </si>
  <si>
    <t>8839</t>
  </si>
  <si>
    <t>VALENTE QUISPECAHUANA ANA CECILIA</t>
  </si>
  <si>
    <t>760A</t>
  </si>
  <si>
    <t>LA TORRE QUISPE WALTER REINER</t>
  </si>
  <si>
    <t>9293</t>
  </si>
  <si>
    <t>PEREZ RIOS MELISSA MARIA</t>
  </si>
  <si>
    <t>7369</t>
  </si>
  <si>
    <t>MEJIA AGUILAR HILTON GIOBANNY</t>
  </si>
  <si>
    <t>8918</t>
  </si>
  <si>
    <t xml:space="preserve">BALLARTA RODRIGUEZ JUANA ISABEL </t>
  </si>
  <si>
    <t>865A</t>
  </si>
  <si>
    <t>QUISPE FLORES MICHELL IVAN</t>
  </si>
  <si>
    <t>0445</t>
  </si>
  <si>
    <t>ALFARO CORDERO FELICITA MARIA LUISA</t>
  </si>
  <si>
    <t>9313</t>
  </si>
  <si>
    <t>DEL AGUILA NORONHA KAREN JULISSA</t>
  </si>
  <si>
    <t>1011</t>
  </si>
  <si>
    <t>VILLEGAS VARGAS FRANCISCO</t>
  </si>
  <si>
    <t>654A</t>
  </si>
  <si>
    <t>CUENTAS ARROSPIDE MARCELO</t>
  </si>
  <si>
    <t>943A</t>
  </si>
  <si>
    <t>ULLOA BRAVO MARLENE PAOLA</t>
  </si>
  <si>
    <t>6708</t>
  </si>
  <si>
    <t>MANDAMIENTO DIOSES JAMES ERWIN</t>
  </si>
  <si>
    <t>1638</t>
  </si>
  <si>
    <t>ARRASCUE OLIVARES SILVIA LILIANA</t>
  </si>
  <si>
    <t>0149</t>
  </si>
  <si>
    <t>VILLACORTA TENORIO EDITA MARLENY</t>
  </si>
  <si>
    <t>7104</t>
  </si>
  <si>
    <t>BARRAGAN ROJAS GIOVANNA FELICIA</t>
  </si>
  <si>
    <t>7U4105</t>
  </si>
  <si>
    <t>9868</t>
  </si>
  <si>
    <t>CALLAPAZA CENTENO LIZBETH DIANETH</t>
  </si>
  <si>
    <t>775A</t>
  </si>
  <si>
    <t>LISNO SALGUERO MARIA PAMELA</t>
  </si>
  <si>
    <t>799A</t>
  </si>
  <si>
    <t>MEJIA HERNANI KELLY ESTEFANI</t>
  </si>
  <si>
    <t>VALDIVIA VARGAS, WALTER</t>
  </si>
  <si>
    <t>924A</t>
  </si>
  <si>
    <t>TAMAYO TORO ROBERTO ALEJANDRO MANUEL</t>
  </si>
  <si>
    <t>9863</t>
  </si>
  <si>
    <t>VASQUEZ BECERRA OLGA LISSET</t>
  </si>
  <si>
    <t>923A</t>
  </si>
  <si>
    <t>TABOADA HUAMAN DEISY</t>
  </si>
  <si>
    <t>QM09</t>
  </si>
  <si>
    <t>LIAO PANDURO MARIA ELENA DEL CARMEN</t>
  </si>
  <si>
    <t>892A</t>
  </si>
  <si>
    <t>ROLDAN SANTILLAN DIANDRA IRINA</t>
  </si>
  <si>
    <t>890A</t>
  </si>
  <si>
    <t>ROJAS VEGA ELIZABETH JULISSA</t>
  </si>
  <si>
    <t>842A</t>
  </si>
  <si>
    <t>PAREDES MOLNAR LUCAS LEONARDO</t>
  </si>
  <si>
    <t>963A</t>
  </si>
  <si>
    <t>YAGUAS GARGATE MONICA NANCY</t>
  </si>
  <si>
    <t>9259</t>
  </si>
  <si>
    <t>BELTRAN CATERIANO MERY YOLANDA</t>
  </si>
  <si>
    <t>3922</t>
  </si>
  <si>
    <t>SALAS ZARAUZ JENNY MERCEDES</t>
  </si>
  <si>
    <t>1089</t>
  </si>
  <si>
    <t>TRUJILLO FERRER BALDOMERO JAVIER</t>
  </si>
  <si>
    <t>768A</t>
  </si>
  <si>
    <t>LAROTA FRANCO KELLY VERONICA</t>
  </si>
  <si>
    <t>552A</t>
  </si>
  <si>
    <t>ARAGON COLQUE ANGELA MAGALY</t>
  </si>
  <si>
    <t>587A</t>
  </si>
  <si>
    <t>CAMPOS AYVAR YOMIRA ESTEFANIA</t>
  </si>
  <si>
    <t>CHUNG CHAVEZ CARLOS ENRIQUE</t>
  </si>
  <si>
    <t>786A</t>
  </si>
  <si>
    <t>MAMANI QUINTO LINA ALIROSY</t>
  </si>
  <si>
    <t>OBLITAS GARATE JUAN CARLOS</t>
  </si>
  <si>
    <t>RODRIGUEZ GARCIA, JHERALD THONY</t>
  </si>
  <si>
    <t>RS73</t>
  </si>
  <si>
    <t xml:space="preserve"> ALCOCER DE LA CRUZ, DARWIN LENIN</t>
  </si>
  <si>
    <t>NO71</t>
  </si>
  <si>
    <t xml:space="preserve"> MENDOZA ACUÑA, LUIS JOEL</t>
  </si>
  <si>
    <t>ND77</t>
  </si>
  <si>
    <t xml:space="preserve"> ECHEVARRIA ANDIA, GIULIANA PATRICIA</t>
  </si>
  <si>
    <t xml:space="preserve">NL23 </t>
  </si>
  <si>
    <t>HERRERA MAGUIÑA, DANNY EDUARDO</t>
  </si>
  <si>
    <t>RJ07</t>
  </si>
  <si>
    <t xml:space="preserve"> INGA TORRES JUDYT LILIANA</t>
  </si>
  <si>
    <t>AD56</t>
  </si>
  <si>
    <t xml:space="preserve"> MERA AMPICHE, MICHEL</t>
  </si>
  <si>
    <t xml:space="preserve">QL21 </t>
  </si>
  <si>
    <t>MEDINA IDME, LIZBETH JACKELINE</t>
  </si>
  <si>
    <t>NP47</t>
  </si>
  <si>
    <t>ESTRADA VARGAS KARIN PAOLA</t>
  </si>
  <si>
    <t>AQ88</t>
  </si>
  <si>
    <t xml:space="preserve"> HUANCA POMA, ROSMERI GRACIELA</t>
  </si>
  <si>
    <t>QZ03</t>
  </si>
  <si>
    <t xml:space="preserve"> RIVERA SÁNCHEZ, MAXI ERICA</t>
  </si>
  <si>
    <t xml:space="preserve">AR22 </t>
  </si>
  <si>
    <t>SANCHEZ PIRCA, VICKY ELIZABETH</t>
  </si>
  <si>
    <t xml:space="preserve">RI62 </t>
  </si>
  <si>
    <t>AMPUERO PATRICIO, NEIL BRUNO</t>
  </si>
  <si>
    <t>QQ89</t>
  </si>
  <si>
    <t>MALDONADO LOPEZ, NAYDA</t>
  </si>
  <si>
    <t>NV14</t>
  </si>
  <si>
    <t>MARTINEZ HUAMAN, RITCHER HUGO</t>
  </si>
  <si>
    <t>NW95</t>
  </si>
  <si>
    <t xml:space="preserve"> DURAND CORTEZ SABY ANGELICA</t>
  </si>
  <si>
    <t xml:space="preserve">NE38 </t>
  </si>
  <si>
    <t>LOPEZ TORRES TOMAS GRIMALDO</t>
  </si>
  <si>
    <t>encargatura de sdiv/supervision</t>
  </si>
  <si>
    <t>Demandas Cumplimiento e Informes /Día del Padre</t>
  </si>
  <si>
    <t>7U7100</t>
  </si>
  <si>
    <t>DIVISION DE CONTROL CONCURRENTE I</t>
  </si>
  <si>
    <t>3079</t>
  </si>
  <si>
    <t xml:space="preserve">CORTEZ QUISPE LINDA </t>
  </si>
  <si>
    <t xml:space="preserve">7U7101 </t>
  </si>
  <si>
    <t>DIVSION DE CONTROL CONCURRENTE I-SUP. 1</t>
  </si>
  <si>
    <t>5877</t>
  </si>
  <si>
    <t>Roberto Vera Tudela Gallesi</t>
  </si>
  <si>
    <t>8351</t>
  </si>
  <si>
    <t xml:space="preserve"> Araoz Laines Debra Sasha</t>
  </si>
  <si>
    <t>Especialista 2</t>
  </si>
  <si>
    <t>7324</t>
  </si>
  <si>
    <t xml:space="preserve"> Carbajal Jara Zaira </t>
  </si>
  <si>
    <t>7649</t>
  </si>
  <si>
    <t xml:space="preserve"> Castro Lagos Allison Erika</t>
  </si>
  <si>
    <t>3085</t>
  </si>
  <si>
    <t xml:space="preserve"> Cosio Jara Edgar Fernando</t>
  </si>
  <si>
    <t>Especialista 5</t>
  </si>
  <si>
    <t>4469</t>
  </si>
  <si>
    <t xml:space="preserve"> Hurtado Custodio Maria Lourdes</t>
  </si>
  <si>
    <t>7625</t>
  </si>
  <si>
    <t xml:space="preserve"> Quezada Villar Teresita Milagros</t>
  </si>
  <si>
    <t>7330</t>
  </si>
  <si>
    <t xml:space="preserve"> Rosales Ochoa Tania Elena</t>
  </si>
  <si>
    <t>5534</t>
  </si>
  <si>
    <t xml:space="preserve"> Sanchez Garrido Celso Felix</t>
  </si>
  <si>
    <t>5565</t>
  </si>
  <si>
    <t xml:space="preserve"> Santa Cruz Martinez Victoria Agustina</t>
  </si>
  <si>
    <t>8513</t>
  </si>
  <si>
    <t xml:space="preserve"> Vargas Apolinario Miryam Austregilda</t>
  </si>
  <si>
    <t>7U7302</t>
  </si>
  <si>
    <t>7661</t>
  </si>
  <si>
    <t xml:space="preserve"> Cordova Meza Luis Alberto</t>
  </si>
  <si>
    <t>7U7102</t>
  </si>
  <si>
    <t>DIVSION DE CONTROL CONCURRENTE I-SUP. 2</t>
  </si>
  <si>
    <t>7580</t>
  </si>
  <si>
    <t xml:space="preserve"> Chavez Silva Vanesa</t>
  </si>
  <si>
    <t>7674</t>
  </si>
  <si>
    <t xml:space="preserve"> Angulo Farfan Andres Eduardo</t>
  </si>
  <si>
    <t>2858</t>
  </si>
  <si>
    <t xml:space="preserve"> Castañeda Calderon Julio Ramiro</t>
  </si>
  <si>
    <t>2900</t>
  </si>
  <si>
    <t xml:space="preserve"> Cavero Carrion Carolina Marcela</t>
  </si>
  <si>
    <t>2968</t>
  </si>
  <si>
    <t xml:space="preserve"> Chire Tunque Maria Luisa</t>
  </si>
  <si>
    <t>3284</t>
  </si>
  <si>
    <t xml:space="preserve"> Diaz Jurado Ana Maria</t>
  </si>
  <si>
    <t>3977</t>
  </si>
  <si>
    <t xml:space="preserve"> Godoy Escalante William Arnaldo</t>
  </si>
  <si>
    <t>4770</t>
  </si>
  <si>
    <t xml:space="preserve"> Mollinedo Catunta Maritza</t>
  </si>
  <si>
    <t>4949</t>
  </si>
  <si>
    <t xml:space="preserve"> Oyarse Cruz Javier Gustavo</t>
  </si>
  <si>
    <t>6997</t>
  </si>
  <si>
    <t xml:space="preserve"> Tapia Muñoz Gamio Claudia Maria</t>
  </si>
  <si>
    <t>7611</t>
  </si>
  <si>
    <t xml:space="preserve"> Sandoval Guevara Azhir Yussef</t>
  </si>
  <si>
    <t>7U7200</t>
  </si>
  <si>
    <t>DIVISION DE CONTROL CONCURRENTE II</t>
  </si>
  <si>
    <t>6740</t>
  </si>
  <si>
    <t xml:space="preserve"> SANCHEZ FERRER VARGAS MACHUCA CYNTHIA</t>
  </si>
  <si>
    <t>7U7201</t>
  </si>
  <si>
    <t>DIVSION DE CONTROL CONCURRENTE II-SUP. 1</t>
  </si>
  <si>
    <t>7587</t>
  </si>
  <si>
    <t>Yessenia Salcedo Diaz</t>
  </si>
  <si>
    <t>7342</t>
  </si>
  <si>
    <t xml:space="preserve"> Cuya Velarde Juan Carlos</t>
  </si>
  <si>
    <t>4561</t>
  </si>
  <si>
    <t xml:space="preserve"> Linares Alcantara Cesar Victor</t>
  </si>
  <si>
    <t>4569</t>
  </si>
  <si>
    <t xml:space="preserve"> Linarez Amacifuen Jose Wagner</t>
  </si>
  <si>
    <t>4644</t>
  </si>
  <si>
    <t xml:space="preserve"> Malaga Portocarrero Carlos Alfredo</t>
  </si>
  <si>
    <t>AO21</t>
  </si>
  <si>
    <t xml:space="preserve"> Rios Gomez Renierd </t>
  </si>
  <si>
    <t>7211</t>
  </si>
  <si>
    <t xml:space="preserve"> Rivarola Hidalgo Roberto Cesar</t>
  </si>
  <si>
    <t>7624</t>
  </si>
  <si>
    <t xml:space="preserve"> Valdivia Charca Poul Cristian</t>
  </si>
  <si>
    <t>5844</t>
  </si>
  <si>
    <t xml:space="preserve">Vela Nuñez Richard </t>
  </si>
  <si>
    <t>8319</t>
  </si>
  <si>
    <t xml:space="preserve">Vilcapaza Amaro Carla </t>
  </si>
  <si>
    <t>7U7202</t>
  </si>
  <si>
    <t>DIVSION DE CONTROL CONCURRENTE II-SUP. 2</t>
  </si>
  <si>
    <t>7575</t>
  </si>
  <si>
    <t>Evelyn Pacheco Tena</t>
  </si>
  <si>
    <t>2423</t>
  </si>
  <si>
    <t xml:space="preserve"> Acosta Salazar Cecilia Jacqueline</t>
  </si>
  <si>
    <t>7326</t>
  </si>
  <si>
    <t>Arestegui Pereyra Lydia Carolina</t>
  </si>
  <si>
    <t>4616</t>
  </si>
  <si>
    <t xml:space="preserve"> Lozada Rocca Isabel Rosa Lucrecia</t>
  </si>
  <si>
    <t>AT75</t>
  </si>
  <si>
    <t xml:space="preserve"> Flores Alvitez Victoria Carmen Rosa</t>
  </si>
  <si>
    <t>7151</t>
  </si>
  <si>
    <t xml:space="preserve"> Pretel Noblecilla Lourdes Fabiola</t>
  </si>
  <si>
    <t>5749</t>
  </si>
  <si>
    <t xml:space="preserve"> Ulloa Ascencio Wilder Eloy</t>
  </si>
  <si>
    <t>AX34</t>
  </si>
  <si>
    <t xml:space="preserve"> Villanueva Hurtado Enrique Alvaro</t>
  </si>
  <si>
    <t>7U7300</t>
  </si>
  <si>
    <t>DIVISION DE CONTROL POSTERIOR</t>
  </si>
  <si>
    <t>2834</t>
  </si>
  <si>
    <t>Carpio Charres Ellsworth</t>
  </si>
  <si>
    <t>7U7301</t>
  </si>
  <si>
    <t>DIVSION DE CONTROL POSTERIOR SUP. 1</t>
  </si>
  <si>
    <t>Sanchez Ferrer Vargas Machuca Cynthia</t>
  </si>
  <si>
    <t>2694</t>
  </si>
  <si>
    <t>Bernuy Nuñez  Gustavo Ricardo</t>
  </si>
  <si>
    <t>4700</t>
  </si>
  <si>
    <t xml:space="preserve"> Mauro Sampen Carlos Enrique</t>
  </si>
  <si>
    <t>7148</t>
  </si>
  <si>
    <t>Garcia Rodriguez Jesús</t>
  </si>
  <si>
    <t>(*)</t>
  </si>
  <si>
    <t>7660</t>
  </si>
  <si>
    <t xml:space="preserve"> Fournier Castillo Marco Lucio</t>
  </si>
  <si>
    <t>(**)</t>
  </si>
  <si>
    <t>4594</t>
  </si>
  <si>
    <t xml:space="preserve"> Lopez Cornelio Carlos Alberto</t>
  </si>
  <si>
    <t>Pacheco Tena, Evelyn</t>
  </si>
  <si>
    <t>(***)</t>
  </si>
  <si>
    <t>4990</t>
  </si>
  <si>
    <t xml:space="preserve"> Pantoja Urizar Garfias  Cecilia Patricia</t>
  </si>
  <si>
    <t>(*) Durante el mes Junio el señor Jesús García Rodriguez, evaluó y tramitó demandas durante 20.5  días y elaboró un informe de demanda.</t>
  </si>
  <si>
    <t>(**) Durante el mes de Junio del Sr. Marco Fournier, además de resolver reclamo elaboro informe de demanda contencioso administrativa.</t>
  </si>
  <si>
    <t>(**) Durante el mes Junio la Sra. Evelyn Pacheco Tena desarrollo labores de apoyo a la GAFA 5 días.</t>
  </si>
  <si>
    <t>(***) Se ha considerado el Día del Padre 0.5 día</t>
  </si>
  <si>
    <t>Q Casos</t>
  </si>
  <si>
    <t>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</si>
</sst>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"/>
    <numFmt numFmtId="165" formatCode="0.000"/>
  </numFmts>
  <fonts count="3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vertAlign val="superscript"/>
      <sz val="10"/>
      <name val="Calibri"/>
      <family val="2"/>
      <scheme val="minor"/>
    </font>
    <font>
      <sz val="8"/>
      <color theme="1"/>
      <name val="Verdana"/>
      <family val="2"/>
    </font>
    <font>
      <b/>
      <sz val="1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rgb="FF000000"/>
      <name val="Arial"/>
      <family val="2"/>
    </font>
    <font>
      <sz val="8"/>
      <color rgb="FF000000"/>
      <name val="Verdana"/>
      <family val="2"/>
    </font>
    <font>
      <sz val="11"/>
      <color rgb="FF000000"/>
      <name val="Calibri"/>
      <family val="2"/>
      <scheme val="minor"/>
    </font>
    <font>
      <sz val="10"/>
      <name val="Calibri"/>
      <family val="2"/>
    </font>
    <font>
      <sz val="11"/>
      <color theme="1"/>
      <name val="Calibri"/>
      <family val="2"/>
    </font>
    <font>
      <sz val="10"/>
      <color rgb="FF000000"/>
      <name val="Calibri"/>
      <family val="2"/>
    </font>
    <font>
      <sz val="11"/>
      <name val="Calibri"/>
      <family val="2"/>
    </font>
    <font>
      <b/>
      <sz val="10"/>
      <name val="Calibri"/>
      <family val="2"/>
    </font>
    <font>
      <b/>
      <sz val="10"/>
      <color rgb="FF000000"/>
      <name val="Calibri"/>
      <family val="2"/>
    </font>
    <font>
      <sz val="10"/>
      <color rgb="FFFF0000"/>
      <name val="Calibri"/>
      <family val="2"/>
    </font>
    <font>
      <sz val="11"/>
      <color rgb="FF000000"/>
      <name val="Calibri"/>
      <family val="2"/>
    </font>
    <font>
      <b/>
      <sz val="10"/>
      <name val="Calibri Light"/>
      <family val="2"/>
    </font>
    <font>
      <u/>
      <sz val="11"/>
      <name val="Calibri"/>
      <family val="2"/>
    </font>
    <font>
      <sz val="10"/>
      <name val="Calibri Light"/>
      <family val="2"/>
    </font>
    <font>
      <u/>
      <sz val="11"/>
      <color rgb="FF0563C1"/>
      <name val="Calibri"/>
      <family val="2"/>
      <scheme val="minor"/>
    </font>
    <font>
      <b/>
      <sz val="10"/>
      <color rgb="FF305496"/>
      <name val="Calibri Light"/>
      <family val="2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7" tint="-0.249977111117893"/>
        <bgColor theme="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BDD7EE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rgb="FFF8CBAD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00FF00"/>
        <bgColor rgb="FF000000"/>
      </patternFill>
    </fill>
    <fill>
      <patternFill patternType="solid">
        <fgColor theme="9" tint="0.59999389629810485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9CC2E5"/>
      </left>
      <right style="medium">
        <color rgb="FF9CC2E5"/>
      </right>
      <top/>
      <bottom/>
      <diagonal/>
    </border>
    <border>
      <left/>
      <right style="medium">
        <color rgb="FF9CC2E5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8" fillId="0" borderId="0" applyNumberFormat="0" applyFill="0" applyBorder="0" applyAlignment="0" applyProtection="0"/>
  </cellStyleXfs>
  <cellXfs count="242">
    <xf numFmtId="0" fontId="0" fillId="0" borderId="0" xfId="0"/>
    <xf numFmtId="0" fontId="2" fillId="2" borderId="0" xfId="0" applyFont="1" applyFill="1" applyAlignment="1">
      <alignment horizontal="right" vertical="center" wrapText="1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left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4" fillId="0" borderId="0" xfId="0" applyFont="1"/>
    <xf numFmtId="0" fontId="5" fillId="0" borderId="2" xfId="0" applyFont="1" applyBorder="1" applyAlignment="1">
      <alignment horizontal="right"/>
    </xf>
    <xf numFmtId="0" fontId="5" fillId="5" borderId="2" xfId="0" applyFont="1" applyFill="1" applyBorder="1"/>
    <xf numFmtId="0" fontId="5" fillId="5" borderId="2" xfId="0" applyFont="1" applyFill="1" applyBorder="1" applyAlignment="1">
      <alignment horizontal="left"/>
    </xf>
    <xf numFmtId="49" fontId="5" fillId="5" borderId="2" xfId="0" applyNumberFormat="1" applyFont="1" applyFill="1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2" xfId="0" applyBorder="1"/>
    <xf numFmtId="0" fontId="0" fillId="5" borderId="0" xfId="0" applyFill="1"/>
    <xf numFmtId="0" fontId="5" fillId="6" borderId="2" xfId="0" applyFont="1" applyFill="1" applyBorder="1"/>
    <xf numFmtId="0" fontId="5" fillId="6" borderId="2" xfId="0" applyFont="1" applyFill="1" applyBorder="1" applyAlignment="1">
      <alignment horizontal="left"/>
    </xf>
    <xf numFmtId="49" fontId="5" fillId="6" borderId="2" xfId="0" applyNumberFormat="1" applyFont="1" applyFill="1" applyBorder="1" applyAlignment="1">
      <alignment horizontal="center"/>
    </xf>
    <xf numFmtId="0" fontId="0" fillId="6" borderId="0" xfId="0" applyFill="1"/>
    <xf numFmtId="0" fontId="5" fillId="7" borderId="2" xfId="0" applyFont="1" applyFill="1" applyBorder="1"/>
    <xf numFmtId="0" fontId="5" fillId="7" borderId="2" xfId="0" applyFont="1" applyFill="1" applyBorder="1" applyAlignment="1">
      <alignment horizontal="left"/>
    </xf>
    <xf numFmtId="49" fontId="5" fillId="7" borderId="2" xfId="0" applyNumberFormat="1" applyFont="1" applyFill="1" applyBorder="1" applyAlignment="1">
      <alignment horizontal="center"/>
    </xf>
    <xf numFmtId="0" fontId="6" fillId="8" borderId="2" xfId="0" applyFont="1" applyFill="1" applyBorder="1"/>
    <xf numFmtId="0" fontId="0" fillId="7" borderId="0" xfId="0" applyFill="1"/>
    <xf numFmtId="0" fontId="5" fillId="0" borderId="2" xfId="0" applyFont="1" applyBorder="1"/>
    <xf numFmtId="0" fontId="5" fillId="0" borderId="2" xfId="0" applyFont="1" applyBorder="1" applyAlignment="1">
      <alignment horizontal="left"/>
    </xf>
    <xf numFmtId="49" fontId="5" fillId="0" borderId="2" xfId="0" applyNumberFormat="1" applyFont="1" applyBorder="1" applyAlignment="1">
      <alignment horizontal="center"/>
    </xf>
    <xf numFmtId="0" fontId="5" fillId="8" borderId="2" xfId="0" applyFont="1" applyFill="1" applyBorder="1"/>
    <xf numFmtId="0" fontId="6" fillId="9" borderId="2" xfId="0" applyFont="1" applyFill="1" applyBorder="1" applyAlignment="1">
      <alignment horizontal="center"/>
    </xf>
    <xf numFmtId="0" fontId="6" fillId="9" borderId="2" xfId="0" applyFont="1" applyFill="1" applyBorder="1"/>
    <xf numFmtId="1" fontId="0" fillId="0" borderId="2" xfId="0" applyNumberFormat="1" applyBorder="1"/>
    <xf numFmtId="164" fontId="0" fillId="0" borderId="2" xfId="0" applyNumberFormat="1" applyBorder="1"/>
    <xf numFmtId="0" fontId="6" fillId="8" borderId="2" xfId="0" applyFont="1" applyFill="1" applyBorder="1" applyAlignment="1">
      <alignment horizontal="center"/>
    </xf>
    <xf numFmtId="0" fontId="6" fillId="8" borderId="2" xfId="0" applyFont="1" applyFill="1" applyBorder="1" applyAlignment="1">
      <alignment horizontal="right"/>
    </xf>
    <xf numFmtId="0" fontId="0" fillId="9" borderId="2" xfId="0" applyFill="1" applyBorder="1"/>
    <xf numFmtId="1" fontId="0" fillId="10" borderId="2" xfId="0" applyNumberFormat="1" applyFill="1" applyBorder="1"/>
    <xf numFmtId="164" fontId="0" fillId="10" borderId="2" xfId="0" applyNumberFormat="1" applyFill="1" applyBorder="1"/>
    <xf numFmtId="0" fontId="5" fillId="0" borderId="2" xfId="0" applyFont="1" applyBorder="1" applyAlignment="1">
      <alignment horizontal="left" vertical="top" wrapText="1"/>
    </xf>
    <xf numFmtId="0" fontId="7" fillId="0" borderId="2" xfId="0" applyFont="1" applyBorder="1" applyAlignment="1">
      <alignment vertical="center"/>
    </xf>
    <xf numFmtId="0" fontId="7" fillId="0" borderId="2" xfId="0" quotePrefix="1" applyFont="1" applyBorder="1" applyAlignment="1">
      <alignment horizontal="center" vertical="center" wrapText="1"/>
    </xf>
    <xf numFmtId="0" fontId="7" fillId="0" borderId="2" xfId="0" applyFont="1" applyBorder="1" applyAlignment="1">
      <alignment vertical="center" wrapText="1"/>
    </xf>
    <xf numFmtId="0" fontId="8" fillId="0" borderId="2" xfId="0" applyFont="1" applyBorder="1"/>
    <xf numFmtId="49" fontId="5" fillId="0" borderId="2" xfId="0" applyNumberFormat="1" applyFont="1" applyBorder="1" applyAlignment="1">
      <alignment wrapText="1"/>
    </xf>
    <xf numFmtId="0" fontId="0" fillId="0" borderId="2" xfId="0" applyBorder="1" applyAlignment="1">
      <alignment horizontal="right"/>
    </xf>
    <xf numFmtId="0" fontId="6" fillId="0" borderId="2" xfId="0" applyFont="1" applyBorder="1" applyAlignment="1">
      <alignment horizontal="right"/>
    </xf>
    <xf numFmtId="0" fontId="6" fillId="0" borderId="2" xfId="0" applyFont="1" applyBorder="1" applyAlignment="1">
      <alignment horizontal="left"/>
    </xf>
    <xf numFmtId="0" fontId="6" fillId="0" borderId="2" xfId="0" applyFont="1" applyBorder="1" applyAlignment="1">
      <alignment horizontal="center"/>
    </xf>
    <xf numFmtId="0" fontId="6" fillId="0" borderId="0" xfId="0" applyFont="1"/>
    <xf numFmtId="0" fontId="10" fillId="11" borderId="2" xfId="0" applyFont="1" applyFill="1" applyBorder="1" applyAlignment="1">
      <alignment horizontal="left" vertical="center" wrapText="1"/>
    </xf>
    <xf numFmtId="0" fontId="5" fillId="9" borderId="2" xfId="0" applyFont="1" applyFill="1" applyBorder="1" applyAlignment="1">
      <alignment horizontal="left"/>
    </xf>
    <xf numFmtId="0" fontId="5" fillId="9" borderId="2" xfId="0" applyFont="1" applyFill="1" applyBorder="1"/>
    <xf numFmtId="0" fontId="0" fillId="9" borderId="2" xfId="0" applyFill="1" applyBorder="1" applyAlignment="1">
      <alignment horizontal="center"/>
    </xf>
    <xf numFmtId="0" fontId="11" fillId="0" borderId="2" xfId="0" applyFont="1" applyBorder="1"/>
    <xf numFmtId="0" fontId="11" fillId="0" borderId="2" xfId="0" applyFont="1" applyBorder="1" applyAlignment="1">
      <alignment horizontal="left" vertical="top" wrapText="1"/>
    </xf>
    <xf numFmtId="0" fontId="7" fillId="0" borderId="2" xfId="0" quotePrefix="1" applyFont="1" applyBorder="1" applyAlignment="1">
      <alignment horizontal="center" vertical="center"/>
    </xf>
    <xf numFmtId="0" fontId="12" fillId="0" borderId="2" xfId="0" applyFont="1" applyBorder="1" applyAlignment="1">
      <alignment vertical="center"/>
    </xf>
    <xf numFmtId="0" fontId="13" fillId="7" borderId="2" xfId="0" applyFont="1" applyFill="1" applyBorder="1"/>
    <xf numFmtId="0" fontId="5" fillId="12" borderId="2" xfId="0" applyFont="1" applyFill="1" applyBorder="1" applyAlignment="1">
      <alignment horizontal="left"/>
    </xf>
    <xf numFmtId="0" fontId="6" fillId="0" borderId="2" xfId="0" applyFont="1" applyBorder="1"/>
    <xf numFmtId="0" fontId="14" fillId="0" borderId="2" xfId="0" applyFont="1" applyBorder="1" applyAlignment="1">
      <alignment vertical="center" wrapText="1"/>
    </xf>
    <xf numFmtId="0" fontId="11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/>
    </xf>
    <xf numFmtId="49" fontId="5" fillId="7" borderId="2" xfId="0" applyNumberFormat="1" applyFont="1" applyFill="1" applyBorder="1" applyAlignment="1">
      <alignment wrapText="1"/>
    </xf>
    <xf numFmtId="49" fontId="5" fillId="0" borderId="2" xfId="0" applyNumberFormat="1" applyFont="1" applyBorder="1" applyAlignment="1">
      <alignment horizontal="left"/>
    </xf>
    <xf numFmtId="1" fontId="6" fillId="0" borderId="2" xfId="0" applyNumberFormat="1" applyFont="1" applyBorder="1"/>
    <xf numFmtId="164" fontId="6" fillId="0" borderId="2" xfId="0" applyNumberFormat="1" applyFont="1" applyBorder="1"/>
    <xf numFmtId="49" fontId="5" fillId="7" borderId="2" xfId="0" applyNumberFormat="1" applyFont="1" applyFill="1" applyBorder="1"/>
    <xf numFmtId="0" fontId="15" fillId="0" borderId="2" xfId="0" applyFont="1" applyBorder="1"/>
    <xf numFmtId="0" fontId="8" fillId="0" borderId="2" xfId="0" applyFont="1" applyBorder="1" applyAlignment="1">
      <alignment horizontal="center"/>
    </xf>
    <xf numFmtId="0" fontId="0" fillId="0" borderId="2" xfId="0" applyBorder="1" applyAlignment="1">
      <alignment horizontal="center" wrapText="1"/>
    </xf>
    <xf numFmtId="49" fontId="5" fillId="9" borderId="2" xfId="0" quotePrefix="1" applyNumberFormat="1" applyFont="1" applyFill="1" applyBorder="1" applyAlignment="1">
      <alignment horizontal="center"/>
    </xf>
    <xf numFmtId="0" fontId="5" fillId="0" borderId="3" xfId="0" applyFont="1" applyBorder="1"/>
    <xf numFmtId="49" fontId="5" fillId="0" borderId="4" xfId="0" applyNumberFormat="1" applyFont="1" applyBorder="1" applyAlignment="1">
      <alignment horizontal="center"/>
    </xf>
    <xf numFmtId="0" fontId="5" fillId="0" borderId="5" xfId="0" applyFont="1" applyBorder="1" applyAlignment="1">
      <alignment horizontal="left" vertical="top" wrapText="1"/>
    </xf>
    <xf numFmtId="0" fontId="16" fillId="0" borderId="0" xfId="0" applyFont="1"/>
    <xf numFmtId="0" fontId="10" fillId="5" borderId="2" xfId="0" applyFont="1" applyFill="1" applyBorder="1" applyAlignment="1">
      <alignment horizontal="left" vertical="center" wrapText="1"/>
    </xf>
    <xf numFmtId="49" fontId="5" fillId="5" borderId="2" xfId="0" applyNumberFormat="1" applyFont="1" applyFill="1" applyBorder="1" applyAlignment="1">
      <alignment wrapText="1"/>
    </xf>
    <xf numFmtId="0" fontId="5" fillId="6" borderId="2" xfId="0" applyFont="1" applyFill="1" applyBorder="1" applyAlignment="1">
      <alignment horizontal="center"/>
    </xf>
    <xf numFmtId="2" fontId="0" fillId="0" borderId="2" xfId="0" applyNumberFormat="1" applyBorder="1"/>
    <xf numFmtId="49" fontId="5" fillId="0" borderId="2" xfId="0" applyNumberFormat="1" applyFont="1" applyBorder="1" applyAlignment="1">
      <alignment horizontal="center" wrapText="1"/>
    </xf>
    <xf numFmtId="0" fontId="5" fillId="0" borderId="2" xfId="0" applyFont="1" applyBorder="1" applyAlignment="1">
      <alignment horizontal="left" vertical="center" wrapText="1"/>
    </xf>
    <xf numFmtId="0" fontId="6" fillId="7" borderId="2" xfId="0" applyFont="1" applyFill="1" applyBorder="1"/>
    <xf numFmtId="0" fontId="6" fillId="7" borderId="2" xfId="0" applyFont="1" applyFill="1" applyBorder="1" applyAlignment="1">
      <alignment horizontal="left"/>
    </xf>
    <xf numFmtId="49" fontId="6" fillId="7" borderId="2" xfId="0" applyNumberFormat="1" applyFont="1" applyFill="1" applyBorder="1" applyAlignment="1">
      <alignment horizontal="center"/>
    </xf>
    <xf numFmtId="49" fontId="6" fillId="0" borderId="2" xfId="0" applyNumberFormat="1" applyFont="1" applyBorder="1" applyAlignment="1">
      <alignment horizontal="center"/>
    </xf>
    <xf numFmtId="0" fontId="6" fillId="10" borderId="2" xfId="0" applyFont="1" applyFill="1" applyBorder="1"/>
    <xf numFmtId="0" fontId="6" fillId="10" borderId="2" xfId="0" applyFont="1" applyFill="1" applyBorder="1" applyAlignment="1">
      <alignment horizontal="center"/>
    </xf>
    <xf numFmtId="0" fontId="0" fillId="10" borderId="2" xfId="0" applyFill="1" applyBorder="1" applyAlignment="1">
      <alignment horizontal="center"/>
    </xf>
    <xf numFmtId="0" fontId="5" fillId="7" borderId="3" xfId="0" applyFont="1" applyFill="1" applyBorder="1"/>
    <xf numFmtId="0" fontId="5" fillId="7" borderId="3" xfId="0" applyFont="1" applyFill="1" applyBorder="1" applyAlignment="1">
      <alignment horizontal="left"/>
    </xf>
    <xf numFmtId="49" fontId="5" fillId="7" borderId="3" xfId="0" applyNumberFormat="1" applyFont="1" applyFill="1" applyBorder="1" applyAlignment="1">
      <alignment horizontal="center"/>
    </xf>
    <xf numFmtId="0" fontId="6" fillId="7" borderId="3" xfId="0" applyFont="1" applyFill="1" applyBorder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9" borderId="2" xfId="0" applyFill="1" applyBorder="1" applyAlignment="1">
      <alignment horizontal="right"/>
    </xf>
    <xf numFmtId="0" fontId="0" fillId="10" borderId="2" xfId="0" applyFill="1" applyBorder="1" applyAlignment="1">
      <alignment horizontal="right"/>
    </xf>
    <xf numFmtId="0" fontId="17" fillId="0" borderId="2" xfId="0" applyFont="1" applyBorder="1" applyAlignment="1">
      <alignment horizontal="right"/>
    </xf>
    <xf numFmtId="0" fontId="17" fillId="13" borderId="2" xfId="0" applyFont="1" applyFill="1" applyBorder="1"/>
    <xf numFmtId="0" fontId="17" fillId="13" borderId="2" xfId="0" applyFont="1" applyFill="1" applyBorder="1" applyAlignment="1">
      <alignment horizontal="left"/>
    </xf>
    <xf numFmtId="49" fontId="17" fillId="13" borderId="2" xfId="0" applyNumberFormat="1" applyFont="1" applyFill="1" applyBorder="1" applyAlignment="1">
      <alignment horizontal="center"/>
    </xf>
    <xf numFmtId="0" fontId="18" fillId="0" borderId="2" xfId="0" applyFont="1" applyBorder="1" applyAlignment="1">
      <alignment horizontal="left"/>
    </xf>
    <xf numFmtId="0" fontId="18" fillId="0" borderId="2" xfId="0" applyFont="1" applyBorder="1" applyAlignment="1">
      <alignment horizontal="center"/>
    </xf>
    <xf numFmtId="0" fontId="18" fillId="0" borderId="2" xfId="0" applyFont="1" applyBorder="1"/>
    <xf numFmtId="1" fontId="18" fillId="0" borderId="2" xfId="0" applyNumberFormat="1" applyFont="1" applyBorder="1"/>
    <xf numFmtId="164" fontId="18" fillId="0" borderId="2" xfId="0" applyNumberFormat="1" applyFont="1" applyBorder="1"/>
    <xf numFmtId="0" fontId="17" fillId="14" borderId="2" xfId="0" applyFont="1" applyFill="1" applyBorder="1"/>
    <xf numFmtId="0" fontId="17" fillId="14" borderId="2" xfId="0" applyFont="1" applyFill="1" applyBorder="1" applyAlignment="1">
      <alignment horizontal="left"/>
    </xf>
    <xf numFmtId="49" fontId="17" fillId="14" borderId="2" xfId="0" applyNumberFormat="1" applyFont="1" applyFill="1" applyBorder="1" applyAlignment="1">
      <alignment horizontal="center"/>
    </xf>
    <xf numFmtId="0" fontId="17" fillId="0" borderId="2" xfId="0" applyFont="1" applyBorder="1"/>
    <xf numFmtId="0" fontId="17" fillId="0" borderId="2" xfId="0" applyFont="1" applyBorder="1" applyAlignment="1">
      <alignment horizontal="left"/>
    </xf>
    <xf numFmtId="49" fontId="17" fillId="0" borderId="2" xfId="0" applyNumberFormat="1" applyFont="1" applyBorder="1" applyAlignment="1">
      <alignment horizontal="center"/>
    </xf>
    <xf numFmtId="0" fontId="19" fillId="0" borderId="2" xfId="0" applyFont="1" applyBorder="1" applyAlignment="1">
      <alignment vertical="center"/>
    </xf>
    <xf numFmtId="0" fontId="19" fillId="0" borderId="2" xfId="0" quotePrefix="1" applyFont="1" applyBorder="1" applyAlignment="1">
      <alignment horizontal="center" vertical="center" wrapText="1"/>
    </xf>
    <xf numFmtId="0" fontId="19" fillId="0" borderId="2" xfId="0" applyFont="1" applyBorder="1" applyAlignment="1">
      <alignment vertical="center" wrapText="1"/>
    </xf>
    <xf numFmtId="0" fontId="19" fillId="0" borderId="2" xfId="0" applyFont="1" applyBorder="1"/>
    <xf numFmtId="49" fontId="17" fillId="0" borderId="2" xfId="0" applyNumberFormat="1" applyFont="1" applyBorder="1" applyAlignment="1">
      <alignment wrapText="1"/>
    </xf>
    <xf numFmtId="0" fontId="17" fillId="15" borderId="2" xfId="0" applyFont="1" applyFill="1" applyBorder="1" applyAlignment="1">
      <alignment horizontal="left"/>
    </xf>
    <xf numFmtId="49" fontId="17" fillId="15" borderId="2" xfId="0" applyNumberFormat="1" applyFont="1" applyFill="1" applyBorder="1" applyAlignment="1">
      <alignment horizontal="center"/>
    </xf>
    <xf numFmtId="49" fontId="17" fillId="15" borderId="2" xfId="0" applyNumberFormat="1" applyFont="1" applyFill="1" applyBorder="1" applyAlignment="1">
      <alignment wrapText="1"/>
    </xf>
    <xf numFmtId="0" fontId="17" fillId="15" borderId="2" xfId="0" applyFont="1" applyFill="1" applyBorder="1"/>
    <xf numFmtId="0" fontId="18" fillId="0" borderId="0" xfId="0" applyFont="1"/>
    <xf numFmtId="0" fontId="18" fillId="15" borderId="0" xfId="0" applyFont="1" applyFill="1"/>
    <xf numFmtId="0" fontId="17" fillId="13" borderId="2" xfId="0" applyFont="1" applyFill="1" applyBorder="1" applyAlignment="1">
      <alignment horizontal="center"/>
    </xf>
    <xf numFmtId="0" fontId="19" fillId="0" borderId="2" xfId="0" applyFont="1" applyBorder="1" applyAlignment="1">
      <alignment horizontal="center"/>
    </xf>
    <xf numFmtId="0" fontId="17" fillId="0" borderId="2" xfId="0" applyFont="1" applyBorder="1" applyAlignment="1">
      <alignment horizontal="left" vertical="top" wrapText="1"/>
    </xf>
    <xf numFmtId="0" fontId="17" fillId="0" borderId="2" xfId="0" applyFont="1" applyBorder="1" applyAlignment="1">
      <alignment horizontal="center"/>
    </xf>
    <xf numFmtId="49" fontId="17" fillId="0" borderId="2" xfId="0" applyNumberFormat="1" applyFont="1" applyBorder="1" applyAlignment="1">
      <alignment horizontal="left"/>
    </xf>
    <xf numFmtId="49" fontId="17" fillId="0" borderId="2" xfId="0" applyNumberFormat="1" applyFont="1" applyBorder="1" applyAlignment="1">
      <alignment horizontal="center" wrapText="1"/>
    </xf>
    <xf numFmtId="0" fontId="17" fillId="0" borderId="2" xfId="0" applyFont="1" applyBorder="1" applyAlignment="1">
      <alignment horizontal="left" vertical="center" wrapText="1"/>
    </xf>
    <xf numFmtId="0" fontId="20" fillId="14" borderId="2" xfId="0" applyFont="1" applyFill="1" applyBorder="1"/>
    <xf numFmtId="0" fontId="20" fillId="14" borderId="2" xfId="0" applyFont="1" applyFill="1" applyBorder="1" applyAlignment="1">
      <alignment horizontal="left"/>
    </xf>
    <xf numFmtId="49" fontId="20" fillId="14" borderId="2" xfId="0" applyNumberFormat="1" applyFont="1" applyFill="1" applyBorder="1" applyAlignment="1">
      <alignment horizontal="center"/>
    </xf>
    <xf numFmtId="0" fontId="20" fillId="0" borderId="2" xfId="0" applyFont="1" applyBorder="1"/>
    <xf numFmtId="0" fontId="20" fillId="0" borderId="2" xfId="0" applyFont="1" applyBorder="1" applyAlignment="1">
      <alignment horizontal="left"/>
    </xf>
    <xf numFmtId="49" fontId="20" fillId="0" borderId="2" xfId="0" applyNumberFormat="1" applyFont="1" applyBorder="1" applyAlignment="1">
      <alignment horizontal="center"/>
    </xf>
    <xf numFmtId="0" fontId="17" fillId="14" borderId="3" xfId="0" applyFont="1" applyFill="1" applyBorder="1"/>
    <xf numFmtId="0" fontId="17" fillId="14" borderId="3" xfId="0" applyFont="1" applyFill="1" applyBorder="1" applyAlignment="1">
      <alignment horizontal="left"/>
    </xf>
    <xf numFmtId="49" fontId="17" fillId="14" borderId="3" xfId="0" applyNumberFormat="1" applyFont="1" applyFill="1" applyBorder="1" applyAlignment="1">
      <alignment horizontal="center"/>
    </xf>
    <xf numFmtId="0" fontId="20" fillId="14" borderId="3" xfId="0" applyFont="1" applyFill="1" applyBorder="1"/>
    <xf numFmtId="0" fontId="15" fillId="15" borderId="2" xfId="0" applyFont="1" applyFill="1" applyBorder="1" applyAlignment="1">
      <alignment vertical="center" wrapText="1"/>
    </xf>
    <xf numFmtId="0" fontId="18" fillId="0" borderId="6" xfId="0" applyFont="1" applyBorder="1"/>
    <xf numFmtId="0" fontId="21" fillId="0" borderId="2" xfId="0" applyFont="1" applyBorder="1"/>
    <xf numFmtId="0" fontId="21" fillId="0" borderId="2" xfId="0" applyFont="1" applyBorder="1" applyAlignment="1">
      <alignment horizontal="left" vertical="top" wrapText="1"/>
    </xf>
    <xf numFmtId="0" fontId="19" fillId="0" borderId="2" xfId="0" quotePrefix="1" applyFont="1" applyBorder="1" applyAlignment="1">
      <alignment horizontal="center" vertical="center"/>
    </xf>
    <xf numFmtId="0" fontId="22" fillId="0" borderId="2" xfId="0" applyFont="1" applyBorder="1" applyAlignment="1">
      <alignment vertical="center"/>
    </xf>
    <xf numFmtId="0" fontId="23" fillId="14" borderId="2" xfId="0" applyFont="1" applyFill="1" applyBorder="1"/>
    <xf numFmtId="0" fontId="17" fillId="16" borderId="2" xfId="0" applyFont="1" applyFill="1" applyBorder="1" applyAlignment="1">
      <alignment horizontal="left"/>
    </xf>
    <xf numFmtId="0" fontId="20" fillId="0" borderId="2" xfId="0" applyFont="1" applyBorder="1" applyAlignment="1">
      <alignment horizontal="center"/>
    </xf>
    <xf numFmtId="0" fontId="21" fillId="0" borderId="2" xfId="0" applyFont="1" applyBorder="1" applyAlignment="1">
      <alignment horizontal="left" vertical="center" wrapText="1"/>
    </xf>
    <xf numFmtId="49" fontId="17" fillId="14" borderId="2" xfId="0" applyNumberFormat="1" applyFont="1" applyFill="1" applyBorder="1" applyAlignment="1">
      <alignment wrapText="1"/>
    </xf>
    <xf numFmtId="0" fontId="20" fillId="0" borderId="0" xfId="0" applyFont="1"/>
    <xf numFmtId="49" fontId="17" fillId="14" borderId="2" xfId="0" applyNumberFormat="1" applyFont="1" applyFill="1" applyBorder="1"/>
    <xf numFmtId="0" fontId="18" fillId="0" borderId="2" xfId="0" applyFont="1" applyBorder="1" applyAlignment="1">
      <alignment horizontal="center" wrapText="1"/>
    </xf>
    <xf numFmtId="0" fontId="2" fillId="2" borderId="0" xfId="0" applyFont="1" applyFill="1" applyAlignment="1">
      <alignment horizontal="center" vertical="center" wrapText="1"/>
    </xf>
    <xf numFmtId="49" fontId="17" fillId="0" borderId="2" xfId="0" quotePrefix="1" applyNumberFormat="1" applyFont="1" applyBorder="1" applyAlignment="1">
      <alignment horizontal="center"/>
    </xf>
    <xf numFmtId="0" fontId="17" fillId="0" borderId="3" xfId="0" applyFont="1" applyBorder="1"/>
    <xf numFmtId="49" fontId="17" fillId="0" borderId="4" xfId="0" applyNumberFormat="1" applyFont="1" applyBorder="1" applyAlignment="1">
      <alignment horizontal="center"/>
    </xf>
    <xf numFmtId="0" fontId="17" fillId="0" borderId="5" xfId="0" applyFont="1" applyBorder="1" applyAlignment="1">
      <alignment horizontal="left" vertical="top" wrapText="1"/>
    </xf>
    <xf numFmtId="0" fontId="24" fillId="0" borderId="0" xfId="0" applyFont="1"/>
    <xf numFmtId="0" fontId="25" fillId="13" borderId="2" xfId="0" applyFont="1" applyFill="1" applyBorder="1"/>
    <xf numFmtId="0" fontId="25" fillId="13" borderId="2" xfId="0" applyFont="1" applyFill="1" applyBorder="1" applyAlignment="1">
      <alignment horizontal="center"/>
    </xf>
    <xf numFmtId="0" fontId="25" fillId="13" borderId="2" xfId="0" applyFont="1" applyFill="1" applyBorder="1" applyAlignment="1">
      <alignment horizontal="right"/>
    </xf>
    <xf numFmtId="49" fontId="26" fillId="0" borderId="2" xfId="1" applyNumberFormat="1" applyFont="1" applyFill="1" applyBorder="1" applyAlignment="1">
      <alignment horizontal="right"/>
    </xf>
    <xf numFmtId="0" fontId="27" fillId="0" borderId="2" xfId="0" applyFont="1" applyBorder="1"/>
    <xf numFmtId="0" fontId="27" fillId="0" borderId="2" xfId="0" applyFont="1" applyBorder="1" applyAlignment="1">
      <alignment horizontal="center"/>
    </xf>
    <xf numFmtId="0" fontId="27" fillId="0" borderId="2" xfId="0" applyFont="1" applyBorder="1" applyAlignment="1">
      <alignment horizontal="right"/>
    </xf>
    <xf numFmtId="0" fontId="27" fillId="16" borderId="2" xfId="0" applyFont="1" applyFill="1" applyBorder="1"/>
    <xf numFmtId="0" fontId="27" fillId="16" borderId="2" xfId="0" applyFont="1" applyFill="1" applyBorder="1" applyAlignment="1">
      <alignment horizontal="center"/>
    </xf>
    <xf numFmtId="0" fontId="27" fillId="16" borderId="2" xfId="0" applyFont="1" applyFill="1" applyBorder="1" applyAlignment="1">
      <alignment horizontal="right"/>
    </xf>
    <xf numFmtId="0" fontId="26" fillId="0" borderId="2" xfId="2" applyNumberFormat="1" applyFont="1" applyFill="1" applyBorder="1" applyAlignment="1">
      <alignment horizontal="right"/>
    </xf>
    <xf numFmtId="0" fontId="29" fillId="0" borderId="2" xfId="0" applyFont="1" applyBorder="1"/>
    <xf numFmtId="0" fontId="3" fillId="4" borderId="3" xfId="0" applyFont="1" applyFill="1" applyBorder="1" applyAlignment="1">
      <alignment horizontal="center" vertical="center" wrapText="1"/>
    </xf>
    <xf numFmtId="1" fontId="31" fillId="0" borderId="2" xfId="0" applyNumberFormat="1" applyFont="1" applyBorder="1"/>
    <xf numFmtId="164" fontId="31" fillId="0" borderId="2" xfId="0" applyNumberFormat="1" applyFont="1" applyBorder="1"/>
    <xf numFmtId="2" fontId="32" fillId="0" borderId="2" xfId="0" applyNumberFormat="1" applyFont="1" applyBorder="1"/>
    <xf numFmtId="1" fontId="32" fillId="0" borderId="2" xfId="0" applyNumberFormat="1" applyFont="1" applyBorder="1"/>
    <xf numFmtId="0" fontId="33" fillId="0" borderId="2" xfId="0" applyFont="1" applyBorder="1"/>
    <xf numFmtId="0" fontId="33" fillId="19" borderId="2" xfId="0" applyFont="1" applyFill="1" applyBorder="1"/>
    <xf numFmtId="0" fontId="18" fillId="8" borderId="0" xfId="0" applyFont="1" applyFill="1"/>
    <xf numFmtId="0" fontId="32" fillId="8" borderId="0" xfId="0" applyFont="1" applyFill="1" applyAlignment="1">
      <alignment horizontal="center" vertical="center" wrapText="1"/>
    </xf>
    <xf numFmtId="0" fontId="32" fillId="8" borderId="0" xfId="0" applyFont="1" applyFill="1"/>
    <xf numFmtId="0" fontId="33" fillId="8" borderId="0" xfId="0" applyFont="1" applyFill="1"/>
    <xf numFmtId="0" fontId="34" fillId="2" borderId="0" xfId="0" applyFont="1" applyFill="1" applyAlignment="1">
      <alignment horizontal="center" vertical="center" wrapText="1"/>
    </xf>
    <xf numFmtId="0" fontId="34" fillId="2" borderId="0" xfId="0" applyFont="1" applyFill="1" applyAlignment="1">
      <alignment vertical="center"/>
    </xf>
    <xf numFmtId="0" fontId="34" fillId="2" borderId="0" xfId="0" applyFont="1" applyFill="1" applyAlignment="1">
      <alignment horizontal="left" vertical="center"/>
    </xf>
    <xf numFmtId="0" fontId="34" fillId="3" borderId="1" xfId="0" applyFont="1" applyFill="1" applyBorder="1" applyAlignment="1">
      <alignment horizontal="center" vertical="center" wrapText="1"/>
    </xf>
    <xf numFmtId="0" fontId="34" fillId="4" borderId="2" xfId="0" applyFont="1" applyFill="1" applyBorder="1" applyAlignment="1">
      <alignment horizontal="center" vertical="center" wrapText="1"/>
    </xf>
    <xf numFmtId="49" fontId="33" fillId="0" borderId="3" xfId="0" applyNumberFormat="1" applyFont="1" applyBorder="1" applyAlignment="1">
      <alignment horizontal="center" vertical="center" wrapText="1"/>
    </xf>
    <xf numFmtId="49" fontId="35" fillId="0" borderId="2" xfId="0" applyNumberFormat="1" applyFont="1" applyBorder="1" applyAlignment="1">
      <alignment horizontal="center" vertical="center"/>
    </xf>
    <xf numFmtId="49" fontId="31" fillId="0" borderId="2" xfId="0" applyNumberFormat="1" applyFont="1" applyBorder="1" applyAlignment="1">
      <alignment vertical="center"/>
    </xf>
    <xf numFmtId="49" fontId="31" fillId="0" borderId="2" xfId="0" applyNumberFormat="1" applyFont="1" applyBorder="1" applyAlignment="1">
      <alignment horizontal="left" vertical="center"/>
    </xf>
    <xf numFmtId="49" fontId="33" fillId="0" borderId="3" xfId="0" applyNumberFormat="1" applyFont="1" applyBorder="1" applyAlignment="1">
      <alignment horizontal="center" vertical="center"/>
    </xf>
    <xf numFmtId="49" fontId="6" fillId="8" borderId="2" xfId="0" applyNumberFormat="1" applyFont="1" applyFill="1" applyBorder="1" applyAlignment="1">
      <alignment vertical="center"/>
    </xf>
    <xf numFmtId="49" fontId="6" fillId="8" borderId="2" xfId="0" applyNumberFormat="1" applyFont="1" applyFill="1" applyBorder="1" applyAlignment="1">
      <alignment horizontal="left" vertical="center"/>
    </xf>
    <xf numFmtId="49" fontId="32" fillId="8" borderId="2" xfId="0" applyNumberFormat="1" applyFont="1" applyFill="1" applyBorder="1" applyAlignment="1">
      <alignment horizontal="center" vertical="center"/>
    </xf>
    <xf numFmtId="49" fontId="32" fillId="0" borderId="2" xfId="0" applyNumberFormat="1" applyFont="1" applyBorder="1" applyAlignment="1">
      <alignment horizontal="center" vertical="center"/>
    </xf>
    <xf numFmtId="0" fontId="6" fillId="13" borderId="2" xfId="0" applyFont="1" applyFill="1" applyBorder="1"/>
    <xf numFmtId="0" fontId="6" fillId="13" borderId="2" xfId="0" applyFont="1" applyFill="1" applyBorder="1" applyAlignment="1">
      <alignment horizontal="left"/>
    </xf>
    <xf numFmtId="49" fontId="6" fillId="13" borderId="2" xfId="0" applyNumberFormat="1" applyFont="1" applyFill="1" applyBorder="1" applyAlignment="1">
      <alignment horizontal="center"/>
    </xf>
    <xf numFmtId="0" fontId="6" fillId="14" borderId="2" xfId="0" applyFont="1" applyFill="1" applyBorder="1"/>
    <xf numFmtId="0" fontId="6" fillId="14" borderId="2" xfId="0" applyFont="1" applyFill="1" applyBorder="1" applyAlignment="1">
      <alignment horizontal="left"/>
    </xf>
    <xf numFmtId="49" fontId="6" fillId="14" borderId="2" xfId="0" applyNumberFormat="1" applyFont="1" applyFill="1" applyBorder="1" applyAlignment="1">
      <alignment horizontal="center"/>
    </xf>
    <xf numFmtId="0" fontId="31" fillId="0" borderId="2" xfId="0" applyFont="1" applyBorder="1"/>
    <xf numFmtId="0" fontId="31" fillId="0" borderId="2" xfId="0" applyFont="1" applyBorder="1" applyAlignment="1">
      <alignment horizontal="left"/>
    </xf>
    <xf numFmtId="0" fontId="31" fillId="0" borderId="2" xfId="0" applyFont="1" applyBorder="1" applyAlignment="1">
      <alignment horizontal="center"/>
    </xf>
    <xf numFmtId="0" fontId="6" fillId="0" borderId="3" xfId="0" applyFont="1" applyBorder="1"/>
    <xf numFmtId="49" fontId="6" fillId="13" borderId="2" xfId="0" applyNumberFormat="1" applyFont="1" applyFill="1" applyBorder="1" applyAlignment="1">
      <alignment horizontal="left"/>
    </xf>
    <xf numFmtId="0" fontId="32" fillId="17" borderId="2" xfId="0" applyFont="1" applyFill="1" applyBorder="1" applyAlignment="1">
      <alignment horizontal="right"/>
    </xf>
    <xf numFmtId="0" fontId="32" fillId="0" borderId="2" xfId="0" applyFont="1" applyBorder="1"/>
    <xf numFmtId="0" fontId="6" fillId="18" borderId="2" xfId="0" applyFont="1" applyFill="1" applyBorder="1" applyAlignment="1">
      <alignment horizontal="left"/>
    </xf>
    <xf numFmtId="0" fontId="6" fillId="18" borderId="2" xfId="0" applyFont="1" applyFill="1" applyBorder="1"/>
    <xf numFmtId="0" fontId="33" fillId="0" borderId="2" xfId="0" applyFont="1" applyBorder="1" applyAlignment="1">
      <alignment horizontal="left"/>
    </xf>
    <xf numFmtId="0" fontId="33" fillId="0" borderId="2" xfId="0" applyFont="1" applyBorder="1" applyAlignment="1">
      <alignment horizontal="center"/>
    </xf>
    <xf numFmtId="0" fontId="32" fillId="8" borderId="2" xfId="0" applyFont="1" applyFill="1" applyBorder="1" applyAlignment="1">
      <alignment horizontal="left"/>
    </xf>
    <xf numFmtId="0" fontId="32" fillId="8" borderId="2" xfId="0" applyFont="1" applyFill="1" applyBorder="1" applyAlignment="1">
      <alignment horizontal="center"/>
    </xf>
    <xf numFmtId="2" fontId="6" fillId="8" borderId="0" xfId="0" applyNumberFormat="1" applyFont="1" applyFill="1" applyAlignment="1">
      <alignment vertical="center"/>
    </xf>
    <xf numFmtId="0" fontId="32" fillId="8" borderId="2" xfId="0" applyFont="1" applyFill="1" applyBorder="1"/>
    <xf numFmtId="0" fontId="0" fillId="8" borderId="0" xfId="0" applyFill="1"/>
    <xf numFmtId="49" fontId="0" fillId="0" borderId="2" xfId="0" applyNumberFormat="1" applyBorder="1" applyAlignment="1">
      <alignment vertical="center"/>
    </xf>
    <xf numFmtId="49" fontId="0" fillId="0" borderId="2" xfId="0" applyNumberFormat="1" applyBorder="1" applyAlignment="1">
      <alignment horizontal="left" vertical="center"/>
    </xf>
    <xf numFmtId="0" fontId="32" fillId="8" borderId="2" xfId="0" applyFont="1" applyFill="1" applyBorder="1" applyAlignment="1">
      <alignment horizontal="right"/>
    </xf>
    <xf numFmtId="0" fontId="6" fillId="8" borderId="0" xfId="0" applyFont="1" applyFill="1"/>
    <xf numFmtId="165" fontId="33" fillId="20" borderId="2" xfId="0" applyNumberFormat="1" applyFont="1" applyFill="1" applyBorder="1"/>
    <xf numFmtId="1" fontId="32" fillId="0" borderId="0" xfId="0" applyNumberFormat="1" applyFont="1"/>
    <xf numFmtId="2" fontId="32" fillId="8" borderId="2" xfId="0" applyNumberFormat="1" applyFont="1" applyFill="1" applyBorder="1"/>
    <xf numFmtId="49" fontId="32" fillId="0" borderId="1" xfId="0" applyNumberFormat="1" applyFont="1" applyBorder="1" applyAlignment="1">
      <alignment horizontal="center" vertical="center"/>
    </xf>
    <xf numFmtId="49" fontId="32" fillId="0" borderId="1" xfId="0" applyNumberFormat="1" applyFont="1" applyBorder="1" applyAlignment="1">
      <alignment vertical="center"/>
    </xf>
    <xf numFmtId="0" fontId="6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49" fontId="32" fillId="0" borderId="0" xfId="0" applyNumberFormat="1" applyFont="1" applyAlignment="1">
      <alignment horizontal="center" vertical="center"/>
    </xf>
    <xf numFmtId="49" fontId="6" fillId="8" borderId="0" xfId="0" applyNumberFormat="1" applyFont="1" applyFill="1" applyAlignment="1">
      <alignment vertical="center"/>
    </xf>
    <xf numFmtId="49" fontId="6" fillId="8" borderId="0" xfId="0" applyNumberFormat="1" applyFont="1" applyFill="1" applyAlignment="1">
      <alignment horizontal="left" vertical="center"/>
    </xf>
    <xf numFmtId="2" fontId="0" fillId="8" borderId="0" xfId="0" applyNumberFormat="1" applyFill="1"/>
    <xf numFmtId="0" fontId="32" fillId="8" borderId="0" xfId="0" applyFont="1" applyFill="1" applyAlignment="1">
      <alignment horizontal="left"/>
    </xf>
    <xf numFmtId="0" fontId="32" fillId="8" borderId="0" xfId="0" applyFont="1" applyFill="1" applyAlignment="1">
      <alignment horizontal="center"/>
    </xf>
    <xf numFmtId="0" fontId="32" fillId="8" borderId="0" xfId="0" applyFont="1" applyFill="1" applyAlignment="1">
      <alignment horizontal="right"/>
    </xf>
    <xf numFmtId="2" fontId="32" fillId="0" borderId="0" xfId="0" applyNumberFormat="1" applyFont="1"/>
    <xf numFmtId="2" fontId="32" fillId="8" borderId="0" xfId="0" applyNumberFormat="1" applyFont="1" applyFill="1"/>
    <xf numFmtId="2" fontId="32" fillId="21" borderId="2" xfId="0" applyNumberFormat="1" applyFont="1" applyFill="1" applyBorder="1"/>
    <xf numFmtId="0" fontId="33" fillId="0" borderId="0" xfId="0" applyFont="1"/>
    <xf numFmtId="164" fontId="32" fillId="0" borderId="2" xfId="0" applyNumberFormat="1" applyFont="1" applyBorder="1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/Data/data/FILES/disco%20d/SNATI/INI/INI%20Definitiva/Gesti&#243;n/Evaluaci&#243;n%20de%20Meta/universo%20pnc%20set22%20resumen%20y%20producc%20a%20share%20point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D Ingresos Salidas 21_22"/>
      <sheetName val="Resumen Ingresos Salidas 21_22"/>
      <sheetName val="presentacion gerentes"/>
      <sheetName val="Data Ingresos 2021_2022"/>
      <sheetName val="Dias H"/>
    </sheetNames>
    <sheetDataSet>
      <sheetData sheetId="0"/>
      <sheetData sheetId="1"/>
      <sheetData sheetId="2"/>
      <sheetData sheetId="3"/>
      <sheetData sheetId="4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Ortiz Cortez Carmen Del Rocio" id="{77203EAA-FD58-47E5-83CE-A80E15AF7347}" userId="S::CORTIZ1@sunat.gob.pe::5490683a-a25b-433c-b089-4f8ab9169ee0" providerId="AD"/>
  <person displayName="Padilla Rosales Maria Del Carmen" id="{4118DBE1-DABB-4C75-8323-8881E1772D0B}" userId="S::MPADILL2@sunat.gob.pe::a2ffaaeb-b889-4860-b23d-e2c2442fa49f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L1" dT="2023-01-05T14:29:00.15" personId="{4118DBE1-DABB-4C75-8323-8881E1772D0B}" id="{AE1DFC03-F7E7-401F-BCA6-31E588023D91}">
    <text>Diciembre tiene 21 dh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L1" dT="2023-01-05T14:29:00.15" personId="{4118DBE1-DABB-4C75-8323-8881E1772D0B}" id="{0EC8556A-1925-4156-99B4-158FCC0DB9B7}">
    <text>Diciembre tiene 21 dh</text>
  </threadedComment>
  <threadedComment ref="H44" dT="2023-01-05T14:32:05.42" personId="{4118DBE1-DABB-4C75-8323-8881E1772D0B}" id="{CE382FB1-BF62-41E4-937A-7FB90CD91ACE}">
    <text>Apoyo d e la G1D1 Sup 3 por 20 dias</text>
  </threadedComment>
  <threadedComment ref="H46" dT="2023-01-05T14:15:06.60" personId="{4118DBE1-DABB-4C75-8323-8881E1772D0B}" id="{54C677D1-0539-42EF-AEB1-402BF4135546}">
    <text>Apoyo de G1D1 POR 20 DIAS</text>
  </threadedComment>
  <threadedComment ref="H47" dT="2023-01-05T04:43:55.32" personId="{4118DBE1-DABB-4C75-8323-8881E1772D0B}" id="{F5197582-4128-4B0B-9B3C-37E6BDB9E642}">
    <text>Apoyo de G1D1 de 5 dias</text>
  </threadedComment>
  <threadedComment ref="H63" dT="2023-01-04T23:10:16.10" personId="{4118DBE1-DABB-4C75-8323-8881E1772D0B}" id="{28F53DD5-F4DC-451E-B7A1-62E3C1553C44}">
    <text>apoyo de G1D1 por 11 dh</text>
  </threadedComment>
  <threadedComment ref="H64" dT="2023-01-04T23:12:54.46" personId="{4118DBE1-DABB-4C75-8323-8881E1772D0B}" id="{48D5E120-7F30-4D44-880C-16348052771F}">
    <text>Apoyo de G1D1 por 11 dh</text>
  </threadedComment>
  <threadedComment ref="H65" dT="2023-01-05T04:40:45.35" personId="{4118DBE1-DABB-4C75-8323-8881E1772D0B}" id="{A2EF1A97-884B-4684-B84D-847E1F7BB182}">
    <text>Del 1 al 13 apoyo a 7U4200 y Del 14 al 23 y del 27 al 29 (11 dias) a 7U5400</text>
  </threadedComment>
  <threadedComment ref="H66" dT="2023-01-05T04:42:04.75" personId="{4118DBE1-DABB-4C75-8323-8881E1772D0B}" id="{A3CB0D86-7AAE-4AA7-818D-60C4EF7722EE}">
    <text>Apoyo de la G1D1 por 18 días</text>
  </threadedComment>
  <threadedComment ref="I74" dT="2023-01-05T15:10:12.20" personId="{4118DBE1-DABB-4C75-8323-8881E1772D0B}" id="{9582F70C-0EC2-456B-B5C6-5027FAFC2DD9}">
    <text>Vacaciones del 5 al 21</text>
  </threadedComment>
  <threadedComment ref="I84" dT="2023-01-05T15:13:49.64" personId="{4118DBE1-DABB-4C75-8323-8881E1772D0B}" id="{CCEA457B-C1F0-4745-9767-CABB0CE5FFB1}">
    <text>Vacaciones del 12 al 19</text>
  </threadedComment>
  <threadedComment ref="H87" dT="2023-01-05T19:11:08.95" personId="{4118DBE1-DABB-4C75-8323-8881E1772D0B}" id="{7C7AA384-5A03-4059-B7DB-91F2DC7260B1}">
    <text>Pasaron de la D3 desde el 5 de diciembre</text>
  </threadedComment>
  <threadedComment ref="H88" dT="2023-01-05T19:11:08.95" personId="{4118DBE1-DABB-4C75-8323-8881E1772D0B}" id="{88A56B7F-DEDB-4AA4-BE66-F661FA1B9674}">
    <text>Pasaron de la D3 desde el 5 de diciembre</text>
  </threadedComment>
  <threadedComment ref="H89" dT="2023-01-05T14:03:16.10" personId="{4118DBE1-DABB-4C75-8323-8881E1772D0B}" id="{83CE0C93-BAE9-4685-9FC1-E53850999CB2}">
    <text>Apoyo de G1D2 de 8 dias</text>
  </threadedComment>
  <threadedComment ref="I91" dT="2023-01-04T14:26:23.61" personId="{4118DBE1-DABB-4C75-8323-8881E1772D0B}" id="{B501B176-10E0-4198-BD11-5C9248911437}">
    <text>vacaciones del 5 al 7</text>
  </threadedComment>
  <threadedComment ref="I93" dT="2023-01-04T14:25:40.42" personId="{4118DBE1-DABB-4C75-8323-8881E1772D0B}" id="{60020A39-2895-40C1-B0A8-73A93B48EAFB}">
    <text>Vacaciones del 26 de dicembre al 2 de enero</text>
  </threadedComment>
  <threadedComment ref="I97" dT="2023-01-04T14:21:38.20" personId="{4118DBE1-DABB-4C75-8323-8881E1772D0B}" id="{87C71AEB-AB98-4896-BE50-23D32DA83B00}">
    <text>VACACIONES hasta el 23 compensacion 26 y 30 licencia del 27 al 29</text>
  </threadedComment>
  <threadedComment ref="I99" dT="2023-01-04T14:27:26.54" personId="{4118DBE1-DABB-4C75-8323-8881E1772D0B}" id="{63906CDC-4950-46F0-B8DF-E56FF7B53C5C}">
    <text>descanso medico del 2 al 6</text>
  </threadedComment>
  <threadedComment ref="I102" dT="2023-01-04T14:38:43.45" personId="{4118DBE1-DABB-4C75-8323-8881E1772D0B}" id="{9B665D97-8DFA-4FB4-923C-72E2EA074324}">
    <text>licencia por paternidad del 26 al 30</text>
  </threadedComment>
  <threadedComment ref="I103" dT="2023-01-04T14:39:31.24" personId="{4118DBE1-DABB-4C75-8323-8881E1772D0B}" id="{7C1E3A64-A9FE-46D3-825B-E57ADD1EED04}">
    <text>vacaciones 2 de diciembre</text>
  </threadedComment>
  <threadedComment ref="I105" dT="2023-01-04T14:40:44.08" personId="{4118DBE1-DABB-4C75-8323-8881E1772D0B}" id="{CDF6745C-C7C6-491F-9EFC-CA6F8A8FE258}">
    <text>vacaciones y cumple del 21 al 28</text>
  </threadedComment>
  <threadedComment ref="I112" dT="2023-01-04T14:46:52.57" personId="{4118DBE1-DABB-4C75-8323-8881E1772D0B}" id="{80AA031E-CF70-42C1-8B1B-4D0B3C9F86E7}">
    <text>Vacaciones del 12 al 22</text>
  </threadedComment>
  <threadedComment ref="I113" dT="2023-01-04T14:48:04.17" personId="{4118DBE1-DABB-4C75-8323-8881E1772D0B}" id="{B6EC6A61-A40A-444A-A441-0D7E0CB2B7BD}">
    <text>vacaciones del 12 al 18</text>
  </threadedComment>
  <threadedComment ref="G115" dT="2023-01-04T14:49:47.16" personId="{4118DBE1-DABB-4C75-8323-8881E1772D0B}" id="{2BC2B13F-1C1D-4912-B421-C8CD2375B905}">
    <text>Apoya supervision de Mari Mariño</text>
  </threadedComment>
  <threadedComment ref="H120" dT="2023-01-05T18:48:50.98" personId="{4118DBE1-DABB-4C75-8323-8881E1772D0B}" id="{76A363D6-9173-4965-A86E-7214E39F2438}">
    <text>Apoyo a esta unidad por 20 dias</text>
  </threadedComment>
  <threadedComment ref="H122" dT="2023-01-05T19:09:08.71" personId="{4118DBE1-DABB-4C75-8323-8881E1772D0B}" id="{73FD51E4-CF39-429D-998D-5FD183B0A291}">
    <text>Pasaron de la D3 a esta division a partir del 5</text>
  </threadedComment>
  <threadedComment ref="H123" dT="2023-01-05T19:12:18.59" personId="{4118DBE1-DABB-4C75-8323-8881E1772D0B}" id="{A257D8D5-B136-4948-8A63-B519AB202EEC}">
    <text>Pasaron de la D3 desde el 5</text>
  </threadedComment>
  <threadedComment ref="I129" dT="2023-01-04T17:50:57.12" personId="{77203EAA-FD58-47E5-83CE-A80E15AF7347}" id="{18041124-6A28-4AC0-95BE-85C57907D891}">
    <text>Licencia por enfermedad</text>
  </threadedComment>
  <threadedComment ref="I130" dT="2023-01-04T17:51:08.75" personId="{77203EAA-FD58-47E5-83CE-A80E15AF7347}" id="{FDD4775B-0B5F-47DA-B0E4-1B4E11000F98}">
    <text>Licencia por enfermedad</text>
  </threadedComment>
  <threadedComment ref="E133" dT="2022-12-05T21:21:38.88" personId="{4118DBE1-DABB-4C75-8323-8881E1772D0B}" id="{2F56081C-1A2F-4707-84DB-B3A6479AAE17}">
    <text>Nunca perteneció a la division ni laboró en la division Cumplimiento 7U4203</text>
  </threadedComment>
  <threadedComment ref="I146" dT="2023-01-04T17:52:09.40" personId="{77203EAA-FD58-47E5-83CE-A80E15AF7347}" id="{7937FFB5-CCC6-4D34-AD70-96655F6EDB16}">
    <text>Licencia por enfermedad</text>
  </threadedComment>
  <threadedComment ref="I149" dT="2023-01-04T17:52:24.73" personId="{77203EAA-FD58-47E5-83CE-A80E15AF7347}" id="{0A3F85B3-0DBE-4A49-BA53-7000F3539C1D}">
    <text>Licencia por enfermedad</text>
  </threadedComment>
  <threadedComment ref="I150" dT="2023-01-04T17:52:31.50" personId="{77203EAA-FD58-47E5-83CE-A80E15AF7347}" id="{99C3BCC1-3D3A-4E38-90E8-E9A2A55B7589}">
    <text>Licencia por enfermedad</text>
  </threadedComment>
  <threadedComment ref="I157" dT="2023-01-04T17:52:45.42" personId="{77203EAA-FD58-47E5-83CE-A80E15AF7347}" id="{23FC2350-E674-447C-87E4-8252118AE7A2}">
    <text>Licencia por enfermedad</text>
  </threadedComment>
  <threadedComment ref="I192" dT="2022-12-02T16:39:18.13" personId="{4118DBE1-DABB-4C75-8323-8881E1772D0B}" id="{9991CC9F-3DC3-43B1-89BE-A102E7954D01}">
    <text>licencia por maternidad del 29 de nov al 6 de marz</text>
  </threadedComment>
  <threadedComment ref="E200" dT="2022-11-23T22:00:37.81" personId="{4118DBE1-DABB-4C75-8323-8881E1772D0B}" id="{993CDE65-E022-4C27-AD23-A88CCAD45807}">
    <text>Se agregó a la lista a partir de la data de producción. El Área no la reportó en este relevamiento pero si confirmó que labora en la supervisión. A falta de información se considera tiempo completo (21 dh)</text>
  </threadedComment>
  <threadedComment ref="H203" dT="2023-01-06T04:25:27.37" personId="{4118DBE1-DABB-4C75-8323-8881E1772D0B}" id="{A3F6E46A-675B-44EC-A01B-07D623C9E4E2}">
    <text>apoyo de 7u5103 por 15 dias</text>
  </threadedComment>
  <threadedComment ref="H204" dT="2023-01-06T04:25:27.37" personId="{4118DBE1-DABB-4C75-8323-8881E1772D0B}" id="{4AAEEA6F-126A-4693-8FFC-B78E36590C09}">
    <text>apoyo de 7u5103 por 13 dias</text>
  </threadedComment>
  <threadedComment ref="H205" dT="2023-01-06T04:25:27.37" personId="{4118DBE1-DABB-4C75-8323-8881E1772D0B}" id="{D64C59EB-05FE-41C6-AE72-831F28855F22}">
    <text>apoyo de G1D4 por 11 dias</text>
  </threadedComment>
  <threadedComment ref="I207" dT="2022-12-06T20:30:03.52" personId="{4118DBE1-DABB-4C75-8323-8881E1772D0B}" id="{8F93347B-5F27-4A9C-9D8C-BA05ED178C08}">
    <text>VE ADMISIBILIDAD DE APELACIONES ipcn</text>
  </threadedComment>
  <threadedComment ref="I215" dT="2022-12-06T20:21:37.72" personId="{4118DBE1-DABB-4C75-8323-8881E1772D0B}" id="{16FF43EE-A4CD-4E9A-AB3C-F0F9CB49EDE5}">
    <text>descanso medico del 1 al 29 y del 30 de nov al 21 de dic</text>
  </threadedComment>
  <threadedComment ref="H218" dT="2022-12-07T00:26:56.36" personId="{4118DBE1-DABB-4C75-8323-8881E1772D0B}" id="{6829E16A-265E-45A1-AB92-E4EC99393C22}">
    <text>Se encarga de Monitor de equipo 6 a partir del 21de noviembre</text>
  </threadedComment>
  <threadedComment ref="G224" dT="2023-01-04T14:49:47.16" personId="{4118DBE1-DABB-4C75-8323-8881E1772D0B}" id="{1B5A5CBE-4669-4789-A08E-6F7241A88EA3}">
    <text>Apoya supervision de Mari Mariño</text>
  </threadedComment>
  <threadedComment ref="G227" dT="2022-11-11T16:39:02.69" personId="{4118DBE1-DABB-4C75-8323-8881E1772D0B}" id="{4F48FF2F-804C-467F-BF3E-6A7BD2C0F132}">
    <text>siempre estuvo laborando en 4103</text>
  </threadedComment>
  <threadedComment ref="H235" dT="2023-01-06T04:35:04.67" personId="{4118DBE1-DABB-4C75-8323-8881E1772D0B}" id="{705F229C-6128-4C67-B260-368E64910EC1}">
    <text>Apoyo de la G2D2 por 2 dias</text>
  </threadedComment>
  <threadedComment ref="H236" dT="2023-01-06T04:35:04.67" personId="{4118DBE1-DABB-4C75-8323-8881E1772D0B}" id="{34EB25FA-A522-4CD8-BE77-E65BA424F712}">
    <text>Apoyo de la G2D2 por 2 dias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L1" dT="2023-01-05T14:29:00.15" personId="{4118DBE1-DABB-4C75-8323-8881E1772D0B}" id="{DE134800-2C04-4B6F-A6F8-76699625BACD}">
    <text>Diciembre tiene 21 dh</text>
  </threadedComment>
  <threadedComment ref="J13" dT="2023-01-19T21:05:06.05" personId="{4118DBE1-DABB-4C75-8323-8881E1772D0B}" id="{E7F50F7F-A398-4051-B8D9-711D35078724}">
    <text>Apoyo de colaborador de la unidad 7U5201</text>
  </threadedComment>
</ThreadedComment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2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695EC-1F03-47C3-BBB7-7F63784317B2}">
  <dimension ref="A1:A13"/>
  <sheetViews>
    <sheetView workbookViewId="0">
      <selection activeCell="A2" sqref="A2:A13"/>
    </sheetView>
  </sheetViews>
  <sheetFormatPr defaultColWidth="11.42578125" defaultRowHeight="14.45"/>
  <cols>
    <col min="1" max="1" width="18.140625" customWidth="1"/>
  </cols>
  <sheetData>
    <row r="1" spans="1:1" ht="18.600000000000001">
      <c r="A1" s="2" t="s">
        <v>0</v>
      </c>
    </row>
    <row r="2" spans="1:1">
      <c r="A2" s="24" t="s">
        <v>1</v>
      </c>
    </row>
    <row r="3" spans="1:1">
      <c r="A3" s="24" t="s">
        <v>2</v>
      </c>
    </row>
    <row r="4" spans="1:1">
      <c r="A4" s="24" t="s">
        <v>3</v>
      </c>
    </row>
    <row r="5" spans="1:1">
      <c r="A5" s="24" t="s">
        <v>4</v>
      </c>
    </row>
    <row r="6" spans="1:1">
      <c r="A6" s="24" t="s">
        <v>5</v>
      </c>
    </row>
    <row r="7" spans="1:1">
      <c r="A7" s="24" t="s">
        <v>6</v>
      </c>
    </row>
    <row r="8" spans="1:1">
      <c r="A8" s="24" t="s">
        <v>7</v>
      </c>
    </row>
    <row r="9" spans="1:1">
      <c r="A9" s="24" t="s">
        <v>8</v>
      </c>
    </row>
    <row r="10" spans="1:1">
      <c r="A10" s="58" t="s">
        <v>9</v>
      </c>
    </row>
    <row r="11" spans="1:1">
      <c r="A11" s="24" t="s">
        <v>10</v>
      </c>
    </row>
    <row r="12" spans="1:1">
      <c r="A12" s="24" t="s">
        <v>11</v>
      </c>
    </row>
    <row r="13" spans="1:1">
      <c r="A13" s="24"/>
    </row>
  </sheetData>
  <sortState xmlns:xlrd2="http://schemas.microsoft.com/office/spreadsheetml/2017/richdata2" ref="A2:A15">
    <sortCondition ref="A2:A1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0DD0A-42F9-49B1-8EC2-4ECDD15512AB}">
  <dimension ref="A1:AN58"/>
  <sheetViews>
    <sheetView zoomScale="70" zoomScaleNormal="70" workbookViewId="0">
      <selection activeCell="L5" sqref="L5"/>
    </sheetView>
  </sheetViews>
  <sheetFormatPr defaultColWidth="11.42578125" defaultRowHeight="14.45"/>
  <cols>
    <col min="1" max="1" width="9.140625" bestFit="1" customWidth="1"/>
    <col min="2" max="2" width="7.85546875" bestFit="1" customWidth="1"/>
    <col min="3" max="3" width="64.85546875" bestFit="1" customWidth="1"/>
    <col min="4" max="4" width="9.85546875" bestFit="1" customWidth="1"/>
    <col min="5" max="5" width="36.85546875" bestFit="1" customWidth="1"/>
    <col min="6" max="6" width="13.42578125" bestFit="1" customWidth="1"/>
    <col min="7" max="7" width="18.140625" bestFit="1" customWidth="1"/>
    <col min="8" max="8" width="11.5703125" bestFit="1" customWidth="1"/>
    <col min="9" max="9" width="17.5703125" bestFit="1" customWidth="1"/>
    <col min="10" max="10" width="12.140625" bestFit="1" customWidth="1"/>
    <col min="11" max="11" width="15.140625" bestFit="1" customWidth="1"/>
    <col min="12" max="12" width="11.85546875" bestFit="1" customWidth="1"/>
    <col min="13" max="13" width="9.5703125" bestFit="1" customWidth="1"/>
    <col min="14" max="14" width="3.42578125" bestFit="1" customWidth="1"/>
  </cols>
  <sheetData>
    <row r="1" spans="1:40" s="6" customFormat="1" ht="36.950000000000003">
      <c r="A1" s="1" t="s">
        <v>12</v>
      </c>
      <c r="B1" s="2" t="s">
        <v>13</v>
      </c>
      <c r="C1" s="3" t="s">
        <v>14</v>
      </c>
      <c r="D1" s="2" t="s">
        <v>15</v>
      </c>
      <c r="E1" s="2" t="s">
        <v>16</v>
      </c>
      <c r="F1" s="2" t="s">
        <v>0</v>
      </c>
      <c r="G1" s="4" t="s">
        <v>17</v>
      </c>
      <c r="H1" s="4" t="s">
        <v>18</v>
      </c>
      <c r="I1" s="4" t="s">
        <v>19</v>
      </c>
      <c r="J1" s="4" t="s">
        <v>20</v>
      </c>
      <c r="K1" s="4" t="s">
        <v>21</v>
      </c>
      <c r="L1" s="5" t="s">
        <v>22</v>
      </c>
      <c r="M1" s="5" t="s">
        <v>23</v>
      </c>
    </row>
    <row r="2" spans="1:40" ht="18.600000000000001">
      <c r="A2" s="97"/>
      <c r="B2" s="140" t="s">
        <v>24</v>
      </c>
      <c r="C2" s="117" t="s">
        <v>25</v>
      </c>
      <c r="D2" s="118" t="s">
        <v>26</v>
      </c>
      <c r="E2" s="119" t="s">
        <v>27</v>
      </c>
      <c r="F2" s="120" t="s">
        <v>7</v>
      </c>
      <c r="G2" s="101"/>
      <c r="H2" s="102"/>
      <c r="I2" s="103"/>
      <c r="J2" s="103"/>
      <c r="K2" s="103"/>
      <c r="L2" s="103"/>
      <c r="M2" s="104"/>
      <c r="N2" s="6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21"/>
      <c r="AA2" s="121"/>
      <c r="AB2" s="121"/>
      <c r="AC2" s="121"/>
      <c r="AD2" s="121"/>
      <c r="AE2" s="121"/>
      <c r="AF2" s="121"/>
      <c r="AG2" s="121"/>
      <c r="AH2" s="121"/>
      <c r="AI2" s="121"/>
      <c r="AJ2" s="121"/>
      <c r="AK2" s="121"/>
      <c r="AL2" s="121"/>
      <c r="AM2" s="121"/>
      <c r="AN2" s="122"/>
    </row>
    <row r="3" spans="1:40" ht="18.600000000000001">
      <c r="A3" s="97"/>
      <c r="B3" s="99" t="s">
        <v>28</v>
      </c>
      <c r="C3" s="99" t="s">
        <v>29</v>
      </c>
      <c r="D3" s="123" t="s">
        <v>30</v>
      </c>
      <c r="E3" s="98" t="s">
        <v>31</v>
      </c>
      <c r="F3" s="98" t="s">
        <v>8</v>
      </c>
      <c r="G3" s="101"/>
      <c r="H3" s="102"/>
      <c r="I3" s="103"/>
      <c r="J3" s="103"/>
      <c r="K3" s="103"/>
      <c r="L3" s="103"/>
      <c r="M3" s="104"/>
      <c r="N3" s="6"/>
      <c r="O3" s="121"/>
      <c r="P3" s="121"/>
      <c r="Q3" s="121"/>
      <c r="R3" s="121"/>
      <c r="S3" s="121"/>
      <c r="T3" s="121"/>
      <c r="U3" s="121"/>
      <c r="V3" s="121"/>
      <c r="W3" s="121"/>
      <c r="X3" s="121"/>
      <c r="Y3" s="121"/>
      <c r="Z3" s="121"/>
      <c r="AA3" s="121"/>
      <c r="AB3" s="121"/>
      <c r="AC3" s="121"/>
      <c r="AD3" s="121"/>
      <c r="AE3" s="121"/>
      <c r="AF3" s="121"/>
      <c r="AG3" s="121"/>
      <c r="AH3" s="121"/>
      <c r="AI3" s="121"/>
      <c r="AJ3" s="121"/>
      <c r="AK3" s="121"/>
      <c r="AL3" s="121"/>
      <c r="AM3" s="121"/>
      <c r="AN3" s="121"/>
    </row>
    <row r="4" spans="1:40" ht="18.600000000000001">
      <c r="A4" s="97"/>
      <c r="B4" s="107" t="s">
        <v>32</v>
      </c>
      <c r="C4" s="107" t="s">
        <v>33</v>
      </c>
      <c r="D4" s="108" t="s">
        <v>34</v>
      </c>
      <c r="E4" s="106" t="s">
        <v>35</v>
      </c>
      <c r="F4" s="106" t="s">
        <v>10</v>
      </c>
      <c r="G4" s="101"/>
      <c r="H4" s="102"/>
      <c r="I4" s="103"/>
      <c r="J4" s="103"/>
      <c r="K4" s="103"/>
      <c r="L4" s="30"/>
      <c r="M4" s="31"/>
      <c r="N4" s="6"/>
      <c r="O4" s="121"/>
      <c r="P4" s="121"/>
      <c r="Q4" s="121"/>
      <c r="R4" s="121"/>
      <c r="S4" s="121"/>
      <c r="T4" s="121"/>
      <c r="U4" s="121"/>
      <c r="V4" s="121"/>
      <c r="W4" s="121"/>
      <c r="X4" s="121"/>
      <c r="Y4" s="121"/>
      <c r="Z4" s="121"/>
      <c r="AA4" s="121"/>
      <c r="AB4" s="121"/>
      <c r="AC4" s="121"/>
      <c r="AD4" s="121"/>
      <c r="AE4" s="121"/>
      <c r="AF4" s="121"/>
      <c r="AG4" s="121"/>
      <c r="AH4" s="121"/>
      <c r="AI4" s="121"/>
      <c r="AJ4" s="121"/>
      <c r="AK4" s="121"/>
      <c r="AL4" s="121"/>
      <c r="AM4" s="121"/>
      <c r="AN4" s="121"/>
    </row>
    <row r="5" spans="1:40" ht="18.600000000000001">
      <c r="A5" s="97"/>
      <c r="B5" s="109"/>
      <c r="C5" s="110"/>
      <c r="D5" s="111"/>
      <c r="E5" s="109"/>
      <c r="F5" s="109"/>
      <c r="G5" s="101"/>
      <c r="H5" s="102"/>
      <c r="I5" s="103"/>
      <c r="J5" s="103"/>
      <c r="K5" s="103"/>
      <c r="L5" s="30">
        <f t="shared" ref="L5:L53" si="0">SUM(H5:K5)</f>
        <v>0</v>
      </c>
      <c r="M5" s="31" t="e">
        <f t="shared" ref="M5:M53" si="1">+J5/L5</f>
        <v>#DIV/0!</v>
      </c>
      <c r="N5" s="6"/>
      <c r="O5" s="121"/>
      <c r="P5" s="121"/>
      <c r="Q5" s="121"/>
      <c r="R5" s="121"/>
      <c r="S5" s="121"/>
      <c r="T5" s="121"/>
      <c r="U5" s="121"/>
      <c r="V5" s="121"/>
      <c r="W5" s="121"/>
      <c r="X5" s="121"/>
      <c r="Y5" s="121"/>
      <c r="Z5" s="121"/>
      <c r="AA5" s="121"/>
      <c r="AB5" s="121"/>
      <c r="AC5" s="121"/>
      <c r="AD5" s="121"/>
      <c r="AE5" s="121"/>
      <c r="AF5" s="121"/>
      <c r="AG5" s="121"/>
      <c r="AH5" s="121"/>
      <c r="AI5" s="121"/>
      <c r="AJ5" s="121"/>
      <c r="AK5" s="121"/>
      <c r="AL5" s="121"/>
      <c r="AM5" s="121"/>
      <c r="AN5" s="121"/>
    </row>
    <row r="6" spans="1:40" ht="18.600000000000001">
      <c r="A6" s="97"/>
      <c r="B6" s="109"/>
      <c r="C6" s="110"/>
      <c r="D6" s="111"/>
      <c r="E6" s="109"/>
      <c r="F6" s="109"/>
      <c r="G6" s="101"/>
      <c r="H6" s="102"/>
      <c r="I6" s="103"/>
      <c r="J6" s="103"/>
      <c r="K6" s="103"/>
      <c r="L6" s="30">
        <f t="shared" si="0"/>
        <v>0</v>
      </c>
      <c r="M6" s="31" t="e">
        <f t="shared" si="1"/>
        <v>#DIV/0!</v>
      </c>
      <c r="N6" s="6"/>
      <c r="O6" s="121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21"/>
      <c r="AA6" s="121"/>
      <c r="AB6" s="121"/>
      <c r="AC6" s="121"/>
      <c r="AD6" s="121"/>
      <c r="AE6" s="121"/>
      <c r="AF6" s="121"/>
      <c r="AG6" s="121"/>
      <c r="AH6" s="121"/>
      <c r="AI6" s="121"/>
      <c r="AJ6" s="121"/>
      <c r="AK6" s="121"/>
      <c r="AL6" s="121"/>
      <c r="AM6" s="121"/>
      <c r="AN6" s="121"/>
    </row>
    <row r="7" spans="1:40" ht="18.600000000000001">
      <c r="A7" s="97"/>
      <c r="B7" s="109"/>
      <c r="C7" s="110"/>
      <c r="D7" s="111"/>
      <c r="E7" s="109"/>
      <c r="F7" s="109"/>
      <c r="G7" s="101"/>
      <c r="H7" s="102"/>
      <c r="I7" s="103"/>
      <c r="J7" s="103"/>
      <c r="K7" s="103"/>
      <c r="L7" s="30">
        <f t="shared" si="0"/>
        <v>0</v>
      </c>
      <c r="M7" s="31" t="e">
        <f t="shared" si="1"/>
        <v>#DIV/0!</v>
      </c>
      <c r="N7" s="6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21"/>
      <c r="AF7" s="121"/>
      <c r="AG7" s="121"/>
      <c r="AH7" s="121"/>
      <c r="AI7" s="121"/>
      <c r="AJ7" s="121"/>
      <c r="AK7" s="121"/>
      <c r="AL7" s="121"/>
      <c r="AM7" s="121"/>
      <c r="AN7" s="121"/>
    </row>
    <row r="8" spans="1:40" ht="18.600000000000001">
      <c r="A8" s="97"/>
      <c r="B8" s="109"/>
      <c r="C8" s="110"/>
      <c r="D8" s="111"/>
      <c r="E8" s="109"/>
      <c r="F8" s="109"/>
      <c r="G8" s="101"/>
      <c r="H8" s="102"/>
      <c r="I8" s="103"/>
      <c r="J8" s="103"/>
      <c r="K8" s="103"/>
      <c r="L8" s="30">
        <f t="shared" si="0"/>
        <v>0</v>
      </c>
      <c r="M8" s="31" t="e">
        <f t="shared" si="1"/>
        <v>#DIV/0!</v>
      </c>
      <c r="N8" s="6"/>
      <c r="O8" s="121"/>
      <c r="P8" s="121"/>
      <c r="Q8" s="121"/>
      <c r="R8" s="121"/>
      <c r="S8" s="121"/>
      <c r="T8" s="121"/>
      <c r="U8" s="121"/>
      <c r="V8" s="121"/>
      <c r="W8" s="121"/>
      <c r="X8" s="121"/>
      <c r="Y8" s="121"/>
      <c r="Z8" s="121"/>
      <c r="AA8" s="121"/>
      <c r="AB8" s="121"/>
      <c r="AC8" s="121"/>
      <c r="AD8" s="121"/>
      <c r="AE8" s="121"/>
      <c r="AF8" s="121"/>
      <c r="AG8" s="121"/>
      <c r="AH8" s="121"/>
      <c r="AI8" s="121"/>
      <c r="AJ8" s="121"/>
      <c r="AK8" s="121"/>
      <c r="AL8" s="121"/>
      <c r="AM8" s="121"/>
      <c r="AN8" s="121"/>
    </row>
    <row r="9" spans="1:40" ht="18.600000000000001">
      <c r="A9" s="97"/>
      <c r="B9" s="109"/>
      <c r="C9" s="110"/>
      <c r="D9" s="111"/>
      <c r="E9" s="110"/>
      <c r="F9" s="109"/>
      <c r="G9" s="101"/>
      <c r="H9" s="102"/>
      <c r="I9" s="103"/>
      <c r="J9" s="103"/>
      <c r="K9" s="103"/>
      <c r="L9" s="30">
        <f t="shared" si="0"/>
        <v>0</v>
      </c>
      <c r="M9" s="31" t="e">
        <f t="shared" si="1"/>
        <v>#DIV/0!</v>
      </c>
      <c r="N9" s="6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  <c r="AA9" s="121"/>
      <c r="AB9" s="121"/>
      <c r="AC9" s="121"/>
      <c r="AD9" s="121"/>
      <c r="AE9" s="121"/>
      <c r="AF9" s="121"/>
      <c r="AG9" s="121"/>
      <c r="AH9" s="121"/>
      <c r="AI9" s="121"/>
      <c r="AJ9" s="121"/>
      <c r="AK9" s="121"/>
      <c r="AL9" s="121"/>
      <c r="AM9" s="121"/>
      <c r="AN9" s="121"/>
    </row>
    <row r="10" spans="1:40" ht="18.600000000000001">
      <c r="A10" s="97"/>
      <c r="B10" s="109"/>
      <c r="C10" s="110"/>
      <c r="D10" s="126"/>
      <c r="E10" s="127"/>
      <c r="F10" s="109"/>
      <c r="G10" s="101"/>
      <c r="H10" s="102"/>
      <c r="I10" s="103"/>
      <c r="J10" s="103"/>
      <c r="K10" s="103"/>
      <c r="L10" s="30">
        <f t="shared" si="0"/>
        <v>0</v>
      </c>
      <c r="M10" s="31" t="e">
        <f t="shared" si="1"/>
        <v>#DIV/0!</v>
      </c>
      <c r="N10" s="6"/>
      <c r="O10" s="121"/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21"/>
      <c r="AA10" s="121"/>
      <c r="AB10" s="121"/>
      <c r="AC10" s="121"/>
      <c r="AD10" s="121"/>
      <c r="AE10" s="121"/>
      <c r="AF10" s="121"/>
      <c r="AG10" s="121"/>
      <c r="AH10" s="121"/>
      <c r="AI10" s="121"/>
      <c r="AJ10" s="121"/>
      <c r="AK10" s="121"/>
      <c r="AL10" s="121"/>
      <c r="AM10" s="121"/>
      <c r="AN10" s="121"/>
    </row>
    <row r="11" spans="1:40" ht="18.600000000000001">
      <c r="A11" s="97"/>
      <c r="B11" s="107" t="s">
        <v>36</v>
      </c>
      <c r="C11" s="107" t="s">
        <v>37</v>
      </c>
      <c r="D11" s="108" t="s">
        <v>38</v>
      </c>
      <c r="E11" s="106" t="s">
        <v>39</v>
      </c>
      <c r="F11" s="106" t="s">
        <v>10</v>
      </c>
      <c r="G11" s="101"/>
      <c r="H11" s="102"/>
      <c r="I11" s="103"/>
      <c r="J11" s="103"/>
      <c r="K11" s="103"/>
      <c r="L11" s="30"/>
      <c r="M11" s="31"/>
      <c r="N11" s="6"/>
      <c r="O11" s="121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21"/>
      <c r="AA11" s="121"/>
      <c r="AB11" s="121"/>
      <c r="AC11" s="121"/>
      <c r="AD11" s="121"/>
      <c r="AE11" s="121"/>
      <c r="AF11" s="121"/>
      <c r="AG11" s="121"/>
      <c r="AH11" s="121"/>
      <c r="AI11" s="121"/>
      <c r="AJ11" s="121"/>
      <c r="AK11" s="121"/>
      <c r="AL11" s="121"/>
      <c r="AM11" s="121"/>
      <c r="AN11" s="121"/>
    </row>
    <row r="12" spans="1:40" ht="18.600000000000001">
      <c r="A12" s="97"/>
      <c r="B12" s="109"/>
      <c r="C12" s="110"/>
      <c r="D12" s="111"/>
      <c r="E12" s="109"/>
      <c r="F12" s="109"/>
      <c r="G12" s="101"/>
      <c r="H12" s="102"/>
      <c r="I12" s="103"/>
      <c r="J12" s="103"/>
      <c r="K12" s="103"/>
      <c r="L12" s="30">
        <f t="shared" si="0"/>
        <v>0</v>
      </c>
      <c r="M12" s="31" t="e">
        <f t="shared" si="1"/>
        <v>#DIV/0!</v>
      </c>
      <c r="N12" s="6"/>
      <c r="O12" s="121"/>
      <c r="P12" s="121"/>
      <c r="Q12" s="121"/>
      <c r="R12" s="121"/>
      <c r="S12" s="121"/>
      <c r="T12" s="121"/>
      <c r="U12" s="121"/>
      <c r="V12" s="121"/>
      <c r="W12" s="121"/>
      <c r="X12" s="121"/>
      <c r="Y12" s="121"/>
      <c r="Z12" s="121"/>
      <c r="AA12" s="121"/>
      <c r="AB12" s="121"/>
      <c r="AC12" s="121"/>
      <c r="AD12" s="121"/>
      <c r="AE12" s="121"/>
      <c r="AF12" s="121"/>
      <c r="AG12" s="121"/>
      <c r="AH12" s="121"/>
      <c r="AI12" s="121"/>
      <c r="AJ12" s="121"/>
      <c r="AK12" s="121"/>
      <c r="AL12" s="121"/>
      <c r="AM12" s="121"/>
      <c r="AN12" s="121"/>
    </row>
    <row r="13" spans="1:40" ht="18.600000000000001">
      <c r="A13" s="97"/>
      <c r="B13" s="109"/>
      <c r="C13" s="110"/>
      <c r="D13" s="111"/>
      <c r="E13" s="109"/>
      <c r="F13" s="109"/>
      <c r="G13" s="101"/>
      <c r="H13" s="102"/>
      <c r="I13" s="103"/>
      <c r="J13" s="103"/>
      <c r="K13" s="103"/>
      <c r="L13" s="30">
        <f t="shared" si="0"/>
        <v>0</v>
      </c>
      <c r="M13" s="31" t="e">
        <f t="shared" si="1"/>
        <v>#DIV/0!</v>
      </c>
      <c r="N13" s="6"/>
      <c r="O13" s="121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  <c r="AA13" s="121"/>
      <c r="AB13" s="121"/>
      <c r="AC13" s="121"/>
      <c r="AD13" s="121"/>
      <c r="AE13" s="121"/>
      <c r="AF13" s="121"/>
      <c r="AG13" s="121"/>
      <c r="AH13" s="121"/>
      <c r="AI13" s="121"/>
      <c r="AJ13" s="121"/>
      <c r="AK13" s="121"/>
      <c r="AL13" s="121"/>
      <c r="AM13" s="121"/>
      <c r="AN13" s="121"/>
    </row>
    <row r="14" spans="1:40" ht="18.600000000000001">
      <c r="A14" s="97"/>
      <c r="B14" s="109"/>
      <c r="C14" s="110"/>
      <c r="D14" s="111"/>
      <c r="E14" s="110"/>
      <c r="F14" s="109"/>
      <c r="G14" s="101"/>
      <c r="H14" s="102"/>
      <c r="I14" s="103"/>
      <c r="J14" s="103"/>
      <c r="K14" s="103"/>
      <c r="L14" s="30">
        <f t="shared" si="0"/>
        <v>0</v>
      </c>
      <c r="M14" s="31" t="e">
        <f t="shared" si="1"/>
        <v>#DIV/0!</v>
      </c>
      <c r="N14" s="6"/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1"/>
      <c r="Z14" s="121"/>
      <c r="AA14" s="121"/>
      <c r="AB14" s="121"/>
      <c r="AC14" s="121"/>
      <c r="AD14" s="121"/>
      <c r="AE14" s="121"/>
      <c r="AF14" s="121"/>
      <c r="AG14" s="121"/>
      <c r="AH14" s="121"/>
      <c r="AI14" s="121"/>
      <c r="AJ14" s="121"/>
      <c r="AK14" s="121"/>
      <c r="AL14" s="121"/>
      <c r="AM14" s="121"/>
      <c r="AN14" s="121"/>
    </row>
    <row r="15" spans="1:40" ht="18.600000000000001">
      <c r="A15" s="97"/>
      <c r="B15" s="109"/>
      <c r="C15" s="110"/>
      <c r="D15" s="111"/>
      <c r="E15" s="110"/>
      <c r="F15" s="109"/>
      <c r="G15" s="101"/>
      <c r="H15" s="102"/>
      <c r="I15" s="103"/>
      <c r="J15" s="103"/>
      <c r="K15" s="103"/>
      <c r="L15" s="30">
        <f t="shared" si="0"/>
        <v>0</v>
      </c>
      <c r="M15" s="31" t="e">
        <f t="shared" si="1"/>
        <v>#DIV/0!</v>
      </c>
      <c r="N15" s="6"/>
      <c r="O15" s="121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21"/>
      <c r="AA15" s="121"/>
      <c r="AB15" s="121"/>
      <c r="AC15" s="121"/>
      <c r="AD15" s="121"/>
      <c r="AE15" s="121"/>
      <c r="AF15" s="121"/>
      <c r="AG15" s="121"/>
      <c r="AH15" s="121"/>
      <c r="AI15" s="121"/>
      <c r="AJ15" s="121"/>
      <c r="AK15" s="121"/>
      <c r="AL15" s="121"/>
      <c r="AM15" s="121"/>
      <c r="AN15" s="121"/>
    </row>
    <row r="16" spans="1:40" ht="18.600000000000001">
      <c r="A16" s="97"/>
      <c r="B16" s="109"/>
      <c r="C16" s="110"/>
      <c r="D16" s="126"/>
      <c r="E16" s="127"/>
      <c r="F16" s="109"/>
      <c r="G16" s="101"/>
      <c r="H16" s="102"/>
      <c r="I16" s="103"/>
      <c r="J16" s="103"/>
      <c r="K16" s="103"/>
      <c r="L16" s="30">
        <f t="shared" si="0"/>
        <v>0</v>
      </c>
      <c r="M16" s="31" t="e">
        <f t="shared" si="1"/>
        <v>#DIV/0!</v>
      </c>
      <c r="N16" s="6"/>
      <c r="O16" s="121"/>
      <c r="P16" s="121"/>
      <c r="Q16" s="121"/>
      <c r="R16" s="121"/>
      <c r="S16" s="121"/>
      <c r="T16" s="121"/>
      <c r="U16" s="121"/>
      <c r="V16" s="121"/>
      <c r="W16" s="121"/>
      <c r="X16" s="121"/>
      <c r="Y16" s="121"/>
      <c r="Z16" s="121"/>
      <c r="AA16" s="121"/>
      <c r="AB16" s="121"/>
      <c r="AC16" s="121"/>
      <c r="AD16" s="121"/>
      <c r="AE16" s="121"/>
      <c r="AF16" s="121"/>
      <c r="AG16" s="121"/>
      <c r="AH16" s="121"/>
      <c r="AI16" s="121"/>
      <c r="AJ16" s="121"/>
      <c r="AK16" s="121"/>
      <c r="AL16" s="121"/>
      <c r="AM16" s="121"/>
      <c r="AN16" s="121"/>
    </row>
    <row r="17" spans="1:40" ht="18.600000000000001">
      <c r="A17" s="97"/>
      <c r="B17" s="109"/>
      <c r="C17" s="110"/>
      <c r="D17" s="111"/>
      <c r="E17" s="109"/>
      <c r="F17" s="109"/>
      <c r="G17" s="101"/>
      <c r="H17" s="102"/>
      <c r="I17" s="103"/>
      <c r="J17" s="103"/>
      <c r="K17" s="103"/>
      <c r="L17" s="30">
        <f t="shared" si="0"/>
        <v>0</v>
      </c>
      <c r="M17" s="31" t="e">
        <f t="shared" si="1"/>
        <v>#DIV/0!</v>
      </c>
      <c r="N17" s="6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  <c r="AA17" s="121"/>
      <c r="AB17" s="121"/>
      <c r="AC17" s="121"/>
      <c r="AD17" s="121"/>
      <c r="AE17" s="121"/>
      <c r="AF17" s="121"/>
      <c r="AG17" s="121"/>
      <c r="AH17" s="121"/>
      <c r="AI17" s="121"/>
      <c r="AJ17" s="121"/>
      <c r="AK17" s="121"/>
      <c r="AL17" s="121"/>
      <c r="AM17" s="121"/>
      <c r="AN17" s="121"/>
    </row>
    <row r="18" spans="1:40" ht="18.600000000000001">
      <c r="A18" s="97"/>
      <c r="B18" s="109"/>
      <c r="C18" s="110"/>
      <c r="D18" s="111"/>
      <c r="E18" s="109"/>
      <c r="F18" s="109"/>
      <c r="G18" s="101"/>
      <c r="H18" s="102"/>
      <c r="I18" s="103"/>
      <c r="J18" s="103"/>
      <c r="K18" s="103"/>
      <c r="L18" s="30">
        <f t="shared" si="0"/>
        <v>0</v>
      </c>
      <c r="M18" s="31" t="e">
        <f t="shared" si="1"/>
        <v>#DIV/0!</v>
      </c>
      <c r="N18" s="6"/>
      <c r="O18" s="121"/>
      <c r="P18" s="121"/>
      <c r="Q18" s="121"/>
      <c r="R18" s="121"/>
      <c r="S18" s="121"/>
      <c r="T18" s="121"/>
      <c r="U18" s="121"/>
      <c r="V18" s="121"/>
      <c r="W18" s="121"/>
      <c r="X18" s="121"/>
      <c r="Y18" s="121"/>
      <c r="Z18" s="121"/>
      <c r="AA18" s="121"/>
      <c r="AB18" s="121"/>
      <c r="AC18" s="121"/>
      <c r="AD18" s="121"/>
      <c r="AE18" s="121"/>
      <c r="AF18" s="121"/>
      <c r="AG18" s="121"/>
      <c r="AH18" s="121"/>
      <c r="AI18" s="121"/>
      <c r="AJ18" s="121"/>
      <c r="AK18" s="121"/>
      <c r="AL18" s="121"/>
      <c r="AM18" s="121"/>
      <c r="AN18" s="121"/>
    </row>
    <row r="19" spans="1:40" ht="18.600000000000001">
      <c r="A19" s="97"/>
      <c r="B19" s="107" t="s">
        <v>40</v>
      </c>
      <c r="C19" s="107" t="s">
        <v>41</v>
      </c>
      <c r="D19" s="108" t="s">
        <v>42</v>
      </c>
      <c r="E19" s="106" t="s">
        <v>43</v>
      </c>
      <c r="F19" s="106" t="s">
        <v>10</v>
      </c>
      <c r="G19" s="101"/>
      <c r="H19" s="102"/>
      <c r="I19" s="103"/>
      <c r="J19" s="103"/>
      <c r="K19" s="103"/>
      <c r="L19" s="30"/>
      <c r="M19" s="31"/>
      <c r="N19" s="6"/>
      <c r="O19" s="121"/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21"/>
      <c r="AA19" s="121"/>
      <c r="AB19" s="121"/>
      <c r="AC19" s="121"/>
      <c r="AD19" s="121"/>
      <c r="AE19" s="121"/>
      <c r="AF19" s="121"/>
      <c r="AG19" s="121"/>
      <c r="AH19" s="121"/>
      <c r="AI19" s="121"/>
      <c r="AJ19" s="121"/>
      <c r="AK19" s="121"/>
      <c r="AL19" s="121"/>
      <c r="AM19" s="121"/>
      <c r="AN19" s="121"/>
    </row>
    <row r="20" spans="1:40" ht="18.600000000000001">
      <c r="A20" s="97"/>
      <c r="B20" s="116"/>
      <c r="C20" s="110"/>
      <c r="D20" s="128"/>
      <c r="E20" s="109"/>
      <c r="F20" s="109"/>
      <c r="G20" s="101"/>
      <c r="H20" s="102"/>
      <c r="I20" s="103"/>
      <c r="J20" s="103"/>
      <c r="K20" s="103"/>
      <c r="L20" s="30">
        <f t="shared" si="0"/>
        <v>0</v>
      </c>
      <c r="M20" s="31" t="e">
        <f t="shared" si="1"/>
        <v>#DIV/0!</v>
      </c>
      <c r="N20" s="6"/>
      <c r="O20" s="121"/>
      <c r="P20" s="121"/>
      <c r="Q20" s="121"/>
      <c r="R20" s="121"/>
      <c r="S20" s="121"/>
      <c r="T20" s="121"/>
      <c r="U20" s="121"/>
      <c r="V20" s="121"/>
      <c r="W20" s="121"/>
      <c r="X20" s="121"/>
      <c r="Y20" s="121"/>
      <c r="Z20" s="121"/>
      <c r="AA20" s="121"/>
      <c r="AB20" s="121"/>
      <c r="AC20" s="121"/>
      <c r="AD20" s="121"/>
      <c r="AE20" s="121"/>
      <c r="AF20" s="121"/>
      <c r="AG20" s="121"/>
      <c r="AH20" s="121"/>
      <c r="AI20" s="121"/>
      <c r="AJ20" s="121"/>
      <c r="AK20" s="121"/>
      <c r="AL20" s="121"/>
      <c r="AM20" s="121"/>
      <c r="AN20" s="121"/>
    </row>
    <row r="21" spans="1:40" ht="18.600000000000001">
      <c r="A21" s="97"/>
      <c r="B21" s="109"/>
      <c r="C21" s="110"/>
      <c r="D21" s="111"/>
      <c r="E21" s="109"/>
      <c r="F21" s="109"/>
      <c r="G21" s="101"/>
      <c r="H21" s="102"/>
      <c r="I21" s="103"/>
      <c r="J21" s="103"/>
      <c r="K21" s="103"/>
      <c r="L21" s="30">
        <f t="shared" si="0"/>
        <v>0</v>
      </c>
      <c r="M21" s="31" t="e">
        <f t="shared" si="1"/>
        <v>#DIV/0!</v>
      </c>
      <c r="N21" s="6"/>
      <c r="O21" s="121"/>
      <c r="P21" s="121"/>
      <c r="Q21" s="121"/>
      <c r="R21" s="121"/>
      <c r="S21" s="121"/>
      <c r="T21" s="121"/>
      <c r="U21" s="121"/>
      <c r="V21" s="121"/>
      <c r="W21" s="121"/>
      <c r="X21" s="121"/>
      <c r="Y21" s="121"/>
      <c r="Z21" s="121"/>
      <c r="AA21" s="121"/>
      <c r="AB21" s="121"/>
      <c r="AC21" s="121"/>
      <c r="AD21" s="121"/>
      <c r="AE21" s="121"/>
      <c r="AF21" s="121"/>
      <c r="AG21" s="121"/>
      <c r="AH21" s="121"/>
      <c r="AI21" s="121"/>
      <c r="AJ21" s="121"/>
      <c r="AK21" s="121"/>
      <c r="AL21" s="121"/>
      <c r="AM21" s="121"/>
      <c r="AN21" s="121"/>
    </row>
    <row r="22" spans="1:40" ht="18.600000000000001">
      <c r="A22" s="97"/>
      <c r="B22" s="109"/>
      <c r="C22" s="110"/>
      <c r="D22" s="111"/>
      <c r="E22" s="109"/>
      <c r="F22" s="109"/>
      <c r="G22" s="101"/>
      <c r="H22" s="102"/>
      <c r="I22" s="103"/>
      <c r="J22" s="103"/>
      <c r="K22" s="103"/>
      <c r="L22" s="30">
        <f t="shared" si="0"/>
        <v>0</v>
      </c>
      <c r="M22" s="31" t="e">
        <f t="shared" si="1"/>
        <v>#DIV/0!</v>
      </c>
      <c r="N22" s="6"/>
      <c r="O22" s="121"/>
      <c r="P22" s="121"/>
      <c r="Q22" s="121"/>
      <c r="R22" s="121"/>
      <c r="S22" s="121"/>
      <c r="T22" s="121"/>
      <c r="U22" s="121"/>
      <c r="V22" s="121"/>
      <c r="W22" s="121"/>
      <c r="X22" s="121"/>
      <c r="Y22" s="121"/>
      <c r="Z22" s="121"/>
      <c r="AA22" s="121"/>
      <c r="AB22" s="121"/>
      <c r="AC22" s="121"/>
      <c r="AD22" s="121"/>
      <c r="AE22" s="121"/>
      <c r="AF22" s="121"/>
      <c r="AG22" s="121"/>
      <c r="AH22" s="121"/>
      <c r="AI22" s="121"/>
      <c r="AJ22" s="121"/>
      <c r="AK22" s="121"/>
      <c r="AL22" s="121"/>
      <c r="AM22" s="121"/>
      <c r="AN22" s="121"/>
    </row>
    <row r="23" spans="1:40" ht="18.600000000000001">
      <c r="A23" s="97"/>
      <c r="B23" s="109"/>
      <c r="C23" s="110"/>
      <c r="D23" s="111"/>
      <c r="E23" s="109"/>
      <c r="F23" s="109"/>
      <c r="G23" s="101"/>
      <c r="H23" s="102"/>
      <c r="I23" s="103"/>
      <c r="J23" s="103"/>
      <c r="K23" s="103"/>
      <c r="L23" s="30">
        <f t="shared" si="0"/>
        <v>0</v>
      </c>
      <c r="M23" s="31" t="e">
        <f t="shared" si="1"/>
        <v>#DIV/0!</v>
      </c>
      <c r="N23" s="6"/>
      <c r="O23" s="121"/>
      <c r="P23" s="121"/>
      <c r="Q23" s="121"/>
      <c r="R23" s="121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  <c r="AC23" s="121"/>
      <c r="AD23" s="121"/>
      <c r="AE23" s="121"/>
      <c r="AF23" s="121"/>
      <c r="AG23" s="121"/>
      <c r="AH23" s="121"/>
      <c r="AI23" s="121"/>
      <c r="AJ23" s="121"/>
      <c r="AK23" s="121"/>
      <c r="AL23" s="121"/>
      <c r="AM23" s="121"/>
      <c r="AN23" s="121"/>
    </row>
    <row r="24" spans="1:40" ht="18.600000000000001">
      <c r="A24" s="97"/>
      <c r="B24" s="109"/>
      <c r="C24" s="110"/>
      <c r="D24" s="111"/>
      <c r="E24" s="109"/>
      <c r="F24" s="109"/>
      <c r="G24" s="101"/>
      <c r="H24" s="102"/>
      <c r="I24" s="103"/>
      <c r="J24" s="103"/>
      <c r="K24" s="103"/>
      <c r="L24" s="30">
        <f t="shared" si="0"/>
        <v>0</v>
      </c>
      <c r="M24" s="31" t="e">
        <f t="shared" si="1"/>
        <v>#DIV/0!</v>
      </c>
      <c r="N24" s="6"/>
      <c r="O24" s="121"/>
      <c r="P24" s="121"/>
      <c r="Q24" s="121"/>
      <c r="R24" s="121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  <c r="AC24" s="121"/>
      <c r="AD24" s="121"/>
      <c r="AE24" s="121"/>
      <c r="AF24" s="121"/>
      <c r="AG24" s="121"/>
      <c r="AH24" s="121"/>
      <c r="AI24" s="121"/>
      <c r="AJ24" s="121"/>
      <c r="AK24" s="121"/>
      <c r="AL24" s="121"/>
      <c r="AM24" s="121"/>
      <c r="AN24" s="121"/>
    </row>
    <row r="25" spans="1:40" ht="18.600000000000001">
      <c r="A25" s="97"/>
      <c r="B25" s="109"/>
      <c r="C25" s="110"/>
      <c r="D25" s="111"/>
      <c r="E25" s="129"/>
      <c r="F25" s="109"/>
      <c r="G25" s="101"/>
      <c r="H25" s="102"/>
      <c r="I25" s="103"/>
      <c r="J25" s="103"/>
      <c r="K25" s="103"/>
      <c r="L25" s="30">
        <f t="shared" si="0"/>
        <v>0</v>
      </c>
      <c r="M25" s="31" t="e">
        <f t="shared" si="1"/>
        <v>#DIV/0!</v>
      </c>
      <c r="N25" s="6"/>
      <c r="O25" s="121"/>
      <c r="P25" s="121"/>
      <c r="Q25" s="121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  <c r="AC25" s="121"/>
      <c r="AD25" s="121"/>
      <c r="AE25" s="121"/>
      <c r="AF25" s="121"/>
      <c r="AG25" s="121"/>
      <c r="AH25" s="121"/>
      <c r="AI25" s="121"/>
      <c r="AJ25" s="121"/>
      <c r="AK25" s="121"/>
      <c r="AL25" s="121"/>
      <c r="AM25" s="121"/>
      <c r="AN25" s="121"/>
    </row>
    <row r="26" spans="1:40" ht="18.600000000000001">
      <c r="A26" s="97"/>
      <c r="B26" s="109"/>
      <c r="C26" s="110"/>
      <c r="D26" s="111"/>
      <c r="E26" s="125"/>
      <c r="F26" s="109"/>
      <c r="G26" s="101"/>
      <c r="H26" s="102"/>
      <c r="I26" s="103"/>
      <c r="J26" s="103"/>
      <c r="K26" s="103"/>
      <c r="L26" s="30">
        <f t="shared" si="0"/>
        <v>0</v>
      </c>
      <c r="M26" s="31" t="e">
        <f t="shared" si="1"/>
        <v>#DIV/0!</v>
      </c>
      <c r="N26" s="6"/>
      <c r="O26" s="121"/>
      <c r="P26" s="121"/>
      <c r="Q26" s="121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  <c r="AC26" s="121"/>
      <c r="AD26" s="121"/>
      <c r="AE26" s="121"/>
      <c r="AF26" s="121"/>
      <c r="AG26" s="121"/>
      <c r="AH26" s="121"/>
      <c r="AI26" s="121"/>
      <c r="AJ26" s="121"/>
      <c r="AK26" s="121"/>
      <c r="AL26" s="121"/>
      <c r="AM26" s="121"/>
      <c r="AN26" s="121"/>
    </row>
    <row r="27" spans="1:40" ht="18.600000000000001">
      <c r="A27" s="97"/>
      <c r="B27" s="130" t="s">
        <v>44</v>
      </c>
      <c r="C27" s="131" t="s">
        <v>45</v>
      </c>
      <c r="D27" s="132" t="s">
        <v>46</v>
      </c>
      <c r="E27" s="130" t="s">
        <v>47</v>
      </c>
      <c r="F27" s="130" t="s">
        <v>10</v>
      </c>
      <c r="G27" s="101"/>
      <c r="H27" s="102"/>
      <c r="I27" s="103"/>
      <c r="J27" s="103"/>
      <c r="K27" s="103"/>
      <c r="L27" s="30"/>
      <c r="M27" s="31"/>
      <c r="N27" s="6"/>
      <c r="O27" s="121"/>
      <c r="P27" s="121"/>
      <c r="Q27" s="121"/>
      <c r="R27" s="121"/>
      <c r="S27" s="121"/>
      <c r="T27" s="121"/>
      <c r="U27" s="121"/>
      <c r="V27" s="121"/>
      <c r="W27" s="121"/>
      <c r="X27" s="121"/>
      <c r="Y27" s="121"/>
      <c r="Z27" s="121"/>
      <c r="AA27" s="121"/>
      <c r="AB27" s="121"/>
      <c r="AC27" s="121"/>
      <c r="AD27" s="121"/>
      <c r="AE27" s="121"/>
      <c r="AF27" s="121"/>
      <c r="AG27" s="121"/>
      <c r="AH27" s="121"/>
      <c r="AI27" s="121"/>
      <c r="AJ27" s="121"/>
      <c r="AK27" s="121"/>
      <c r="AL27" s="121"/>
      <c r="AM27" s="121"/>
      <c r="AN27" s="121"/>
    </row>
    <row r="28" spans="1:40" ht="18.600000000000001">
      <c r="A28" s="97"/>
      <c r="B28" s="133"/>
      <c r="C28" s="134"/>
      <c r="D28" s="135"/>
      <c r="E28" s="133"/>
      <c r="F28" s="133"/>
      <c r="G28" s="101"/>
      <c r="H28" s="102"/>
      <c r="I28" s="103"/>
      <c r="J28" s="103"/>
      <c r="K28" s="103"/>
      <c r="L28" s="30">
        <f t="shared" si="0"/>
        <v>0</v>
      </c>
      <c r="M28" s="31" t="e">
        <f t="shared" si="1"/>
        <v>#DIV/0!</v>
      </c>
      <c r="N28" s="6"/>
      <c r="O28" s="121"/>
      <c r="P28" s="121"/>
      <c r="Q28" s="121"/>
      <c r="R28" s="121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  <c r="AC28" s="121"/>
      <c r="AD28" s="121"/>
      <c r="AE28" s="121"/>
      <c r="AF28" s="121"/>
      <c r="AG28" s="121"/>
      <c r="AH28" s="121"/>
      <c r="AI28" s="121"/>
      <c r="AJ28" s="121"/>
      <c r="AK28" s="121"/>
      <c r="AL28" s="121"/>
      <c r="AM28" s="121"/>
      <c r="AN28" s="121"/>
    </row>
    <row r="29" spans="1:40" ht="18.600000000000001">
      <c r="A29" s="97"/>
      <c r="B29" s="133"/>
      <c r="C29" s="134"/>
      <c r="D29" s="135"/>
      <c r="E29" s="133"/>
      <c r="F29" s="133"/>
      <c r="G29" s="101"/>
      <c r="H29" s="102"/>
      <c r="I29" s="103"/>
      <c r="J29" s="103"/>
      <c r="K29" s="103"/>
      <c r="L29" s="30">
        <f t="shared" si="0"/>
        <v>0</v>
      </c>
      <c r="M29" s="31" t="e">
        <f t="shared" si="1"/>
        <v>#DIV/0!</v>
      </c>
      <c r="N29" s="6"/>
      <c r="O29" s="121"/>
      <c r="P29" s="121"/>
      <c r="Q29" s="121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  <c r="AC29" s="121"/>
      <c r="AD29" s="121"/>
      <c r="AE29" s="121"/>
      <c r="AF29" s="121"/>
      <c r="AG29" s="121"/>
      <c r="AH29" s="121"/>
      <c r="AI29" s="121"/>
      <c r="AJ29" s="121"/>
      <c r="AK29" s="121"/>
      <c r="AL29" s="121"/>
      <c r="AM29" s="121"/>
      <c r="AN29" s="121"/>
    </row>
    <row r="30" spans="1:40" ht="18.600000000000001">
      <c r="A30" s="97"/>
      <c r="B30" s="133"/>
      <c r="C30" s="134"/>
      <c r="D30" s="102"/>
      <c r="E30" s="103"/>
      <c r="F30" s="133"/>
      <c r="G30" s="101"/>
      <c r="H30" s="102"/>
      <c r="I30" s="103"/>
      <c r="J30" s="103"/>
      <c r="K30" s="103"/>
      <c r="L30" s="30">
        <f t="shared" si="0"/>
        <v>0</v>
      </c>
      <c r="M30" s="31" t="e">
        <f t="shared" si="1"/>
        <v>#DIV/0!</v>
      </c>
      <c r="N30" s="6"/>
      <c r="O30" s="121"/>
      <c r="P30" s="121"/>
      <c r="Q30" s="121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  <c r="AC30" s="121"/>
      <c r="AD30" s="121"/>
      <c r="AE30" s="121"/>
      <c r="AF30" s="121"/>
      <c r="AG30" s="121"/>
      <c r="AH30" s="121"/>
      <c r="AI30" s="121"/>
      <c r="AJ30" s="121"/>
      <c r="AK30" s="121"/>
      <c r="AL30" s="121"/>
      <c r="AM30" s="121"/>
      <c r="AN30" s="121"/>
    </row>
    <row r="31" spans="1:40" ht="18.600000000000001">
      <c r="A31" s="97"/>
      <c r="B31" s="133"/>
      <c r="C31" s="134"/>
      <c r="D31" s="102"/>
      <c r="E31" s="103"/>
      <c r="F31" s="133"/>
      <c r="G31" s="101"/>
      <c r="H31" s="102"/>
      <c r="I31" s="103"/>
      <c r="J31" s="103"/>
      <c r="K31" s="103"/>
      <c r="L31" s="30">
        <f t="shared" si="0"/>
        <v>0</v>
      </c>
      <c r="M31" s="31" t="e">
        <f t="shared" si="1"/>
        <v>#DIV/0!</v>
      </c>
      <c r="N31" s="6"/>
      <c r="O31" s="121"/>
      <c r="P31" s="121"/>
      <c r="Q31" s="121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  <c r="AC31" s="121"/>
      <c r="AD31" s="121"/>
      <c r="AE31" s="121"/>
      <c r="AF31" s="121"/>
      <c r="AG31" s="121"/>
      <c r="AH31" s="121"/>
      <c r="AI31" s="121"/>
      <c r="AJ31" s="121"/>
      <c r="AK31" s="121"/>
      <c r="AL31" s="121"/>
      <c r="AM31" s="121"/>
      <c r="AN31" s="121"/>
    </row>
    <row r="32" spans="1:40" ht="18.600000000000001">
      <c r="A32" s="97"/>
      <c r="B32" s="133"/>
      <c r="C32" s="134"/>
      <c r="D32" s="102"/>
      <c r="E32" s="103"/>
      <c r="F32" s="133"/>
      <c r="G32" s="101"/>
      <c r="H32" s="102"/>
      <c r="I32" s="103"/>
      <c r="J32" s="103"/>
      <c r="K32" s="103"/>
      <c r="L32" s="30">
        <f t="shared" si="0"/>
        <v>0</v>
      </c>
      <c r="M32" s="31" t="e">
        <f t="shared" si="1"/>
        <v>#DIV/0!</v>
      </c>
      <c r="N32" s="6"/>
      <c r="O32" s="121"/>
      <c r="P32" s="121"/>
      <c r="Q32" s="121"/>
      <c r="R32" s="121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  <c r="AC32" s="121"/>
      <c r="AD32" s="121"/>
      <c r="AE32" s="121"/>
      <c r="AF32" s="121"/>
      <c r="AG32" s="121"/>
      <c r="AH32" s="121"/>
      <c r="AI32" s="121"/>
      <c r="AJ32" s="121"/>
      <c r="AK32" s="121"/>
      <c r="AL32" s="121"/>
      <c r="AM32" s="121"/>
      <c r="AN32" s="121"/>
    </row>
    <row r="33" spans="1:40" ht="18.600000000000001">
      <c r="A33" s="97"/>
      <c r="B33" s="133"/>
      <c r="C33" s="134"/>
      <c r="D33" s="102"/>
      <c r="E33" s="103"/>
      <c r="F33" s="133"/>
      <c r="G33" s="101"/>
      <c r="H33" s="102"/>
      <c r="I33" s="103"/>
      <c r="J33" s="103"/>
      <c r="K33" s="103"/>
      <c r="L33" s="30">
        <f t="shared" si="0"/>
        <v>0</v>
      </c>
      <c r="M33" s="31" t="e">
        <f t="shared" si="1"/>
        <v>#DIV/0!</v>
      </c>
      <c r="N33" s="6"/>
      <c r="O33" s="121"/>
      <c r="P33" s="121"/>
      <c r="Q33" s="121"/>
      <c r="R33" s="121"/>
      <c r="S33" s="121"/>
      <c r="T33" s="121"/>
      <c r="U33" s="121"/>
      <c r="V33" s="121"/>
      <c r="W33" s="121"/>
      <c r="X33" s="121"/>
      <c r="Y33" s="121"/>
      <c r="Z33" s="121"/>
      <c r="AA33" s="121"/>
      <c r="AB33" s="121"/>
      <c r="AC33" s="121"/>
      <c r="AD33" s="121"/>
      <c r="AE33" s="121"/>
      <c r="AF33" s="121"/>
      <c r="AG33" s="121"/>
      <c r="AH33" s="121"/>
      <c r="AI33" s="121"/>
      <c r="AJ33" s="121"/>
      <c r="AK33" s="121"/>
      <c r="AL33" s="121"/>
      <c r="AM33" s="121"/>
      <c r="AN33" s="121"/>
    </row>
    <row r="34" spans="1:40" ht="18.600000000000001">
      <c r="A34" s="97"/>
      <c r="B34" s="133"/>
      <c r="C34" s="134"/>
      <c r="D34" s="102"/>
      <c r="E34" s="103"/>
      <c r="F34" s="133"/>
      <c r="G34" s="101"/>
      <c r="H34" s="102"/>
      <c r="I34" s="103"/>
      <c r="J34" s="103"/>
      <c r="K34" s="103"/>
      <c r="L34" s="30">
        <f t="shared" si="0"/>
        <v>0</v>
      </c>
      <c r="M34" s="31" t="e">
        <f t="shared" si="1"/>
        <v>#DIV/0!</v>
      </c>
      <c r="N34" s="6"/>
      <c r="O34" s="121"/>
      <c r="P34" s="121"/>
      <c r="Q34" s="121"/>
      <c r="R34" s="121"/>
      <c r="S34" s="121"/>
      <c r="T34" s="121"/>
      <c r="U34" s="121"/>
      <c r="V34" s="121"/>
      <c r="W34" s="121"/>
      <c r="X34" s="121"/>
      <c r="Y34" s="121"/>
      <c r="Z34" s="121"/>
      <c r="AA34" s="121"/>
      <c r="AB34" s="121"/>
      <c r="AC34" s="121"/>
      <c r="AD34" s="121"/>
      <c r="AE34" s="121"/>
      <c r="AF34" s="121"/>
      <c r="AG34" s="121"/>
      <c r="AH34" s="121"/>
      <c r="AI34" s="121"/>
      <c r="AJ34" s="121"/>
      <c r="AK34" s="121"/>
      <c r="AL34" s="121"/>
      <c r="AM34" s="121"/>
      <c r="AN34" s="121"/>
    </row>
    <row r="35" spans="1:40" ht="18.600000000000001">
      <c r="A35" s="97"/>
      <c r="B35" s="133"/>
      <c r="C35" s="134"/>
      <c r="D35" s="102"/>
      <c r="E35" s="103"/>
      <c r="F35" s="133"/>
      <c r="G35" s="101"/>
      <c r="H35" s="102"/>
      <c r="I35" s="103"/>
      <c r="J35" s="103"/>
      <c r="K35" s="103"/>
      <c r="L35" s="30">
        <f t="shared" si="0"/>
        <v>0</v>
      </c>
      <c r="M35" s="31" t="e">
        <f t="shared" si="1"/>
        <v>#DIV/0!</v>
      </c>
      <c r="N35" s="6"/>
      <c r="O35" s="121"/>
      <c r="P35" s="121"/>
      <c r="Q35" s="121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  <c r="AC35" s="121"/>
      <c r="AD35" s="121"/>
      <c r="AE35" s="121"/>
      <c r="AF35" s="121"/>
      <c r="AG35" s="121"/>
      <c r="AH35" s="121"/>
      <c r="AI35" s="121"/>
      <c r="AJ35" s="121"/>
      <c r="AK35" s="121"/>
      <c r="AL35" s="121"/>
      <c r="AM35" s="121"/>
      <c r="AN35" s="121"/>
    </row>
    <row r="36" spans="1:40" ht="18.600000000000001">
      <c r="A36" s="97"/>
      <c r="B36" s="106" t="s">
        <v>48</v>
      </c>
      <c r="C36" s="107" t="s">
        <v>49</v>
      </c>
      <c r="D36" s="108" t="s">
        <v>50</v>
      </c>
      <c r="E36" s="107" t="s">
        <v>51</v>
      </c>
      <c r="F36" s="130" t="s">
        <v>9</v>
      </c>
      <c r="G36" s="101"/>
      <c r="H36" s="102"/>
      <c r="I36" s="103"/>
      <c r="J36" s="103"/>
      <c r="K36" s="103"/>
      <c r="L36" s="30"/>
      <c r="M36" s="31"/>
      <c r="N36" s="6"/>
      <c r="O36" s="121"/>
      <c r="P36" s="121"/>
      <c r="Q36" s="121"/>
      <c r="R36" s="121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  <c r="AC36" s="121"/>
      <c r="AD36" s="121"/>
      <c r="AE36" s="121"/>
      <c r="AF36" s="121"/>
      <c r="AG36" s="121"/>
      <c r="AH36" s="121"/>
      <c r="AI36" s="121"/>
      <c r="AJ36" s="121"/>
      <c r="AK36" s="121"/>
      <c r="AL36" s="121"/>
      <c r="AM36" s="121"/>
      <c r="AN36" s="121"/>
    </row>
    <row r="37" spans="1:40" ht="18.600000000000001">
      <c r="A37" s="97"/>
      <c r="B37" s="109"/>
      <c r="C37" s="110"/>
      <c r="D37" s="102"/>
      <c r="E37" s="103"/>
      <c r="F37" s="133"/>
      <c r="G37" s="101"/>
      <c r="H37" s="102"/>
      <c r="I37" s="103"/>
      <c r="J37" s="103"/>
      <c r="K37" s="103"/>
      <c r="L37" s="30">
        <f t="shared" si="0"/>
        <v>0</v>
      </c>
      <c r="M37" s="31" t="e">
        <f t="shared" si="1"/>
        <v>#DIV/0!</v>
      </c>
      <c r="N37" s="6"/>
      <c r="O37" s="121"/>
      <c r="P37" s="121"/>
      <c r="Q37" s="121"/>
      <c r="R37" s="121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  <c r="AC37" s="121"/>
      <c r="AD37" s="121"/>
      <c r="AE37" s="121"/>
      <c r="AF37" s="121"/>
      <c r="AG37" s="121"/>
      <c r="AH37" s="121"/>
      <c r="AI37" s="121"/>
      <c r="AJ37" s="121"/>
      <c r="AK37" s="121"/>
      <c r="AL37" s="121"/>
      <c r="AM37" s="121"/>
      <c r="AN37" s="121"/>
    </row>
    <row r="38" spans="1:40" ht="18.600000000000001">
      <c r="A38" s="97"/>
      <c r="B38" s="109"/>
      <c r="C38" s="110"/>
      <c r="D38" s="102"/>
      <c r="E38" s="103"/>
      <c r="F38" s="133"/>
      <c r="G38" s="101"/>
      <c r="H38" s="102"/>
      <c r="I38" s="103"/>
      <c r="J38" s="103"/>
      <c r="K38" s="103"/>
      <c r="L38" s="30">
        <f t="shared" si="0"/>
        <v>0</v>
      </c>
      <c r="M38" s="31" t="e">
        <f t="shared" si="1"/>
        <v>#DIV/0!</v>
      </c>
      <c r="N38" s="6"/>
      <c r="O38" s="121"/>
      <c r="P38" s="121"/>
      <c r="Q38" s="121"/>
      <c r="R38" s="121"/>
      <c r="S38" s="121"/>
      <c r="T38" s="121"/>
      <c r="U38" s="121"/>
      <c r="V38" s="121"/>
      <c r="W38" s="121"/>
      <c r="X38" s="121"/>
      <c r="Y38" s="121"/>
      <c r="Z38" s="121"/>
      <c r="AA38" s="121"/>
      <c r="AB38" s="121"/>
      <c r="AC38" s="121"/>
      <c r="AD38" s="121"/>
      <c r="AE38" s="121"/>
      <c r="AF38" s="121"/>
      <c r="AG38" s="121"/>
      <c r="AH38" s="121"/>
      <c r="AI38" s="121"/>
      <c r="AJ38" s="121"/>
      <c r="AK38" s="121"/>
      <c r="AL38" s="121"/>
      <c r="AM38" s="121"/>
      <c r="AN38" s="121"/>
    </row>
    <row r="39" spans="1:40" ht="18.600000000000001">
      <c r="A39" s="97"/>
      <c r="B39" s="109"/>
      <c r="C39" s="110"/>
      <c r="D39" s="102"/>
      <c r="E39" s="103"/>
      <c r="F39" s="133"/>
      <c r="G39" s="101"/>
      <c r="H39" s="102"/>
      <c r="I39" s="103"/>
      <c r="J39" s="103"/>
      <c r="K39" s="103"/>
      <c r="L39" s="30">
        <f t="shared" si="0"/>
        <v>0</v>
      </c>
      <c r="M39" s="31" t="e">
        <f t="shared" si="1"/>
        <v>#DIV/0!</v>
      </c>
      <c r="N39" s="6"/>
      <c r="O39" s="121"/>
      <c r="P39" s="121"/>
      <c r="Q39" s="121"/>
      <c r="R39" s="121"/>
      <c r="S39" s="121"/>
      <c r="T39" s="121"/>
      <c r="U39" s="121"/>
      <c r="V39" s="121"/>
      <c r="W39" s="121"/>
      <c r="X39" s="121"/>
      <c r="Y39" s="121"/>
      <c r="Z39" s="121"/>
      <c r="AA39" s="121"/>
      <c r="AB39" s="121"/>
      <c r="AC39" s="121"/>
      <c r="AD39" s="121"/>
      <c r="AE39" s="121"/>
      <c r="AF39" s="121"/>
      <c r="AG39" s="121"/>
      <c r="AH39" s="121"/>
      <c r="AI39" s="121"/>
      <c r="AJ39" s="121"/>
      <c r="AK39" s="121"/>
      <c r="AL39" s="121"/>
      <c r="AM39" s="121"/>
      <c r="AN39" s="121"/>
    </row>
    <row r="40" spans="1:40" ht="18.600000000000001">
      <c r="A40" s="97"/>
      <c r="B40" s="109"/>
      <c r="C40" s="110"/>
      <c r="D40" s="102"/>
      <c r="E40" s="103"/>
      <c r="F40" s="133"/>
      <c r="G40" s="101"/>
      <c r="H40" s="102"/>
      <c r="I40" s="103"/>
      <c r="J40" s="103"/>
      <c r="K40" s="103"/>
      <c r="L40" s="30">
        <f t="shared" si="0"/>
        <v>0</v>
      </c>
      <c r="M40" s="31" t="e">
        <f t="shared" si="1"/>
        <v>#DIV/0!</v>
      </c>
      <c r="N40" s="6"/>
      <c r="O40" s="121"/>
      <c r="P40" s="121"/>
      <c r="Q40" s="121"/>
      <c r="R40" s="121"/>
      <c r="S40" s="121"/>
      <c r="T40" s="121"/>
      <c r="U40" s="121"/>
      <c r="V40" s="121"/>
      <c r="W40" s="121"/>
      <c r="X40" s="121"/>
      <c r="Y40" s="121"/>
      <c r="Z40" s="121"/>
      <c r="AA40" s="121"/>
      <c r="AB40" s="121"/>
      <c r="AC40" s="121"/>
      <c r="AD40" s="121"/>
      <c r="AE40" s="121"/>
      <c r="AF40" s="121"/>
      <c r="AG40" s="121"/>
      <c r="AH40" s="121"/>
      <c r="AI40" s="121"/>
      <c r="AJ40" s="121"/>
      <c r="AK40" s="121"/>
      <c r="AL40" s="121"/>
      <c r="AM40" s="121"/>
      <c r="AN40" s="121"/>
    </row>
    <row r="41" spans="1:40" ht="18.600000000000001">
      <c r="A41" s="97"/>
      <c r="B41" s="109"/>
      <c r="C41" s="110"/>
      <c r="D41" s="102"/>
      <c r="E41" s="103"/>
      <c r="F41" s="133"/>
      <c r="G41" s="101"/>
      <c r="H41" s="102"/>
      <c r="I41" s="103"/>
      <c r="J41" s="103"/>
      <c r="K41" s="103"/>
      <c r="L41" s="30">
        <f t="shared" si="0"/>
        <v>0</v>
      </c>
      <c r="M41" s="31" t="e">
        <f t="shared" si="1"/>
        <v>#DIV/0!</v>
      </c>
      <c r="N41" s="6"/>
      <c r="O41" s="121"/>
      <c r="P41" s="121"/>
      <c r="Q41" s="121"/>
      <c r="R41" s="121"/>
      <c r="S41" s="121"/>
      <c r="T41" s="121"/>
      <c r="U41" s="121"/>
      <c r="V41" s="121"/>
      <c r="W41" s="121"/>
      <c r="X41" s="121"/>
      <c r="Y41" s="121"/>
      <c r="Z41" s="121"/>
      <c r="AA41" s="121"/>
      <c r="AB41" s="121"/>
      <c r="AC41" s="121"/>
      <c r="AD41" s="121"/>
      <c r="AE41" s="121"/>
      <c r="AF41" s="121"/>
      <c r="AG41" s="121"/>
      <c r="AH41" s="121"/>
      <c r="AI41" s="121"/>
      <c r="AJ41" s="121"/>
      <c r="AK41" s="121"/>
      <c r="AL41" s="121"/>
      <c r="AM41" s="121"/>
      <c r="AN41" s="121"/>
    </row>
    <row r="42" spans="1:40" ht="18.600000000000001">
      <c r="A42" s="97"/>
      <c r="B42" s="109"/>
      <c r="C42" s="110"/>
      <c r="D42" s="102"/>
      <c r="E42" s="103"/>
      <c r="F42" s="133"/>
      <c r="G42" s="101"/>
      <c r="H42" s="102"/>
      <c r="I42" s="103"/>
      <c r="J42" s="103"/>
      <c r="K42" s="103"/>
      <c r="L42" s="30">
        <f t="shared" si="0"/>
        <v>0</v>
      </c>
      <c r="M42" s="31" t="e">
        <f t="shared" si="1"/>
        <v>#DIV/0!</v>
      </c>
      <c r="N42" s="6"/>
      <c r="O42" s="121"/>
      <c r="P42" s="121"/>
      <c r="Q42" s="121"/>
      <c r="R42" s="121"/>
      <c r="S42" s="121"/>
      <c r="T42" s="121"/>
      <c r="U42" s="121"/>
      <c r="V42" s="121"/>
      <c r="W42" s="121"/>
      <c r="X42" s="121"/>
      <c r="Y42" s="121"/>
      <c r="Z42" s="121"/>
      <c r="AA42" s="121"/>
      <c r="AB42" s="121"/>
      <c r="AC42" s="121"/>
      <c r="AD42" s="121"/>
      <c r="AE42" s="121"/>
      <c r="AF42" s="121"/>
      <c r="AG42" s="121"/>
      <c r="AH42" s="121"/>
      <c r="AI42" s="121"/>
      <c r="AJ42" s="121"/>
      <c r="AK42" s="121"/>
      <c r="AL42" s="121"/>
      <c r="AM42" s="121"/>
      <c r="AN42" s="121"/>
    </row>
    <row r="43" spans="1:40" ht="18.600000000000001">
      <c r="A43" s="97"/>
      <c r="B43" s="109"/>
      <c r="C43" s="110"/>
      <c r="D43" s="102"/>
      <c r="E43" s="103"/>
      <c r="F43" s="133"/>
      <c r="G43" s="101"/>
      <c r="H43" s="102"/>
      <c r="I43" s="103"/>
      <c r="J43" s="103"/>
      <c r="K43" s="103"/>
      <c r="L43" s="30">
        <f t="shared" si="0"/>
        <v>0</v>
      </c>
      <c r="M43" s="31" t="e">
        <f t="shared" si="1"/>
        <v>#DIV/0!</v>
      </c>
      <c r="N43" s="6"/>
      <c r="O43" s="121"/>
      <c r="P43" s="121"/>
      <c r="Q43" s="121"/>
      <c r="R43" s="121"/>
      <c r="S43" s="121"/>
      <c r="T43" s="121"/>
      <c r="U43" s="121"/>
      <c r="V43" s="121"/>
      <c r="W43" s="121"/>
      <c r="X43" s="121"/>
      <c r="Y43" s="121"/>
      <c r="Z43" s="121"/>
      <c r="AA43" s="121"/>
      <c r="AB43" s="121"/>
      <c r="AC43" s="121"/>
      <c r="AD43" s="121"/>
      <c r="AE43" s="121"/>
      <c r="AF43" s="121"/>
      <c r="AG43" s="121"/>
      <c r="AH43" s="121"/>
      <c r="AI43" s="121"/>
      <c r="AJ43" s="121"/>
      <c r="AK43" s="121"/>
      <c r="AL43" s="121"/>
      <c r="AM43" s="121"/>
      <c r="AN43" s="121"/>
    </row>
    <row r="44" spans="1:40" ht="18.600000000000001">
      <c r="A44" s="97"/>
      <c r="B44" s="109"/>
      <c r="C44" s="110"/>
      <c r="D44" s="102"/>
      <c r="E44" s="103"/>
      <c r="F44" s="133"/>
      <c r="G44" s="101"/>
      <c r="H44" s="102"/>
      <c r="I44" s="103"/>
      <c r="J44" s="103"/>
      <c r="K44" s="103"/>
      <c r="L44" s="30">
        <f t="shared" si="0"/>
        <v>0</v>
      </c>
      <c r="M44" s="31" t="e">
        <f t="shared" si="1"/>
        <v>#DIV/0!</v>
      </c>
      <c r="N44" s="6"/>
      <c r="O44" s="121"/>
      <c r="P44" s="121"/>
      <c r="Q44" s="121"/>
      <c r="R44" s="121"/>
      <c r="S44" s="121"/>
      <c r="T44" s="121"/>
      <c r="U44" s="121"/>
      <c r="V44" s="121"/>
      <c r="W44" s="121"/>
      <c r="X44" s="121"/>
      <c r="Y44" s="121"/>
      <c r="Z44" s="121"/>
      <c r="AA44" s="121"/>
      <c r="AB44" s="121"/>
      <c r="AC44" s="121"/>
      <c r="AD44" s="121"/>
      <c r="AE44" s="121"/>
      <c r="AF44" s="121"/>
      <c r="AG44" s="121"/>
      <c r="AH44" s="121"/>
      <c r="AI44" s="121"/>
      <c r="AJ44" s="121"/>
      <c r="AK44" s="121"/>
      <c r="AL44" s="121"/>
      <c r="AM44" s="121"/>
      <c r="AN44" s="121"/>
    </row>
    <row r="45" spans="1:40" ht="18.600000000000001">
      <c r="A45" s="97"/>
      <c r="B45" s="136" t="s">
        <v>52</v>
      </c>
      <c r="C45" s="137" t="s">
        <v>53</v>
      </c>
      <c r="D45" s="138" t="s">
        <v>54</v>
      </c>
      <c r="E45" s="136" t="s">
        <v>55</v>
      </c>
      <c r="F45" s="139" t="s">
        <v>9</v>
      </c>
      <c r="G45" s="101"/>
      <c r="H45" s="102"/>
      <c r="I45" s="103"/>
      <c r="J45" s="103"/>
      <c r="K45" s="103"/>
      <c r="L45" s="30"/>
      <c r="M45" s="31"/>
      <c r="N45" s="6"/>
      <c r="O45" s="121"/>
      <c r="P45" s="121"/>
      <c r="Q45" s="121"/>
      <c r="R45" s="121"/>
      <c r="S45" s="121"/>
      <c r="T45" s="121"/>
      <c r="U45" s="121"/>
      <c r="V45" s="121"/>
      <c r="W45" s="121"/>
      <c r="X45" s="121"/>
      <c r="Y45" s="121"/>
      <c r="Z45" s="121"/>
      <c r="AA45" s="121"/>
      <c r="AB45" s="121"/>
      <c r="AC45" s="121"/>
      <c r="AD45" s="121"/>
      <c r="AE45" s="121"/>
      <c r="AF45" s="121"/>
      <c r="AG45" s="121"/>
      <c r="AH45" s="121"/>
      <c r="AI45" s="121"/>
      <c r="AJ45" s="121"/>
      <c r="AK45" s="121"/>
      <c r="AL45" s="121"/>
      <c r="AM45" s="121"/>
      <c r="AN45" s="121"/>
    </row>
    <row r="46" spans="1:40" ht="18.600000000000001">
      <c r="A46" s="97"/>
      <c r="B46" s="109"/>
      <c r="C46" s="110"/>
      <c r="D46" s="103"/>
      <c r="E46" s="103"/>
      <c r="F46" s="133"/>
      <c r="G46" s="101"/>
      <c r="H46" s="102"/>
      <c r="I46" s="103"/>
      <c r="J46" s="141"/>
      <c r="K46" s="103"/>
      <c r="L46" s="30">
        <f t="shared" si="0"/>
        <v>0</v>
      </c>
      <c r="M46" s="31" t="e">
        <f t="shared" si="1"/>
        <v>#DIV/0!</v>
      </c>
      <c r="N46" s="6"/>
      <c r="O46" s="121"/>
      <c r="P46" s="121"/>
      <c r="Q46" s="121"/>
      <c r="R46" s="121"/>
      <c r="S46" s="121"/>
      <c r="T46" s="121"/>
      <c r="U46" s="121"/>
      <c r="V46" s="121"/>
      <c r="W46" s="121"/>
      <c r="X46" s="121"/>
      <c r="Y46" s="121"/>
      <c r="Z46" s="121"/>
      <c r="AA46" s="121"/>
      <c r="AB46" s="121"/>
      <c r="AC46" s="121"/>
      <c r="AD46" s="121"/>
      <c r="AE46" s="121"/>
      <c r="AF46" s="121"/>
      <c r="AG46" s="121"/>
      <c r="AH46" s="121"/>
      <c r="AI46" s="121"/>
      <c r="AJ46" s="121"/>
      <c r="AK46" s="121"/>
      <c r="AL46" s="121"/>
      <c r="AM46" s="121"/>
      <c r="AN46" s="121"/>
    </row>
    <row r="47" spans="1:40" ht="18.600000000000001">
      <c r="A47" s="97"/>
      <c r="B47" s="109"/>
      <c r="C47" s="110"/>
      <c r="D47" s="103"/>
      <c r="E47" s="103"/>
      <c r="F47" s="133"/>
      <c r="G47" s="101"/>
      <c r="H47" s="102"/>
      <c r="I47" s="103"/>
      <c r="J47" s="141"/>
      <c r="K47" s="103"/>
      <c r="L47" s="30">
        <f t="shared" si="0"/>
        <v>0</v>
      </c>
      <c r="M47" s="31" t="e">
        <f t="shared" si="1"/>
        <v>#DIV/0!</v>
      </c>
      <c r="N47" s="6"/>
      <c r="O47" s="121"/>
      <c r="P47" s="121"/>
      <c r="Q47" s="121"/>
      <c r="R47" s="121"/>
      <c r="S47" s="121"/>
      <c r="T47" s="121"/>
      <c r="U47" s="121"/>
      <c r="V47" s="121"/>
      <c r="W47" s="121"/>
      <c r="X47" s="121"/>
      <c r="Y47" s="121"/>
      <c r="Z47" s="121"/>
      <c r="AA47" s="121"/>
      <c r="AB47" s="121"/>
      <c r="AC47" s="121"/>
      <c r="AD47" s="121"/>
      <c r="AE47" s="121"/>
      <c r="AF47" s="121"/>
      <c r="AG47" s="121"/>
      <c r="AH47" s="121"/>
      <c r="AI47" s="121"/>
      <c r="AJ47" s="121"/>
      <c r="AK47" s="121"/>
      <c r="AL47" s="121"/>
      <c r="AM47" s="121"/>
      <c r="AN47" s="121"/>
    </row>
    <row r="48" spans="1:40" ht="18.600000000000001">
      <c r="A48" s="97"/>
      <c r="B48" s="109"/>
      <c r="C48" s="110"/>
      <c r="D48" s="103"/>
      <c r="E48" s="103"/>
      <c r="F48" s="133"/>
      <c r="G48" s="101"/>
      <c r="H48" s="102"/>
      <c r="I48" s="103"/>
      <c r="J48" s="141"/>
      <c r="K48" s="103"/>
      <c r="L48" s="30">
        <f t="shared" si="0"/>
        <v>0</v>
      </c>
      <c r="M48" s="31" t="e">
        <f t="shared" si="1"/>
        <v>#DIV/0!</v>
      </c>
      <c r="N48" s="6"/>
      <c r="O48" s="121"/>
      <c r="P48" s="121"/>
      <c r="Q48" s="121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  <c r="AC48" s="121"/>
      <c r="AD48" s="121"/>
      <c r="AE48" s="121"/>
      <c r="AF48" s="121"/>
      <c r="AG48" s="121"/>
      <c r="AH48" s="121"/>
      <c r="AI48" s="121"/>
      <c r="AJ48" s="121"/>
      <c r="AK48" s="121"/>
      <c r="AL48" s="121"/>
      <c r="AM48" s="121"/>
      <c r="AN48" s="121"/>
    </row>
    <row r="49" spans="1:40" ht="18.600000000000001">
      <c r="A49" s="97"/>
      <c r="B49" s="109"/>
      <c r="C49" s="110"/>
      <c r="D49" s="103"/>
      <c r="E49" s="103"/>
      <c r="F49" s="133"/>
      <c r="G49" s="101"/>
      <c r="H49" s="102"/>
      <c r="I49" s="103"/>
      <c r="J49" s="141"/>
      <c r="K49" s="103"/>
      <c r="L49" s="30">
        <f t="shared" si="0"/>
        <v>0</v>
      </c>
      <c r="M49" s="31" t="e">
        <f t="shared" si="1"/>
        <v>#DIV/0!</v>
      </c>
      <c r="N49" s="6"/>
      <c r="O49" s="121"/>
      <c r="P49" s="121"/>
      <c r="Q49" s="121"/>
      <c r="R49" s="121"/>
      <c r="S49" s="121"/>
      <c r="T49" s="121"/>
      <c r="U49" s="121"/>
      <c r="V49" s="121"/>
      <c r="W49" s="121"/>
      <c r="X49" s="121"/>
      <c r="Y49" s="121"/>
      <c r="Z49" s="121"/>
      <c r="AA49" s="121"/>
      <c r="AB49" s="121"/>
      <c r="AC49" s="121"/>
      <c r="AD49" s="121"/>
      <c r="AE49" s="121"/>
      <c r="AF49" s="121"/>
      <c r="AG49" s="121"/>
      <c r="AH49" s="121"/>
      <c r="AI49" s="121"/>
      <c r="AJ49" s="121"/>
      <c r="AK49" s="121"/>
      <c r="AL49" s="121"/>
      <c r="AM49" s="121"/>
      <c r="AN49" s="121"/>
    </row>
    <row r="50" spans="1:40" ht="18.600000000000001">
      <c r="A50" s="97"/>
      <c r="B50" s="109"/>
      <c r="C50" s="110"/>
      <c r="D50" s="103"/>
      <c r="E50" s="103"/>
      <c r="F50" s="133"/>
      <c r="G50" s="101"/>
      <c r="H50" s="102"/>
      <c r="I50" s="103"/>
      <c r="J50" s="141"/>
      <c r="K50" s="103"/>
      <c r="L50" s="30">
        <f t="shared" si="0"/>
        <v>0</v>
      </c>
      <c r="M50" s="31" t="e">
        <f t="shared" si="1"/>
        <v>#DIV/0!</v>
      </c>
      <c r="N50" s="6"/>
      <c r="O50" s="121"/>
      <c r="P50" s="121"/>
      <c r="Q50" s="121"/>
      <c r="R50" s="121"/>
      <c r="S50" s="121"/>
      <c r="T50" s="121"/>
      <c r="U50" s="121"/>
      <c r="V50" s="121"/>
      <c r="W50" s="121"/>
      <c r="X50" s="121"/>
      <c r="Y50" s="121"/>
      <c r="Z50" s="121"/>
      <c r="AA50" s="121"/>
      <c r="AB50" s="121"/>
      <c r="AC50" s="121"/>
      <c r="AD50" s="121"/>
      <c r="AE50" s="121"/>
      <c r="AF50" s="121"/>
      <c r="AG50" s="121"/>
      <c r="AH50" s="121"/>
      <c r="AI50" s="121"/>
      <c r="AJ50" s="121"/>
      <c r="AK50" s="121"/>
      <c r="AL50" s="121"/>
      <c r="AM50" s="121"/>
      <c r="AN50" s="121"/>
    </row>
    <row r="51" spans="1:40" ht="18.600000000000001">
      <c r="A51" s="97"/>
      <c r="B51" s="109"/>
      <c r="C51" s="110"/>
      <c r="D51" s="103"/>
      <c r="E51" s="103"/>
      <c r="F51" s="133"/>
      <c r="G51" s="101"/>
      <c r="H51" s="102"/>
      <c r="I51" s="103"/>
      <c r="J51" s="141"/>
      <c r="K51" s="103"/>
      <c r="L51" s="30">
        <f t="shared" si="0"/>
        <v>0</v>
      </c>
      <c r="M51" s="31" t="e">
        <f t="shared" si="1"/>
        <v>#DIV/0!</v>
      </c>
      <c r="N51" s="6"/>
      <c r="O51" s="121"/>
      <c r="P51" s="121"/>
      <c r="Q51" s="121"/>
      <c r="R51" s="121"/>
      <c r="S51" s="121"/>
      <c r="T51" s="121"/>
      <c r="U51" s="121"/>
      <c r="V51" s="121"/>
      <c r="W51" s="121"/>
      <c r="X51" s="121"/>
      <c r="Y51" s="121"/>
      <c r="Z51" s="121"/>
      <c r="AA51" s="121"/>
      <c r="AB51" s="121"/>
      <c r="AC51" s="121"/>
      <c r="AD51" s="121"/>
      <c r="AE51" s="121"/>
      <c r="AF51" s="121"/>
      <c r="AG51" s="121"/>
      <c r="AH51" s="121"/>
      <c r="AI51" s="121"/>
      <c r="AJ51" s="121"/>
      <c r="AK51" s="121"/>
      <c r="AL51" s="121"/>
      <c r="AM51" s="121"/>
      <c r="AN51" s="121"/>
    </row>
    <row r="52" spans="1:40" ht="18.600000000000001">
      <c r="A52" s="97"/>
      <c r="B52" s="109"/>
      <c r="C52" s="110"/>
      <c r="D52" s="103"/>
      <c r="E52" s="103"/>
      <c r="F52" s="133"/>
      <c r="G52" s="101"/>
      <c r="H52" s="102"/>
      <c r="I52" s="103"/>
      <c r="J52" s="141"/>
      <c r="K52" s="103"/>
      <c r="L52" s="30">
        <f t="shared" si="0"/>
        <v>0</v>
      </c>
      <c r="M52" s="31" t="e">
        <f t="shared" si="1"/>
        <v>#DIV/0!</v>
      </c>
      <c r="N52" s="6"/>
      <c r="O52" s="121"/>
      <c r="P52" s="121"/>
      <c r="Q52" s="121"/>
      <c r="R52" s="121"/>
      <c r="S52" s="121"/>
      <c r="T52" s="121"/>
      <c r="U52" s="121"/>
      <c r="V52" s="121"/>
      <c r="W52" s="121"/>
      <c r="X52" s="121"/>
      <c r="Y52" s="121"/>
      <c r="Z52" s="121"/>
      <c r="AA52" s="121"/>
      <c r="AB52" s="121"/>
      <c r="AC52" s="121"/>
      <c r="AD52" s="121"/>
      <c r="AE52" s="121"/>
      <c r="AF52" s="121"/>
      <c r="AG52" s="121"/>
      <c r="AH52" s="121"/>
      <c r="AI52" s="121"/>
      <c r="AJ52" s="121"/>
      <c r="AK52" s="121"/>
      <c r="AL52" s="121"/>
      <c r="AM52" s="121"/>
      <c r="AN52" s="121"/>
    </row>
    <row r="53" spans="1:40" ht="18.600000000000001">
      <c r="A53" s="97"/>
      <c r="B53" s="109"/>
      <c r="C53" s="110"/>
      <c r="D53" s="103"/>
      <c r="E53" s="103"/>
      <c r="F53" s="133"/>
      <c r="G53" s="101"/>
      <c r="H53" s="102"/>
      <c r="I53" s="103"/>
      <c r="J53" s="141"/>
      <c r="K53" s="103"/>
      <c r="L53" s="30">
        <f t="shared" si="0"/>
        <v>0</v>
      </c>
      <c r="M53" s="31" t="e">
        <f t="shared" si="1"/>
        <v>#DIV/0!</v>
      </c>
      <c r="N53" s="6"/>
      <c r="O53" s="121"/>
      <c r="P53" s="121"/>
      <c r="Q53" s="121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  <c r="AC53" s="121"/>
      <c r="AD53" s="121"/>
      <c r="AE53" s="121"/>
      <c r="AF53" s="121"/>
      <c r="AG53" s="121"/>
      <c r="AH53" s="121"/>
      <c r="AI53" s="121"/>
      <c r="AJ53" s="121"/>
      <c r="AK53" s="121"/>
      <c r="AL53" s="121"/>
      <c r="AM53" s="121"/>
      <c r="AN53" s="121"/>
    </row>
    <row r="54" spans="1:40" ht="18.600000000000001">
      <c r="N54" s="6"/>
    </row>
    <row r="55" spans="1:40" ht="18.600000000000001">
      <c r="N55" s="6"/>
    </row>
    <row r="56" spans="1:40" ht="18.600000000000001">
      <c r="N56" s="6"/>
    </row>
    <row r="57" spans="1:40" ht="18.600000000000001">
      <c r="N57" s="6"/>
    </row>
    <row r="58" spans="1:40" ht="18.600000000000001">
      <c r="N58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F44A0-83B7-4B57-8207-4605432A0782}">
  <dimension ref="A1:M44"/>
  <sheetViews>
    <sheetView topLeftCell="C1" zoomScale="70" zoomScaleNormal="70" workbookViewId="0">
      <selection activeCell="K31" sqref="K31"/>
    </sheetView>
  </sheetViews>
  <sheetFormatPr defaultColWidth="11.42578125" defaultRowHeight="14.45"/>
  <cols>
    <col min="1" max="1" width="9.140625" bestFit="1" customWidth="1"/>
    <col min="2" max="2" width="7.85546875" bestFit="1" customWidth="1"/>
    <col min="3" max="3" width="44.140625" bestFit="1" customWidth="1"/>
    <col min="4" max="4" width="9.85546875" bestFit="1" customWidth="1"/>
    <col min="5" max="5" width="36.140625" bestFit="1" customWidth="1"/>
    <col min="6" max="6" width="32.85546875" bestFit="1" customWidth="1"/>
    <col min="7" max="7" width="13.5703125" bestFit="1" customWidth="1"/>
    <col min="9" max="9" width="13.140625" bestFit="1" customWidth="1"/>
    <col min="11" max="11" width="25" bestFit="1" customWidth="1"/>
    <col min="12" max="12" width="10.85546875" bestFit="1" customWidth="1"/>
    <col min="13" max="13" width="9.85546875" bestFit="1" customWidth="1"/>
  </cols>
  <sheetData>
    <row r="1" spans="1:13" s="6" customFormat="1" ht="46.5">
      <c r="A1" s="1" t="s">
        <v>12</v>
      </c>
      <c r="B1" s="2" t="s">
        <v>13</v>
      </c>
      <c r="C1" s="3" t="s">
        <v>14</v>
      </c>
      <c r="D1" s="2" t="s">
        <v>15</v>
      </c>
      <c r="E1" s="2" t="s">
        <v>16</v>
      </c>
      <c r="F1" s="2" t="s">
        <v>0</v>
      </c>
      <c r="G1" s="4" t="s">
        <v>17</v>
      </c>
      <c r="H1" s="4" t="s">
        <v>18</v>
      </c>
      <c r="I1" s="4" t="s">
        <v>19</v>
      </c>
      <c r="J1" s="4" t="s">
        <v>56</v>
      </c>
      <c r="K1" s="4" t="s">
        <v>57</v>
      </c>
      <c r="L1" s="172" t="s">
        <v>22</v>
      </c>
      <c r="M1" s="172" t="s">
        <v>23</v>
      </c>
    </row>
    <row r="2" spans="1:13" s="121" customFormat="1" ht="15" customHeight="1">
      <c r="A2" s="133"/>
      <c r="B2" s="160" t="s">
        <v>58</v>
      </c>
      <c r="C2" s="160" t="s">
        <v>59</v>
      </c>
      <c r="D2" s="161">
        <v>8861</v>
      </c>
      <c r="E2" s="160" t="s">
        <v>60</v>
      </c>
      <c r="F2" s="160" t="s">
        <v>61</v>
      </c>
      <c r="G2" s="160"/>
      <c r="H2" s="162"/>
      <c r="I2" s="160"/>
      <c r="J2" s="163" t="s">
        <v>62</v>
      </c>
      <c r="K2" s="103"/>
      <c r="L2" s="103"/>
      <c r="M2" s="103"/>
    </row>
    <row r="3" spans="1:13" s="121" customFormat="1" ht="15" customHeight="1">
      <c r="A3" s="133"/>
      <c r="B3" s="167" t="s">
        <v>63</v>
      </c>
      <c r="C3" s="167" t="s">
        <v>64</v>
      </c>
      <c r="D3" s="168">
        <v>6315</v>
      </c>
      <c r="E3" s="167" t="s">
        <v>65</v>
      </c>
      <c r="F3" s="167" t="s">
        <v>66</v>
      </c>
      <c r="G3" s="167"/>
      <c r="H3" s="169"/>
      <c r="I3" s="167"/>
      <c r="J3" s="163" t="s">
        <v>62</v>
      </c>
      <c r="K3" s="103"/>
      <c r="L3" s="103"/>
      <c r="M3" s="103"/>
    </row>
    <row r="4" spans="1:13" s="121" customFormat="1" ht="15" customHeight="1">
      <c r="A4" s="133"/>
      <c r="B4" s="164"/>
      <c r="C4" s="164"/>
      <c r="D4" s="165"/>
      <c r="E4" s="164"/>
      <c r="F4" s="164"/>
      <c r="G4" s="164"/>
      <c r="H4" s="166"/>
      <c r="I4" s="164"/>
      <c r="J4" s="163"/>
      <c r="K4" s="103"/>
      <c r="L4" s="30">
        <f t="shared" ref="L4" si="0">SUM(H4:K4)</f>
        <v>0</v>
      </c>
      <c r="M4" s="31" t="e">
        <f t="shared" ref="M4" si="1">+J4/L4</f>
        <v>#DIV/0!</v>
      </c>
    </row>
    <row r="5" spans="1:13" s="121" customFormat="1" ht="15" customHeight="1">
      <c r="A5" s="133"/>
      <c r="B5" s="164"/>
      <c r="C5" s="164"/>
      <c r="D5" s="165"/>
      <c r="E5" s="164"/>
      <c r="F5" s="164"/>
      <c r="G5" s="164"/>
      <c r="H5" s="166"/>
      <c r="I5" s="164"/>
      <c r="J5" s="163"/>
      <c r="K5" s="103"/>
      <c r="L5" s="30">
        <f t="shared" ref="L5:L44" si="2">SUM(H5:K5)</f>
        <v>0</v>
      </c>
      <c r="M5" s="31" t="e">
        <f t="shared" ref="M5:M44" si="3">+J5/L5</f>
        <v>#DIV/0!</v>
      </c>
    </row>
    <row r="6" spans="1:13" s="121" customFormat="1" ht="15" customHeight="1">
      <c r="A6" s="133"/>
      <c r="B6" s="164"/>
      <c r="C6" s="164"/>
      <c r="D6" s="165"/>
      <c r="E6" s="164"/>
      <c r="F6" s="164"/>
      <c r="G6" s="164"/>
      <c r="H6" s="166"/>
      <c r="I6" s="164"/>
      <c r="J6" s="163"/>
      <c r="K6" s="103"/>
      <c r="L6" s="30">
        <f t="shared" si="2"/>
        <v>0</v>
      </c>
      <c r="M6" s="31" t="e">
        <f t="shared" si="3"/>
        <v>#DIV/0!</v>
      </c>
    </row>
    <row r="7" spans="1:13" s="121" customFormat="1" ht="15" customHeight="1">
      <c r="A7" s="133"/>
      <c r="B7" s="164"/>
      <c r="C7" s="164"/>
      <c r="D7" s="165"/>
      <c r="E7" s="164"/>
      <c r="F7" s="164"/>
      <c r="G7" s="164"/>
      <c r="H7" s="166"/>
      <c r="I7" s="164"/>
      <c r="J7" s="163"/>
      <c r="K7" s="103"/>
      <c r="L7" s="30">
        <f t="shared" si="2"/>
        <v>0</v>
      </c>
      <c r="M7" s="31" t="e">
        <f t="shared" si="3"/>
        <v>#DIV/0!</v>
      </c>
    </row>
    <row r="8" spans="1:13" s="121" customFormat="1" ht="15" customHeight="1">
      <c r="A8" s="133"/>
      <c r="B8" s="164"/>
      <c r="C8" s="164"/>
      <c r="D8" s="165"/>
      <c r="E8" s="164"/>
      <c r="F8" s="164"/>
      <c r="G8" s="164"/>
      <c r="H8" s="166"/>
      <c r="I8" s="164"/>
      <c r="J8" s="163"/>
      <c r="K8" s="103"/>
      <c r="L8" s="30">
        <f t="shared" si="2"/>
        <v>0</v>
      </c>
      <c r="M8" s="31" t="e">
        <f t="shared" si="3"/>
        <v>#DIV/0!</v>
      </c>
    </row>
    <row r="9" spans="1:13" s="121" customFormat="1" ht="15" customHeight="1">
      <c r="A9" s="133"/>
      <c r="B9" s="164"/>
      <c r="C9" s="164"/>
      <c r="D9" s="165"/>
      <c r="E9" s="164"/>
      <c r="F9" s="164"/>
      <c r="G9" s="164"/>
      <c r="H9" s="166"/>
      <c r="I9" s="164"/>
      <c r="J9" s="163"/>
      <c r="K9" s="103"/>
      <c r="L9" s="30">
        <f t="shared" si="2"/>
        <v>0</v>
      </c>
      <c r="M9" s="31" t="e">
        <f t="shared" si="3"/>
        <v>#DIV/0!</v>
      </c>
    </row>
    <row r="10" spans="1:13" s="121" customFormat="1" ht="15" customHeight="1">
      <c r="A10" s="133"/>
      <c r="B10" s="164"/>
      <c r="C10" s="164"/>
      <c r="D10" s="165"/>
      <c r="E10" s="103"/>
      <c r="F10" s="164"/>
      <c r="G10" s="164"/>
      <c r="H10" s="166"/>
      <c r="I10" s="164"/>
      <c r="J10" s="163"/>
      <c r="K10" s="103"/>
      <c r="L10" s="30">
        <f t="shared" si="2"/>
        <v>0</v>
      </c>
      <c r="M10" s="31" t="e">
        <f t="shared" si="3"/>
        <v>#DIV/0!</v>
      </c>
    </row>
    <row r="11" spans="1:13" s="121" customFormat="1" ht="15" customHeight="1">
      <c r="A11" s="133"/>
      <c r="B11" s="164"/>
      <c r="C11" s="164"/>
      <c r="D11" s="165"/>
      <c r="E11" s="164"/>
      <c r="F11" s="164"/>
      <c r="G11" s="164"/>
      <c r="H11" s="166"/>
      <c r="I11" s="164"/>
      <c r="J11" s="163"/>
      <c r="K11" s="103"/>
      <c r="L11" s="30">
        <f t="shared" si="2"/>
        <v>0</v>
      </c>
      <c r="M11" s="31" t="e">
        <f t="shared" si="3"/>
        <v>#DIV/0!</v>
      </c>
    </row>
    <row r="12" spans="1:13" s="121" customFormat="1" ht="15" customHeight="1">
      <c r="A12" s="133"/>
      <c r="B12" s="164"/>
      <c r="C12" s="164"/>
      <c r="D12" s="165"/>
      <c r="E12" s="164"/>
      <c r="F12" s="164"/>
      <c r="G12" s="164"/>
      <c r="H12" s="166"/>
      <c r="I12" s="164"/>
      <c r="J12" s="163"/>
      <c r="K12" s="103"/>
      <c r="L12" s="30">
        <f t="shared" si="2"/>
        <v>0</v>
      </c>
      <c r="M12" s="31" t="e">
        <f t="shared" si="3"/>
        <v>#DIV/0!</v>
      </c>
    </row>
    <row r="13" spans="1:13" s="121" customFormat="1" ht="15" customHeight="1">
      <c r="A13" s="133"/>
      <c r="B13" s="164"/>
      <c r="C13" s="164"/>
      <c r="D13" s="165"/>
      <c r="E13" s="164"/>
      <c r="F13" s="164"/>
      <c r="G13" s="164"/>
      <c r="H13" s="166"/>
      <c r="I13" s="164"/>
      <c r="J13" s="163"/>
      <c r="K13" s="103"/>
      <c r="L13" s="30">
        <f t="shared" si="2"/>
        <v>0</v>
      </c>
      <c r="M13" s="31" t="e">
        <f t="shared" si="3"/>
        <v>#DIV/0!</v>
      </c>
    </row>
    <row r="14" spans="1:13" s="121" customFormat="1" ht="15" customHeight="1">
      <c r="A14" s="133"/>
      <c r="B14" s="164"/>
      <c r="C14" s="164"/>
      <c r="D14" s="165"/>
      <c r="E14" s="164"/>
      <c r="F14" s="164"/>
      <c r="G14" s="164"/>
      <c r="H14" s="166"/>
      <c r="I14" s="164"/>
      <c r="J14" s="163"/>
      <c r="K14" s="103"/>
      <c r="L14" s="30">
        <f t="shared" si="2"/>
        <v>0</v>
      </c>
      <c r="M14" s="31" t="e">
        <f t="shared" si="3"/>
        <v>#DIV/0!</v>
      </c>
    </row>
    <row r="15" spans="1:13" s="121" customFormat="1" ht="15" customHeight="1">
      <c r="A15" s="133"/>
      <c r="B15" s="167" t="s">
        <v>67</v>
      </c>
      <c r="C15" s="167" t="s">
        <v>68</v>
      </c>
      <c r="D15" s="168">
        <v>6141</v>
      </c>
      <c r="E15" s="167" t="s">
        <v>69</v>
      </c>
      <c r="F15" s="167" t="s">
        <v>66</v>
      </c>
      <c r="G15" s="167"/>
      <c r="H15" s="169"/>
      <c r="I15" s="167"/>
      <c r="J15" s="163" t="s">
        <v>62</v>
      </c>
      <c r="K15" s="103"/>
      <c r="L15" s="30"/>
      <c r="M15" s="31"/>
    </row>
    <row r="16" spans="1:13" s="121" customFormat="1" ht="15" customHeight="1">
      <c r="A16" s="133"/>
      <c r="B16" s="164"/>
      <c r="C16" s="164"/>
      <c r="D16" s="165"/>
      <c r="E16" s="164"/>
      <c r="F16" s="164"/>
      <c r="G16" s="164"/>
      <c r="H16" s="166"/>
      <c r="I16" s="164"/>
      <c r="J16" s="163"/>
      <c r="K16" s="103"/>
      <c r="L16" s="30">
        <f t="shared" si="2"/>
        <v>0</v>
      </c>
      <c r="M16" s="31" t="e">
        <f t="shared" si="3"/>
        <v>#DIV/0!</v>
      </c>
    </row>
    <row r="17" spans="1:13" s="121" customFormat="1" ht="15" customHeight="1">
      <c r="A17" s="133"/>
      <c r="B17" s="164"/>
      <c r="C17" s="164"/>
      <c r="D17" s="165"/>
      <c r="E17" s="164"/>
      <c r="F17" s="164"/>
      <c r="G17" s="164"/>
      <c r="H17" s="166"/>
      <c r="I17" s="164"/>
      <c r="J17" s="163"/>
      <c r="K17" s="103"/>
      <c r="L17" s="30">
        <f t="shared" si="2"/>
        <v>0</v>
      </c>
      <c r="M17" s="31" t="e">
        <f t="shared" si="3"/>
        <v>#DIV/0!</v>
      </c>
    </row>
    <row r="18" spans="1:13" s="121" customFormat="1" ht="15" customHeight="1">
      <c r="A18" s="133"/>
      <c r="B18" s="164"/>
      <c r="C18" s="164"/>
      <c r="D18" s="165"/>
      <c r="E18" s="164"/>
      <c r="F18" s="164"/>
      <c r="G18" s="164"/>
      <c r="H18" s="166"/>
      <c r="I18" s="164"/>
      <c r="J18" s="163"/>
      <c r="K18" s="103"/>
      <c r="L18" s="30">
        <f t="shared" si="2"/>
        <v>0</v>
      </c>
      <c r="M18" s="31" t="e">
        <f t="shared" si="3"/>
        <v>#DIV/0!</v>
      </c>
    </row>
    <row r="19" spans="1:13" s="121" customFormat="1" ht="15" customHeight="1">
      <c r="A19" s="133"/>
      <c r="B19" s="164"/>
      <c r="C19" s="164"/>
      <c r="D19" s="165"/>
      <c r="E19" s="164"/>
      <c r="F19" s="164"/>
      <c r="G19" s="164"/>
      <c r="H19" s="166"/>
      <c r="I19" s="164"/>
      <c r="J19" s="163"/>
      <c r="K19" s="103"/>
      <c r="L19" s="30">
        <f t="shared" si="2"/>
        <v>0</v>
      </c>
      <c r="M19" s="31" t="e">
        <f t="shared" si="3"/>
        <v>#DIV/0!</v>
      </c>
    </row>
    <row r="20" spans="1:13" s="121" customFormat="1" ht="15" customHeight="1">
      <c r="A20" s="133"/>
      <c r="B20" s="164"/>
      <c r="C20" s="164"/>
      <c r="D20" s="165"/>
      <c r="E20" s="164"/>
      <c r="F20" s="164"/>
      <c r="G20" s="164"/>
      <c r="H20" s="166"/>
      <c r="I20" s="164"/>
      <c r="J20" s="163"/>
      <c r="K20" s="103"/>
      <c r="L20" s="30">
        <f t="shared" si="2"/>
        <v>0</v>
      </c>
      <c r="M20" s="31" t="e">
        <f t="shared" si="3"/>
        <v>#DIV/0!</v>
      </c>
    </row>
    <row r="21" spans="1:13" s="121" customFormat="1" ht="15" customHeight="1">
      <c r="A21" s="133"/>
      <c r="B21" s="164"/>
      <c r="C21" s="164"/>
      <c r="D21" s="165"/>
      <c r="E21" s="164"/>
      <c r="F21" s="164"/>
      <c r="G21" s="164"/>
      <c r="H21" s="166"/>
      <c r="I21" s="164"/>
      <c r="J21" s="163"/>
      <c r="K21" s="103"/>
      <c r="L21" s="30">
        <f t="shared" si="2"/>
        <v>0</v>
      </c>
      <c r="M21" s="31" t="e">
        <f t="shared" si="3"/>
        <v>#DIV/0!</v>
      </c>
    </row>
    <row r="22" spans="1:13" s="121" customFormat="1" ht="15" customHeight="1">
      <c r="A22" s="133"/>
      <c r="B22" s="164"/>
      <c r="C22" s="164"/>
      <c r="D22" s="165"/>
      <c r="E22" s="164"/>
      <c r="F22" s="164"/>
      <c r="G22" s="164"/>
      <c r="H22" s="166"/>
      <c r="I22" s="164"/>
      <c r="J22" s="163"/>
      <c r="K22" s="103"/>
      <c r="L22" s="30">
        <f t="shared" si="2"/>
        <v>0</v>
      </c>
      <c r="M22" s="31" t="e">
        <f t="shared" si="3"/>
        <v>#DIV/0!</v>
      </c>
    </row>
    <row r="23" spans="1:13" s="121" customFormat="1" ht="15" customHeight="1">
      <c r="A23" s="133"/>
      <c r="B23" s="164"/>
      <c r="C23" s="164"/>
      <c r="D23" s="165"/>
      <c r="E23" s="164"/>
      <c r="F23" s="164"/>
      <c r="G23" s="164"/>
      <c r="H23" s="166"/>
      <c r="I23" s="164"/>
      <c r="J23" s="163"/>
      <c r="K23" s="103"/>
      <c r="L23" s="30">
        <f t="shared" si="2"/>
        <v>0</v>
      </c>
      <c r="M23" s="31" t="e">
        <f t="shared" si="3"/>
        <v>#DIV/0!</v>
      </c>
    </row>
    <row r="24" spans="1:13" s="121" customFormat="1" ht="15" customHeight="1">
      <c r="A24" s="133"/>
      <c r="B24" s="164"/>
      <c r="C24" s="164"/>
      <c r="D24" s="165"/>
      <c r="E24" s="164"/>
      <c r="F24" s="164"/>
      <c r="G24" s="164"/>
      <c r="H24" s="166"/>
      <c r="I24" s="164"/>
      <c r="J24" s="163"/>
      <c r="K24" s="103"/>
      <c r="L24" s="30">
        <f t="shared" si="2"/>
        <v>0</v>
      </c>
      <c r="M24" s="31" t="e">
        <f t="shared" si="3"/>
        <v>#DIV/0!</v>
      </c>
    </row>
    <row r="25" spans="1:13" s="121" customFormat="1" ht="15" customHeight="1">
      <c r="A25" s="133"/>
      <c r="B25" s="167" t="s">
        <v>70</v>
      </c>
      <c r="C25" s="167" t="s">
        <v>71</v>
      </c>
      <c r="D25" s="168">
        <v>1980</v>
      </c>
      <c r="E25" s="167" t="s">
        <v>72</v>
      </c>
      <c r="F25" s="167" t="s">
        <v>66</v>
      </c>
      <c r="G25" s="167"/>
      <c r="H25" s="169"/>
      <c r="I25" s="167"/>
      <c r="J25" s="163" t="s">
        <v>62</v>
      </c>
      <c r="K25" s="103"/>
      <c r="L25" s="30"/>
      <c r="M25" s="31"/>
    </row>
    <row r="26" spans="1:13" s="121" customFormat="1" ht="15" customHeight="1">
      <c r="A26" s="133"/>
      <c r="B26" s="164"/>
      <c r="C26" s="164"/>
      <c r="D26" s="165"/>
      <c r="E26" s="164"/>
      <c r="F26" s="164"/>
      <c r="G26" s="164"/>
      <c r="H26" s="166"/>
      <c r="I26" s="164"/>
      <c r="J26" s="163"/>
      <c r="K26" s="103"/>
      <c r="L26" s="30">
        <f t="shared" si="2"/>
        <v>0</v>
      </c>
      <c r="M26" s="31" t="e">
        <f t="shared" si="3"/>
        <v>#DIV/0!</v>
      </c>
    </row>
    <row r="27" spans="1:13" s="121" customFormat="1" ht="15" customHeight="1">
      <c r="A27" s="133"/>
      <c r="B27" s="164"/>
      <c r="C27" s="164"/>
      <c r="D27" s="165"/>
      <c r="E27" s="164"/>
      <c r="F27" s="164"/>
      <c r="G27" s="164"/>
      <c r="H27" s="166"/>
      <c r="I27" s="164"/>
      <c r="J27" s="163"/>
      <c r="K27" s="103"/>
      <c r="L27" s="30">
        <f t="shared" si="2"/>
        <v>0</v>
      </c>
      <c r="M27" s="31" t="e">
        <f t="shared" si="3"/>
        <v>#DIV/0!</v>
      </c>
    </row>
    <row r="28" spans="1:13" s="121" customFormat="1" ht="15" customHeight="1">
      <c r="A28" s="133"/>
      <c r="B28" s="164"/>
      <c r="C28" s="164"/>
      <c r="D28" s="165"/>
      <c r="E28" s="164"/>
      <c r="F28" s="164"/>
      <c r="G28" s="164"/>
      <c r="H28" s="166"/>
      <c r="I28" s="164"/>
      <c r="J28" s="163"/>
      <c r="K28" s="103"/>
      <c r="L28" s="30">
        <f t="shared" si="2"/>
        <v>0</v>
      </c>
      <c r="M28" s="31" t="e">
        <f t="shared" si="3"/>
        <v>#DIV/0!</v>
      </c>
    </row>
    <row r="29" spans="1:13" s="121" customFormat="1" ht="15" customHeight="1">
      <c r="A29" s="133"/>
      <c r="B29" s="164"/>
      <c r="C29" s="164"/>
      <c r="D29" s="165"/>
      <c r="E29" s="164"/>
      <c r="F29" s="164"/>
      <c r="G29" s="164"/>
      <c r="H29" s="166"/>
      <c r="I29" s="164"/>
      <c r="J29" s="163"/>
      <c r="K29" s="103"/>
      <c r="L29" s="30">
        <f t="shared" si="2"/>
        <v>0</v>
      </c>
      <c r="M29" s="31" t="e">
        <f t="shared" si="3"/>
        <v>#DIV/0!</v>
      </c>
    </row>
    <row r="30" spans="1:13" s="121" customFormat="1" ht="15" customHeight="1">
      <c r="A30" s="133"/>
      <c r="B30" s="164"/>
      <c r="C30" s="164"/>
      <c r="D30" s="165"/>
      <c r="E30" s="164"/>
      <c r="F30" s="164"/>
      <c r="G30" s="164"/>
      <c r="H30" s="166"/>
      <c r="I30" s="164"/>
      <c r="J30" s="163"/>
      <c r="K30" s="103"/>
      <c r="L30" s="30">
        <f t="shared" si="2"/>
        <v>0</v>
      </c>
      <c r="M30" s="31" t="e">
        <f t="shared" si="3"/>
        <v>#DIV/0!</v>
      </c>
    </row>
    <row r="31" spans="1:13" s="121" customFormat="1" ht="15" customHeight="1">
      <c r="A31" s="133"/>
      <c r="B31" s="164"/>
      <c r="C31" s="164"/>
      <c r="D31" s="165"/>
      <c r="E31" s="164"/>
      <c r="F31" s="164"/>
      <c r="G31" s="164"/>
      <c r="H31" s="166"/>
      <c r="I31" s="164"/>
      <c r="J31" s="163"/>
      <c r="K31" s="103"/>
      <c r="L31" s="30">
        <f t="shared" si="2"/>
        <v>0</v>
      </c>
      <c r="M31" s="31" t="e">
        <f t="shared" si="3"/>
        <v>#DIV/0!</v>
      </c>
    </row>
    <row r="32" spans="1:13" s="121" customFormat="1" ht="15" customHeight="1">
      <c r="A32" s="133"/>
      <c r="B32" s="164"/>
      <c r="C32" s="164"/>
      <c r="D32" s="165"/>
      <c r="E32" s="164"/>
      <c r="F32" s="164"/>
      <c r="G32" s="164"/>
      <c r="H32" s="166"/>
      <c r="I32" s="164"/>
      <c r="J32" s="163"/>
      <c r="K32" s="103"/>
      <c r="L32" s="30">
        <f t="shared" si="2"/>
        <v>0</v>
      </c>
      <c r="M32" s="31" t="e">
        <f t="shared" si="3"/>
        <v>#DIV/0!</v>
      </c>
    </row>
    <row r="33" spans="1:13" s="121" customFormat="1" ht="15" customHeight="1">
      <c r="A33" s="133"/>
      <c r="B33" s="164"/>
      <c r="C33" s="164"/>
      <c r="D33" s="165"/>
      <c r="E33" s="164"/>
      <c r="F33" s="164"/>
      <c r="G33" s="164"/>
      <c r="H33" s="166"/>
      <c r="I33" s="164"/>
      <c r="J33" s="163"/>
      <c r="K33" s="103"/>
      <c r="L33" s="30">
        <f t="shared" si="2"/>
        <v>0</v>
      </c>
      <c r="M33" s="31" t="e">
        <f t="shared" si="3"/>
        <v>#DIV/0!</v>
      </c>
    </row>
    <row r="34" spans="1:13" s="121" customFormat="1" ht="15" customHeight="1">
      <c r="A34" s="133"/>
      <c r="B34" s="167" t="s">
        <v>73</v>
      </c>
      <c r="C34" s="167" t="s">
        <v>74</v>
      </c>
      <c r="D34" s="168">
        <v>2353</v>
      </c>
      <c r="E34" s="167" t="s">
        <v>75</v>
      </c>
      <c r="F34" s="167" t="s">
        <v>66</v>
      </c>
      <c r="G34" s="167"/>
      <c r="H34" s="169"/>
      <c r="I34" s="167"/>
      <c r="J34" s="163" t="s">
        <v>62</v>
      </c>
      <c r="K34" s="103"/>
      <c r="L34" s="30"/>
      <c r="M34" s="31"/>
    </row>
    <row r="35" spans="1:13" s="121" customFormat="1" ht="15" customHeight="1">
      <c r="A35" s="133"/>
      <c r="B35" s="164"/>
      <c r="C35" s="164"/>
      <c r="D35" s="165"/>
      <c r="E35" s="164"/>
      <c r="F35" s="164"/>
      <c r="G35" s="164"/>
      <c r="H35" s="170"/>
      <c r="I35" s="164"/>
      <c r="J35" s="163"/>
      <c r="K35" s="103"/>
      <c r="L35" s="30">
        <f t="shared" si="2"/>
        <v>0</v>
      </c>
      <c r="M35" s="31" t="e">
        <f t="shared" si="3"/>
        <v>#DIV/0!</v>
      </c>
    </row>
    <row r="36" spans="1:13" s="121" customFormat="1" ht="15" customHeight="1">
      <c r="A36" s="133"/>
      <c r="B36" s="164"/>
      <c r="C36" s="164"/>
      <c r="D36" s="165"/>
      <c r="E36" s="164"/>
      <c r="F36" s="164"/>
      <c r="G36" s="164"/>
      <c r="H36" s="166"/>
      <c r="I36" s="164"/>
      <c r="J36" s="163"/>
      <c r="K36" s="103"/>
      <c r="L36" s="30">
        <f t="shared" si="2"/>
        <v>0</v>
      </c>
      <c r="M36" s="31" t="e">
        <f t="shared" si="3"/>
        <v>#DIV/0!</v>
      </c>
    </row>
    <row r="37" spans="1:13" s="121" customFormat="1" ht="15" customHeight="1">
      <c r="A37" s="133"/>
      <c r="B37" s="164"/>
      <c r="C37" s="164"/>
      <c r="D37" s="165"/>
      <c r="E37" s="164"/>
      <c r="F37" s="164"/>
      <c r="G37" s="164"/>
      <c r="H37" s="166"/>
      <c r="I37" s="164"/>
      <c r="J37" s="163"/>
      <c r="K37" s="103"/>
      <c r="L37" s="30">
        <f t="shared" si="2"/>
        <v>0</v>
      </c>
      <c r="M37" s="31" t="e">
        <f t="shared" si="3"/>
        <v>#DIV/0!</v>
      </c>
    </row>
    <row r="38" spans="1:13" s="121" customFormat="1" ht="15" customHeight="1">
      <c r="A38" s="133"/>
      <c r="B38" s="164"/>
      <c r="C38" s="164"/>
      <c r="D38" s="165"/>
      <c r="E38" s="164"/>
      <c r="F38" s="164"/>
      <c r="G38" s="164"/>
      <c r="H38" s="166"/>
      <c r="I38" s="164"/>
      <c r="J38" s="163"/>
      <c r="K38" s="103"/>
      <c r="L38" s="30">
        <f t="shared" si="2"/>
        <v>0</v>
      </c>
      <c r="M38" s="31" t="e">
        <f t="shared" si="3"/>
        <v>#DIV/0!</v>
      </c>
    </row>
    <row r="39" spans="1:13" s="121" customFormat="1" ht="15" customHeight="1">
      <c r="A39" s="133"/>
      <c r="B39" s="164"/>
      <c r="C39" s="164"/>
      <c r="D39" s="165"/>
      <c r="E39" s="164"/>
      <c r="F39" s="164"/>
      <c r="G39" s="164"/>
      <c r="H39" s="166"/>
      <c r="I39" s="164"/>
      <c r="J39" s="163"/>
      <c r="K39" s="103"/>
      <c r="L39" s="30">
        <f t="shared" si="2"/>
        <v>0</v>
      </c>
      <c r="M39" s="31" t="e">
        <f t="shared" si="3"/>
        <v>#DIV/0!</v>
      </c>
    </row>
    <row r="40" spans="1:13" s="121" customFormat="1" ht="15" customHeight="1">
      <c r="A40" s="133"/>
      <c r="B40" s="164"/>
      <c r="C40" s="164"/>
      <c r="D40" s="165"/>
      <c r="E40" s="164"/>
      <c r="F40" s="164"/>
      <c r="G40" s="164"/>
      <c r="H40" s="166"/>
      <c r="I40" s="164"/>
      <c r="J40" s="163"/>
      <c r="K40" s="103"/>
      <c r="L40" s="30">
        <f t="shared" si="2"/>
        <v>0</v>
      </c>
      <c r="M40" s="31" t="e">
        <f t="shared" si="3"/>
        <v>#DIV/0!</v>
      </c>
    </row>
    <row r="41" spans="1:13" s="121" customFormat="1" ht="15" customHeight="1">
      <c r="A41" s="133"/>
      <c r="B41" s="164"/>
      <c r="C41" s="164"/>
      <c r="D41" s="165"/>
      <c r="E41" s="164"/>
      <c r="F41" s="164"/>
      <c r="G41" s="164"/>
      <c r="H41" s="166"/>
      <c r="I41" s="164"/>
      <c r="J41" s="163"/>
      <c r="K41" s="103"/>
      <c r="L41" s="30">
        <f t="shared" si="2"/>
        <v>0</v>
      </c>
      <c r="M41" s="31" t="e">
        <f t="shared" si="3"/>
        <v>#DIV/0!</v>
      </c>
    </row>
    <row r="42" spans="1:13" s="121" customFormat="1" ht="15" customHeight="1">
      <c r="A42" s="133"/>
      <c r="B42" s="164"/>
      <c r="C42" s="164"/>
      <c r="D42" s="165"/>
      <c r="E42" s="164"/>
      <c r="F42" s="164"/>
      <c r="G42" s="164"/>
      <c r="H42" s="166"/>
      <c r="I42" s="164"/>
      <c r="J42" s="163"/>
      <c r="K42" s="103"/>
      <c r="L42" s="30">
        <f t="shared" si="2"/>
        <v>0</v>
      </c>
      <c r="M42" s="31" t="e">
        <f t="shared" si="3"/>
        <v>#DIV/0!</v>
      </c>
    </row>
    <row r="43" spans="1:13" s="121" customFormat="1" ht="15" customHeight="1">
      <c r="A43" s="133"/>
      <c r="B43" s="164"/>
      <c r="C43" s="164"/>
      <c r="D43" s="165"/>
      <c r="E43" s="171"/>
      <c r="F43" s="164"/>
      <c r="G43" s="164"/>
      <c r="H43" s="166"/>
      <c r="I43" s="164"/>
      <c r="J43" s="163"/>
      <c r="K43" s="103"/>
      <c r="L43" s="30">
        <f t="shared" si="2"/>
        <v>0</v>
      </c>
      <c r="M43" s="31" t="e">
        <f t="shared" si="3"/>
        <v>#DIV/0!</v>
      </c>
    </row>
    <row r="44" spans="1:13" s="121" customFormat="1" ht="15" customHeight="1">
      <c r="A44" s="133"/>
      <c r="B44" s="164"/>
      <c r="C44" s="164"/>
      <c r="D44" s="165"/>
      <c r="E44" s="171"/>
      <c r="F44" s="164"/>
      <c r="G44" s="164"/>
      <c r="H44" s="166"/>
      <c r="I44" s="164"/>
      <c r="J44" s="163"/>
      <c r="K44" s="103"/>
      <c r="L44" s="30">
        <f t="shared" si="2"/>
        <v>0</v>
      </c>
      <c r="M44" s="31" t="e">
        <f t="shared" si="3"/>
        <v>#DIV/0!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FA7BF-779C-4DDE-A49E-E6E2B6009043}">
  <sheetPr>
    <pageSetUpPr fitToPage="1"/>
  </sheetPr>
  <dimension ref="A1:AJ263"/>
  <sheetViews>
    <sheetView topLeftCell="I1" zoomScale="70" zoomScaleNormal="70" workbookViewId="0">
      <pane ySplit="1" topLeftCell="A8" activePane="bottomLeft" state="frozen"/>
      <selection pane="bottomLeft" activeCell="H5" sqref="H5:K5"/>
    </sheetView>
  </sheetViews>
  <sheetFormatPr defaultColWidth="11.42578125" defaultRowHeight="14.45"/>
  <cols>
    <col min="1" max="1" width="9.42578125" style="94" customWidth="1"/>
    <col min="2" max="2" width="12.85546875" bestFit="1" customWidth="1"/>
    <col min="3" max="3" width="62.42578125" style="92" bestFit="1" customWidth="1"/>
    <col min="5" max="5" width="42.42578125" customWidth="1"/>
    <col min="6" max="6" width="18.140625" customWidth="1"/>
    <col min="7" max="7" width="21.140625" style="93" bestFit="1" customWidth="1"/>
    <col min="8" max="8" width="14" customWidth="1"/>
    <col min="9" max="10" width="16.140625" customWidth="1"/>
    <col min="11" max="11" width="22.140625" customWidth="1"/>
    <col min="12" max="12" width="10.85546875" customWidth="1"/>
    <col min="19" max="19" width="12.5703125" bestFit="1" customWidth="1"/>
  </cols>
  <sheetData>
    <row r="1" spans="1:36" s="6" customFormat="1" ht="62.1">
      <c r="A1" s="1" t="s">
        <v>12</v>
      </c>
      <c r="B1" s="2" t="s">
        <v>13</v>
      </c>
      <c r="C1" s="3" t="s">
        <v>14</v>
      </c>
      <c r="D1" s="2" t="s">
        <v>15</v>
      </c>
      <c r="E1" s="2" t="s">
        <v>16</v>
      </c>
      <c r="F1" s="2" t="s">
        <v>0</v>
      </c>
      <c r="G1" s="4" t="s">
        <v>17</v>
      </c>
      <c r="H1" s="4" t="s">
        <v>18</v>
      </c>
      <c r="I1" s="4" t="s">
        <v>19</v>
      </c>
      <c r="J1" s="4" t="s">
        <v>56</v>
      </c>
      <c r="K1" s="4" t="s">
        <v>57</v>
      </c>
      <c r="L1" s="5" t="s">
        <v>22</v>
      </c>
      <c r="M1" s="5" t="s">
        <v>23</v>
      </c>
    </row>
    <row r="2" spans="1:36" s="14" customFormat="1" ht="15" customHeight="1">
      <c r="A2" s="7">
        <v>1</v>
      </c>
      <c r="B2" s="8" t="s">
        <v>76</v>
      </c>
      <c r="C2" s="9" t="s">
        <v>77</v>
      </c>
      <c r="D2" s="10" t="s">
        <v>78</v>
      </c>
      <c r="E2" s="8" t="s">
        <v>79</v>
      </c>
      <c r="F2" s="8" t="s">
        <v>7</v>
      </c>
      <c r="G2" s="12"/>
      <c r="H2" s="13"/>
      <c r="I2" s="13"/>
      <c r="J2" s="13"/>
      <c r="K2" s="13"/>
      <c r="L2" s="13"/>
      <c r="M2" s="13"/>
      <c r="N2"/>
      <c r="O2"/>
      <c r="P2"/>
      <c r="Q2"/>
      <c r="R2"/>
      <c r="S2" s="24" t="s">
        <v>1</v>
      </c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</row>
    <row r="3" spans="1:36" s="18" customFormat="1" ht="15" customHeight="1">
      <c r="A3" s="7">
        <f>1+A2</f>
        <v>2</v>
      </c>
      <c r="B3" s="15" t="s">
        <v>80</v>
      </c>
      <c r="C3" s="16" t="s">
        <v>81</v>
      </c>
      <c r="D3" s="17" t="s">
        <v>82</v>
      </c>
      <c r="E3" s="15" t="s">
        <v>83</v>
      </c>
      <c r="F3" s="15" t="s">
        <v>8</v>
      </c>
      <c r="G3" s="12"/>
      <c r="H3" s="13"/>
      <c r="I3" s="13"/>
      <c r="J3" s="13"/>
      <c r="K3" s="13"/>
      <c r="L3" s="13"/>
      <c r="M3" s="13"/>
      <c r="N3"/>
      <c r="O3"/>
      <c r="P3"/>
      <c r="Q3"/>
      <c r="R3"/>
      <c r="S3" s="24" t="s">
        <v>2</v>
      </c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</row>
    <row r="4" spans="1:36" s="23" customFormat="1" ht="15" customHeight="1">
      <c r="A4" s="7">
        <f t="shared" ref="A4:A66" si="0">1+A3</f>
        <v>3</v>
      </c>
      <c r="B4" s="19" t="s">
        <v>84</v>
      </c>
      <c r="C4" s="20" t="s">
        <v>85</v>
      </c>
      <c r="D4" s="21" t="s">
        <v>86</v>
      </c>
      <c r="E4" s="19" t="s">
        <v>87</v>
      </c>
      <c r="F4" s="19" t="s">
        <v>10</v>
      </c>
      <c r="G4" s="12"/>
      <c r="H4" s="13"/>
      <c r="I4" s="22"/>
      <c r="J4" s="22"/>
      <c r="K4" s="22"/>
      <c r="L4" s="13"/>
      <c r="M4" s="13"/>
      <c r="N4"/>
      <c r="O4"/>
      <c r="P4"/>
      <c r="Q4"/>
      <c r="R4"/>
      <c r="S4" s="24" t="s">
        <v>3</v>
      </c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</row>
    <row r="5" spans="1:36" ht="15" customHeight="1">
      <c r="A5" s="7"/>
      <c r="B5" s="24"/>
      <c r="C5" s="25"/>
      <c r="D5" s="26" t="s">
        <v>88</v>
      </c>
      <c r="E5" s="27" t="s">
        <v>89</v>
      </c>
      <c r="F5" s="27"/>
      <c r="G5" s="28" t="s">
        <v>90</v>
      </c>
      <c r="H5" s="29">
        <v>13</v>
      </c>
      <c r="I5" s="29">
        <v>0</v>
      </c>
      <c r="J5" s="29">
        <v>5</v>
      </c>
      <c r="K5" s="29">
        <v>2</v>
      </c>
      <c r="L5" s="30">
        <f>SUM(H5:K5)</f>
        <v>20</v>
      </c>
      <c r="M5" s="31">
        <f>+J5/L5</f>
        <v>0.25</v>
      </c>
      <c r="S5" s="24" t="s">
        <v>4</v>
      </c>
    </row>
    <row r="6" spans="1:36" ht="15" customHeight="1">
      <c r="A6" s="7"/>
      <c r="B6" s="24"/>
      <c r="C6" s="25"/>
      <c r="D6" s="26"/>
      <c r="E6" s="27"/>
      <c r="F6" s="27"/>
      <c r="G6" s="32"/>
      <c r="H6" s="22"/>
      <c r="I6" s="22"/>
      <c r="J6" s="22"/>
      <c r="K6" s="22"/>
      <c r="L6" s="30">
        <f t="shared" ref="L6:L26" si="1">SUM(H6:K6)</f>
        <v>0</v>
      </c>
      <c r="M6" s="31" t="e">
        <f t="shared" ref="M6:M26" si="2">+J6/L6</f>
        <v>#DIV/0!</v>
      </c>
      <c r="S6" s="24" t="s">
        <v>5</v>
      </c>
    </row>
    <row r="7" spans="1:36" ht="15" customHeight="1">
      <c r="A7" s="7"/>
      <c r="B7" s="24"/>
      <c r="C7" s="25"/>
      <c r="D7" s="26"/>
      <c r="E7" s="27"/>
      <c r="F7" s="27"/>
      <c r="G7" s="32"/>
      <c r="H7" s="22"/>
      <c r="I7" s="22"/>
      <c r="J7" s="22"/>
      <c r="K7" s="22"/>
      <c r="L7" s="30">
        <f t="shared" si="1"/>
        <v>0</v>
      </c>
      <c r="M7" s="31" t="e">
        <f t="shared" si="2"/>
        <v>#DIV/0!</v>
      </c>
      <c r="S7" s="24" t="s">
        <v>6</v>
      </c>
    </row>
    <row r="8" spans="1:36" ht="15" customHeight="1">
      <c r="A8" s="7"/>
      <c r="B8" s="24"/>
      <c r="C8" s="25"/>
      <c r="D8" s="26"/>
      <c r="E8" s="27"/>
      <c r="F8" s="27"/>
      <c r="G8" s="32"/>
      <c r="H8" s="22"/>
      <c r="I8" s="33"/>
      <c r="J8" s="33"/>
      <c r="K8" s="33"/>
      <c r="L8" s="30">
        <f t="shared" si="1"/>
        <v>0</v>
      </c>
      <c r="M8" s="31" t="e">
        <f t="shared" si="2"/>
        <v>#DIV/0!</v>
      </c>
      <c r="S8" s="24" t="s">
        <v>7</v>
      </c>
    </row>
    <row r="9" spans="1:36" ht="15" customHeight="1">
      <c r="A9" s="7"/>
      <c r="B9" s="24"/>
      <c r="C9" s="25"/>
      <c r="D9" s="26"/>
      <c r="E9" s="27"/>
      <c r="F9" s="27"/>
      <c r="G9" s="32"/>
      <c r="H9" s="22"/>
      <c r="I9" s="33"/>
      <c r="J9" s="33"/>
      <c r="K9" s="33"/>
      <c r="L9" s="30">
        <f t="shared" si="1"/>
        <v>0</v>
      </c>
      <c r="M9" s="31" t="e">
        <f t="shared" si="2"/>
        <v>#DIV/0!</v>
      </c>
      <c r="S9" s="24" t="s">
        <v>8</v>
      </c>
    </row>
    <row r="10" spans="1:36" s="23" customFormat="1" ht="15" customHeight="1">
      <c r="A10" s="7">
        <f t="shared" si="0"/>
        <v>1</v>
      </c>
      <c r="B10" s="19" t="s">
        <v>91</v>
      </c>
      <c r="C10" s="20" t="s">
        <v>92</v>
      </c>
      <c r="D10" s="21" t="s">
        <v>93</v>
      </c>
      <c r="E10" s="19" t="s">
        <v>65</v>
      </c>
      <c r="F10" s="19" t="s">
        <v>10</v>
      </c>
      <c r="G10" s="32"/>
      <c r="H10" s="22"/>
      <c r="I10" s="22"/>
      <c r="J10" s="22"/>
      <c r="K10" s="22"/>
      <c r="L10" s="30"/>
      <c r="M10" s="31"/>
      <c r="N10"/>
      <c r="O10"/>
      <c r="P10"/>
      <c r="Q10"/>
      <c r="R10"/>
      <c r="S10" s="58" t="s">
        <v>9</v>
      </c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</row>
    <row r="11" spans="1:36" ht="15" customHeight="1">
      <c r="A11" s="7"/>
      <c r="B11" s="24"/>
      <c r="C11" s="25"/>
      <c r="D11" s="26"/>
      <c r="E11" s="24"/>
      <c r="F11" s="24"/>
      <c r="G11" s="12"/>
      <c r="H11" s="13"/>
      <c r="I11" s="13"/>
      <c r="J11" s="13"/>
      <c r="K11" s="13"/>
      <c r="L11" s="30">
        <f t="shared" si="1"/>
        <v>0</v>
      </c>
      <c r="M11" s="31" t="e">
        <f t="shared" si="2"/>
        <v>#DIV/0!</v>
      </c>
      <c r="S11" s="24" t="s">
        <v>10</v>
      </c>
    </row>
    <row r="12" spans="1:36" ht="15" customHeight="1">
      <c r="A12" s="7"/>
      <c r="B12" s="24"/>
      <c r="C12" s="25"/>
      <c r="D12" s="26"/>
      <c r="E12" s="24"/>
      <c r="F12" s="24"/>
      <c r="G12" s="11"/>
      <c r="H12" s="13"/>
      <c r="I12" s="13"/>
      <c r="J12" s="13"/>
      <c r="K12" s="13"/>
      <c r="L12" s="30">
        <f t="shared" ref="L12:L16" si="3">SUM(H12:K12)</f>
        <v>0</v>
      </c>
      <c r="M12" s="31" t="e">
        <f t="shared" ref="M12:M16" si="4">+J12/L12</f>
        <v>#DIV/0!</v>
      </c>
      <c r="S12" s="24" t="s">
        <v>11</v>
      </c>
    </row>
    <row r="13" spans="1:36" ht="15" customHeight="1">
      <c r="A13" s="7"/>
      <c r="B13" s="24"/>
      <c r="C13" s="25"/>
      <c r="D13" s="26"/>
      <c r="E13" s="24"/>
      <c r="F13" s="24"/>
      <c r="G13" s="12"/>
      <c r="H13" s="13"/>
      <c r="I13" s="13"/>
      <c r="J13" s="13"/>
      <c r="K13" s="13"/>
      <c r="L13" s="30">
        <f t="shared" si="3"/>
        <v>0</v>
      </c>
      <c r="M13" s="31" t="e">
        <f t="shared" si="4"/>
        <v>#DIV/0!</v>
      </c>
      <c r="S13" s="24"/>
    </row>
    <row r="14" spans="1:36" ht="15" customHeight="1">
      <c r="A14" s="7"/>
      <c r="B14" s="24"/>
      <c r="C14" s="25"/>
      <c r="D14" s="26"/>
      <c r="E14" s="24"/>
      <c r="F14" s="24"/>
      <c r="G14" s="11"/>
      <c r="H14" s="13"/>
      <c r="I14" s="13"/>
      <c r="J14" s="13"/>
      <c r="K14" s="13"/>
      <c r="L14" s="30">
        <f t="shared" si="3"/>
        <v>0</v>
      </c>
      <c r="M14" s="31" t="e">
        <f t="shared" si="4"/>
        <v>#DIV/0!</v>
      </c>
    </row>
    <row r="15" spans="1:36" ht="15" customHeight="1">
      <c r="A15" s="7"/>
      <c r="B15" s="24"/>
      <c r="C15" s="25"/>
      <c r="D15" s="26"/>
      <c r="E15" s="37"/>
      <c r="F15" s="24"/>
      <c r="G15" s="12"/>
      <c r="H15" s="13"/>
      <c r="I15" s="13"/>
      <c r="J15" s="13"/>
      <c r="K15" s="13"/>
      <c r="L15" s="30">
        <f t="shared" si="3"/>
        <v>0</v>
      </c>
      <c r="M15" s="31" t="e">
        <f t="shared" si="4"/>
        <v>#DIV/0!</v>
      </c>
    </row>
    <row r="16" spans="1:36" ht="15" customHeight="1">
      <c r="A16" s="7"/>
      <c r="B16" s="38"/>
      <c r="C16" s="25"/>
      <c r="D16" s="39"/>
      <c r="E16" s="40"/>
      <c r="F16" s="41"/>
      <c r="G16" s="12"/>
      <c r="H16" s="13"/>
      <c r="I16" s="13"/>
      <c r="J16" s="13"/>
      <c r="K16" s="13"/>
      <c r="L16" s="30">
        <f t="shared" si="3"/>
        <v>0</v>
      </c>
      <c r="M16" s="31" t="e">
        <f t="shared" si="4"/>
        <v>#DIV/0!</v>
      </c>
    </row>
    <row r="17" spans="1:36" s="23" customFormat="1" ht="15" customHeight="1">
      <c r="A17" s="7">
        <f t="shared" si="0"/>
        <v>1</v>
      </c>
      <c r="B17" s="19" t="s">
        <v>94</v>
      </c>
      <c r="C17" s="20" t="s">
        <v>95</v>
      </c>
      <c r="D17" s="21" t="s">
        <v>96</v>
      </c>
      <c r="E17" s="19" t="s">
        <v>97</v>
      </c>
      <c r="F17" s="19" t="s">
        <v>10</v>
      </c>
      <c r="G17" s="12"/>
      <c r="H17" s="13"/>
      <c r="I17" s="13"/>
      <c r="J17" s="13"/>
      <c r="K17" s="13"/>
      <c r="L17" s="30"/>
      <c r="M17" s="31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</row>
    <row r="18" spans="1:36" ht="15" customHeight="1">
      <c r="A18" s="7"/>
      <c r="B18" s="24"/>
      <c r="C18" s="25"/>
      <c r="D18" s="26"/>
      <c r="E18" s="24"/>
      <c r="F18" s="24"/>
      <c r="G18" s="12"/>
      <c r="H18" s="13"/>
      <c r="I18" s="13"/>
      <c r="J18" s="13"/>
      <c r="K18" s="13"/>
      <c r="L18" s="30">
        <f t="shared" si="1"/>
        <v>0</v>
      </c>
      <c r="M18" s="31" t="e">
        <f t="shared" si="2"/>
        <v>#DIV/0!</v>
      </c>
    </row>
    <row r="19" spans="1:36" ht="15" customHeight="1">
      <c r="A19" s="7"/>
      <c r="B19" s="24"/>
      <c r="C19" s="25"/>
      <c r="D19" s="26"/>
      <c r="E19" s="24"/>
      <c r="F19" s="24"/>
      <c r="G19" s="12"/>
      <c r="H19" s="13"/>
      <c r="I19" s="13"/>
      <c r="J19" s="13"/>
      <c r="K19" s="13"/>
      <c r="L19" s="30">
        <f t="shared" si="1"/>
        <v>0</v>
      </c>
      <c r="M19" s="31" t="e">
        <f t="shared" si="2"/>
        <v>#DIV/0!</v>
      </c>
    </row>
    <row r="20" spans="1:36" ht="15" customHeight="1">
      <c r="A20" s="7"/>
      <c r="B20" s="24"/>
      <c r="C20" s="25"/>
      <c r="D20" s="26"/>
      <c r="E20" s="24"/>
      <c r="F20" s="24"/>
      <c r="G20" s="12"/>
      <c r="H20" s="13"/>
      <c r="I20" s="13"/>
      <c r="J20" s="13"/>
      <c r="K20" s="13"/>
      <c r="L20" s="30">
        <f t="shared" si="1"/>
        <v>0</v>
      </c>
      <c r="M20" s="31" t="e">
        <f t="shared" si="2"/>
        <v>#DIV/0!</v>
      </c>
    </row>
    <row r="21" spans="1:36" ht="15" customHeight="1">
      <c r="A21" s="7"/>
      <c r="B21" s="24"/>
      <c r="C21" s="25"/>
      <c r="D21" s="26"/>
      <c r="E21" s="24"/>
      <c r="F21" s="24"/>
      <c r="G21" s="12"/>
      <c r="H21" s="13"/>
      <c r="I21" s="13"/>
      <c r="J21" s="13"/>
      <c r="K21" s="13"/>
      <c r="L21" s="30">
        <f t="shared" si="1"/>
        <v>0</v>
      </c>
      <c r="M21" s="31" t="e">
        <f t="shared" si="2"/>
        <v>#DIV/0!</v>
      </c>
    </row>
    <row r="22" spans="1:36" ht="15" customHeight="1">
      <c r="A22" s="7"/>
      <c r="B22" s="24"/>
      <c r="C22" s="25"/>
      <c r="D22" s="26"/>
      <c r="E22" s="37"/>
      <c r="F22" s="24"/>
      <c r="G22" s="12"/>
      <c r="H22" s="13"/>
      <c r="I22" s="13"/>
      <c r="J22" s="13"/>
      <c r="K22" s="13"/>
      <c r="L22" s="30">
        <f t="shared" si="1"/>
        <v>0</v>
      </c>
      <c r="M22" s="31" t="e">
        <f t="shared" si="2"/>
        <v>#DIV/0!</v>
      </c>
    </row>
    <row r="23" spans="1:36" ht="15" customHeight="1">
      <c r="A23" s="7"/>
      <c r="B23" s="24"/>
      <c r="C23" s="25"/>
      <c r="D23" s="26"/>
      <c r="E23" s="42"/>
      <c r="F23" s="24"/>
      <c r="G23" s="12"/>
      <c r="H23" s="13"/>
      <c r="I23" s="13"/>
      <c r="J23" s="13"/>
      <c r="K23" s="13"/>
      <c r="L23" s="30">
        <f t="shared" si="1"/>
        <v>0</v>
      </c>
      <c r="M23" s="31" t="e">
        <f t="shared" si="2"/>
        <v>#DIV/0!</v>
      </c>
    </row>
    <row r="24" spans="1:36">
      <c r="A24" s="7"/>
      <c r="B24" s="24"/>
      <c r="C24" s="25"/>
      <c r="D24" s="26"/>
      <c r="E24" s="24"/>
      <c r="F24" s="24"/>
      <c r="G24" s="12"/>
      <c r="H24" s="13"/>
      <c r="I24" s="13"/>
      <c r="J24" s="13"/>
      <c r="K24" s="13"/>
      <c r="L24" s="30">
        <f t="shared" si="1"/>
        <v>0</v>
      </c>
      <c r="M24" s="31" t="e">
        <f t="shared" si="2"/>
        <v>#DIV/0!</v>
      </c>
    </row>
    <row r="25" spans="1:36" s="18" customFormat="1" ht="15" customHeight="1">
      <c r="A25" s="7">
        <f>1+A23</f>
        <v>1</v>
      </c>
      <c r="B25" s="15" t="s">
        <v>98</v>
      </c>
      <c r="C25" s="16" t="s">
        <v>99</v>
      </c>
      <c r="D25" s="17" t="s">
        <v>100</v>
      </c>
      <c r="E25" s="15" t="s">
        <v>101</v>
      </c>
      <c r="F25" s="15" t="s">
        <v>8</v>
      </c>
      <c r="G25" s="12"/>
      <c r="H25" s="13"/>
      <c r="I25" s="13"/>
      <c r="J25" s="13"/>
      <c r="K25" s="13"/>
      <c r="L25" s="30">
        <f t="shared" si="1"/>
        <v>0</v>
      </c>
      <c r="M25" s="31" t="e">
        <f t="shared" si="2"/>
        <v>#DIV/0!</v>
      </c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</row>
    <row r="26" spans="1:36" s="23" customFormat="1" ht="15" customHeight="1">
      <c r="A26" s="7">
        <f t="shared" si="0"/>
        <v>2</v>
      </c>
      <c r="B26" s="19" t="s">
        <v>102</v>
      </c>
      <c r="C26" s="20" t="s">
        <v>103</v>
      </c>
      <c r="D26" s="21" t="s">
        <v>104</v>
      </c>
      <c r="E26" s="19" t="s">
        <v>105</v>
      </c>
      <c r="F26" s="19" t="s">
        <v>10</v>
      </c>
      <c r="G26" s="12"/>
      <c r="H26" s="43"/>
      <c r="I26" s="43"/>
      <c r="J26" s="43"/>
      <c r="K26" s="43"/>
      <c r="L26" s="30">
        <f t="shared" si="1"/>
        <v>0</v>
      </c>
      <c r="M26" s="31" t="e">
        <f t="shared" si="2"/>
        <v>#DIV/0!</v>
      </c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</row>
    <row r="27" spans="1:36" ht="15" customHeight="1">
      <c r="A27" s="7">
        <f t="shared" si="0"/>
        <v>3</v>
      </c>
      <c r="B27" s="24" t="s">
        <v>102</v>
      </c>
      <c r="C27" s="25" t="s">
        <v>103</v>
      </c>
      <c r="D27" s="26" t="s">
        <v>106</v>
      </c>
      <c r="E27" s="24" t="s">
        <v>107</v>
      </c>
      <c r="F27" s="24" t="s">
        <v>5</v>
      </c>
      <c r="G27" s="12"/>
      <c r="H27" s="43"/>
      <c r="I27" s="43"/>
      <c r="J27" s="43"/>
      <c r="K27" s="43"/>
      <c r="L27" s="30">
        <f>20-H27-I27</f>
        <v>20</v>
      </c>
      <c r="M27" s="31">
        <f t="shared" ref="M27:M74" si="5">ROUND(+L27/21,1)</f>
        <v>1</v>
      </c>
    </row>
    <row r="28" spans="1:36" ht="15" customHeight="1">
      <c r="A28" s="7">
        <f t="shared" si="0"/>
        <v>4</v>
      </c>
      <c r="B28" s="24" t="s">
        <v>102</v>
      </c>
      <c r="C28" s="25" t="s">
        <v>103</v>
      </c>
      <c r="D28" s="26" t="s">
        <v>108</v>
      </c>
      <c r="E28" s="24" t="s">
        <v>109</v>
      </c>
      <c r="F28" s="24" t="s">
        <v>2</v>
      </c>
      <c r="G28" s="12"/>
      <c r="H28" s="43"/>
      <c r="I28" s="43"/>
      <c r="J28" s="43"/>
      <c r="K28" s="43"/>
      <c r="L28" s="30">
        <f>20-H28-I28</f>
        <v>20</v>
      </c>
      <c r="M28" s="31">
        <f t="shared" si="5"/>
        <v>1</v>
      </c>
    </row>
    <row r="29" spans="1:36" ht="15" customHeight="1">
      <c r="A29" s="7">
        <f t="shared" si="0"/>
        <v>5</v>
      </c>
      <c r="B29" s="24" t="s">
        <v>102</v>
      </c>
      <c r="C29" s="25" t="s">
        <v>103</v>
      </c>
      <c r="D29" s="26" t="s">
        <v>110</v>
      </c>
      <c r="E29" s="24" t="s">
        <v>111</v>
      </c>
      <c r="F29" s="24" t="s">
        <v>5</v>
      </c>
      <c r="G29" s="12" t="s">
        <v>90</v>
      </c>
      <c r="H29" s="43">
        <v>1.5</v>
      </c>
      <c r="I29" s="43"/>
      <c r="J29" s="43"/>
      <c r="K29" s="43"/>
      <c r="L29" s="30">
        <f>20-I29</f>
        <v>20</v>
      </c>
      <c r="M29" s="31">
        <f t="shared" si="5"/>
        <v>1</v>
      </c>
    </row>
    <row r="30" spans="1:36" ht="15" customHeight="1">
      <c r="A30" s="7">
        <f t="shared" si="0"/>
        <v>6</v>
      </c>
      <c r="B30" s="24" t="s">
        <v>102</v>
      </c>
      <c r="C30" s="25" t="s">
        <v>103</v>
      </c>
      <c r="D30" s="26" t="s">
        <v>112</v>
      </c>
      <c r="E30" s="24" t="s">
        <v>113</v>
      </c>
      <c r="F30" s="24" t="s">
        <v>5</v>
      </c>
      <c r="G30" s="12"/>
      <c r="H30" s="43"/>
      <c r="I30" s="43"/>
      <c r="J30" s="43"/>
      <c r="K30" s="43"/>
      <c r="L30" s="30">
        <f>20-H30-I30</f>
        <v>20</v>
      </c>
      <c r="M30" s="31">
        <f t="shared" si="5"/>
        <v>1</v>
      </c>
    </row>
    <row r="31" spans="1:36" ht="15" customHeight="1">
      <c r="A31" s="7">
        <f t="shared" si="0"/>
        <v>7</v>
      </c>
      <c r="B31" s="24" t="s">
        <v>102</v>
      </c>
      <c r="C31" s="25" t="s">
        <v>103</v>
      </c>
      <c r="D31" s="26" t="s">
        <v>114</v>
      </c>
      <c r="E31" s="24" t="s">
        <v>115</v>
      </c>
      <c r="F31" s="24" t="s">
        <v>5</v>
      </c>
      <c r="G31" s="12"/>
      <c r="H31" s="43"/>
      <c r="I31" s="43">
        <f>3+5</f>
        <v>8</v>
      </c>
      <c r="J31" s="43"/>
      <c r="K31" s="43"/>
      <c r="L31" s="30">
        <f>20-H31-I31</f>
        <v>12</v>
      </c>
      <c r="M31" s="31">
        <f t="shared" si="5"/>
        <v>0.6</v>
      </c>
    </row>
    <row r="32" spans="1:36" ht="15" customHeight="1">
      <c r="A32" s="7">
        <f t="shared" si="0"/>
        <v>8</v>
      </c>
      <c r="B32" s="24" t="s">
        <v>102</v>
      </c>
      <c r="C32" s="25" t="s">
        <v>103</v>
      </c>
      <c r="D32" s="26" t="s">
        <v>116</v>
      </c>
      <c r="E32" s="24" t="s">
        <v>117</v>
      </c>
      <c r="F32" s="24" t="s">
        <v>5</v>
      </c>
      <c r="G32" s="12"/>
      <c r="H32" s="43"/>
      <c r="I32" s="43">
        <v>5</v>
      </c>
      <c r="J32" s="43"/>
      <c r="K32" s="43"/>
      <c r="L32" s="30">
        <f>20-H32-I32</f>
        <v>15</v>
      </c>
      <c r="M32" s="31">
        <f t="shared" si="5"/>
        <v>0.7</v>
      </c>
    </row>
    <row r="33" spans="1:36" ht="15" customHeight="1">
      <c r="A33" s="7">
        <f t="shared" si="0"/>
        <v>9</v>
      </c>
      <c r="B33" s="24" t="s">
        <v>102</v>
      </c>
      <c r="C33" s="25" t="s">
        <v>103</v>
      </c>
      <c r="D33" s="26" t="s">
        <v>118</v>
      </c>
      <c r="E33" s="24" t="s">
        <v>119</v>
      </c>
      <c r="F33" s="24" t="s">
        <v>3</v>
      </c>
      <c r="G33" s="12" t="s">
        <v>90</v>
      </c>
      <c r="H33" s="43">
        <v>5</v>
      </c>
      <c r="I33" s="43"/>
      <c r="J33" s="43"/>
      <c r="K33" s="43"/>
      <c r="L33" s="30">
        <f>20-I33</f>
        <v>20</v>
      </c>
      <c r="M33" s="31">
        <f t="shared" si="5"/>
        <v>1</v>
      </c>
    </row>
    <row r="34" spans="1:36" ht="15" customHeight="1">
      <c r="A34" s="7">
        <f t="shared" si="0"/>
        <v>10</v>
      </c>
      <c r="B34" s="24" t="s">
        <v>102</v>
      </c>
      <c r="C34" s="25" t="s">
        <v>103</v>
      </c>
      <c r="D34" s="26" t="s">
        <v>120</v>
      </c>
      <c r="E34" s="24" t="s">
        <v>121</v>
      </c>
      <c r="F34" s="24" t="s">
        <v>5</v>
      </c>
      <c r="G34" s="12"/>
      <c r="H34" s="43"/>
      <c r="I34" s="43"/>
      <c r="J34" s="43"/>
      <c r="K34" s="43"/>
      <c r="L34" s="30">
        <f>20-H34-I34</f>
        <v>20</v>
      </c>
      <c r="M34" s="31">
        <f t="shared" si="5"/>
        <v>1</v>
      </c>
    </row>
    <row r="35" spans="1:36" s="23" customFormat="1" ht="15" customHeight="1">
      <c r="A35" s="7">
        <f t="shared" si="0"/>
        <v>11</v>
      </c>
      <c r="B35" s="19" t="s">
        <v>90</v>
      </c>
      <c r="C35" s="20" t="s">
        <v>122</v>
      </c>
      <c r="D35" s="21" t="s">
        <v>123</v>
      </c>
      <c r="E35" s="19" t="s">
        <v>124</v>
      </c>
      <c r="F35" s="19" t="s">
        <v>10</v>
      </c>
      <c r="G35" s="12"/>
      <c r="H35" s="43"/>
      <c r="I35" s="43"/>
      <c r="J35" s="43"/>
      <c r="K35" s="43"/>
      <c r="L35" s="30"/>
      <c r="M35" s="31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</row>
    <row r="36" spans="1:36" ht="15" customHeight="1">
      <c r="A36" s="7">
        <f t="shared" si="0"/>
        <v>12</v>
      </c>
      <c r="B36" s="24" t="s">
        <v>90</v>
      </c>
      <c r="C36" s="25" t="s">
        <v>122</v>
      </c>
      <c r="D36" s="26" t="s">
        <v>125</v>
      </c>
      <c r="E36" s="24" t="s">
        <v>126</v>
      </c>
      <c r="F36" s="24" t="s">
        <v>4</v>
      </c>
      <c r="G36" s="12"/>
      <c r="H36" s="44"/>
      <c r="I36" s="43">
        <v>5</v>
      </c>
      <c r="J36" s="43"/>
      <c r="K36" s="43"/>
      <c r="L36" s="30">
        <f t="shared" ref="L36:L44" si="6">20-H36-I36</f>
        <v>15</v>
      </c>
      <c r="M36" s="31">
        <f t="shared" si="5"/>
        <v>0.7</v>
      </c>
    </row>
    <row r="37" spans="1:36" ht="15" customHeight="1">
      <c r="A37" s="7">
        <f t="shared" si="0"/>
        <v>13</v>
      </c>
      <c r="B37" s="24" t="s">
        <v>90</v>
      </c>
      <c r="C37" s="25" t="s">
        <v>122</v>
      </c>
      <c r="D37" s="26" t="s">
        <v>127</v>
      </c>
      <c r="E37" s="24" t="s">
        <v>128</v>
      </c>
      <c r="F37" s="24" t="s">
        <v>4</v>
      </c>
      <c r="G37" s="12"/>
      <c r="H37" s="43"/>
      <c r="I37" s="43"/>
      <c r="J37" s="43"/>
      <c r="K37" s="43"/>
      <c r="L37" s="30">
        <f t="shared" si="6"/>
        <v>20</v>
      </c>
      <c r="M37" s="31">
        <f t="shared" si="5"/>
        <v>1</v>
      </c>
    </row>
    <row r="38" spans="1:36" s="47" customFormat="1" ht="15" customHeight="1">
      <c r="A38" s="7">
        <f t="shared" si="0"/>
        <v>14</v>
      </c>
      <c r="B38" s="24" t="s">
        <v>90</v>
      </c>
      <c r="C38" s="25" t="s">
        <v>122</v>
      </c>
      <c r="D38" s="26" t="s">
        <v>129</v>
      </c>
      <c r="E38" s="24" t="s">
        <v>130</v>
      </c>
      <c r="F38" s="24" t="s">
        <v>4</v>
      </c>
      <c r="G38" s="46" t="s">
        <v>58</v>
      </c>
      <c r="H38" s="44">
        <v>15</v>
      </c>
      <c r="I38" s="44">
        <v>5</v>
      </c>
      <c r="J38" s="44"/>
      <c r="K38" s="44"/>
      <c r="L38" s="30">
        <f t="shared" si="6"/>
        <v>0</v>
      </c>
      <c r="M38" s="31">
        <f t="shared" si="5"/>
        <v>0</v>
      </c>
    </row>
    <row r="39" spans="1:36" ht="15" customHeight="1">
      <c r="A39" s="7">
        <f t="shared" si="0"/>
        <v>15</v>
      </c>
      <c r="B39" s="24" t="s">
        <v>90</v>
      </c>
      <c r="C39" s="25" t="s">
        <v>122</v>
      </c>
      <c r="D39" s="26" t="s">
        <v>131</v>
      </c>
      <c r="E39" s="24" t="s">
        <v>132</v>
      </c>
      <c r="F39" s="24" t="s">
        <v>5</v>
      </c>
      <c r="G39" s="12"/>
      <c r="H39" s="43"/>
      <c r="I39" s="43">
        <v>5</v>
      </c>
      <c r="J39" s="43"/>
      <c r="K39" s="43"/>
      <c r="L39" s="30">
        <f t="shared" si="6"/>
        <v>15</v>
      </c>
      <c r="M39" s="31">
        <f t="shared" si="5"/>
        <v>0.7</v>
      </c>
    </row>
    <row r="40" spans="1:36" ht="15" customHeight="1">
      <c r="A40" s="7">
        <f t="shared" si="0"/>
        <v>16</v>
      </c>
      <c r="B40" s="24" t="s">
        <v>90</v>
      </c>
      <c r="C40" s="25" t="s">
        <v>122</v>
      </c>
      <c r="D40" s="26" t="s">
        <v>133</v>
      </c>
      <c r="E40" s="24" t="s">
        <v>134</v>
      </c>
      <c r="F40" s="24" t="s">
        <v>2</v>
      </c>
      <c r="G40" s="12"/>
      <c r="H40" s="43"/>
      <c r="I40" s="43">
        <v>3</v>
      </c>
      <c r="J40" s="43"/>
      <c r="K40" s="43"/>
      <c r="L40" s="30">
        <f t="shared" si="6"/>
        <v>17</v>
      </c>
      <c r="M40" s="31">
        <f t="shared" si="5"/>
        <v>0.8</v>
      </c>
    </row>
    <row r="41" spans="1:36" ht="15" customHeight="1">
      <c r="A41" s="7">
        <f t="shared" si="0"/>
        <v>17</v>
      </c>
      <c r="B41" s="24" t="s">
        <v>90</v>
      </c>
      <c r="C41" s="25" t="s">
        <v>122</v>
      </c>
      <c r="D41" s="26" t="s">
        <v>135</v>
      </c>
      <c r="E41" s="37" t="s">
        <v>136</v>
      </c>
      <c r="F41" s="24" t="s">
        <v>6</v>
      </c>
      <c r="G41" s="12"/>
      <c r="H41" s="43"/>
      <c r="I41" s="43"/>
      <c r="J41" s="43"/>
      <c r="K41" s="43"/>
      <c r="L41" s="30">
        <f t="shared" si="6"/>
        <v>20</v>
      </c>
      <c r="M41" s="31">
        <f t="shared" si="5"/>
        <v>1</v>
      </c>
    </row>
    <row r="42" spans="1:36" ht="15" customHeight="1">
      <c r="A42" s="7">
        <f t="shared" si="0"/>
        <v>18</v>
      </c>
      <c r="B42" s="24" t="s">
        <v>90</v>
      </c>
      <c r="C42" s="25" t="s">
        <v>122</v>
      </c>
      <c r="D42" s="26" t="s">
        <v>137</v>
      </c>
      <c r="E42" s="24" t="s">
        <v>138</v>
      </c>
      <c r="F42" s="24" t="s">
        <v>1</v>
      </c>
      <c r="G42" s="12"/>
      <c r="H42" s="43"/>
      <c r="I42" s="43">
        <v>6</v>
      </c>
      <c r="J42" s="43"/>
      <c r="K42" s="43"/>
      <c r="L42" s="30">
        <f t="shared" si="6"/>
        <v>14</v>
      </c>
      <c r="M42" s="31">
        <f t="shared" si="5"/>
        <v>0.7</v>
      </c>
    </row>
    <row r="43" spans="1:36" ht="15" customHeight="1">
      <c r="A43" s="7">
        <f t="shared" si="0"/>
        <v>19</v>
      </c>
      <c r="B43" s="40" t="s">
        <v>90</v>
      </c>
      <c r="C43" s="25" t="s">
        <v>122</v>
      </c>
      <c r="D43" s="39" t="s">
        <v>139</v>
      </c>
      <c r="E43" s="40" t="s">
        <v>140</v>
      </c>
      <c r="F43" s="41" t="s">
        <v>141</v>
      </c>
      <c r="G43" s="12" t="s">
        <v>142</v>
      </c>
      <c r="H43" s="43">
        <v>8</v>
      </c>
      <c r="I43" s="43"/>
      <c r="J43" s="43"/>
      <c r="K43" s="43"/>
      <c r="L43" s="30">
        <f t="shared" si="6"/>
        <v>12</v>
      </c>
      <c r="M43" s="31">
        <f t="shared" si="5"/>
        <v>0.6</v>
      </c>
    </row>
    <row r="44" spans="1:36">
      <c r="A44" s="7"/>
      <c r="B44" s="24" t="s">
        <v>94</v>
      </c>
      <c r="C44" s="25" t="s">
        <v>95</v>
      </c>
      <c r="D44" s="26" t="s">
        <v>143</v>
      </c>
      <c r="E44" s="24" t="s">
        <v>144</v>
      </c>
      <c r="F44" s="24" t="s">
        <v>6</v>
      </c>
      <c r="G44" s="12"/>
      <c r="H44" s="13"/>
      <c r="I44" s="13"/>
      <c r="J44" s="13"/>
      <c r="K44" s="13"/>
      <c r="L44" s="30">
        <f t="shared" si="6"/>
        <v>20</v>
      </c>
      <c r="M44" s="31">
        <f t="shared" si="5"/>
        <v>1</v>
      </c>
    </row>
    <row r="45" spans="1:36" s="18" customFormat="1" ht="15" customHeight="1">
      <c r="A45" s="7">
        <f>1+A43</f>
        <v>20</v>
      </c>
      <c r="B45" s="15" t="s">
        <v>145</v>
      </c>
      <c r="C45" s="16" t="s">
        <v>146</v>
      </c>
      <c r="D45" s="17" t="s">
        <v>147</v>
      </c>
      <c r="E45" s="15" t="s">
        <v>148</v>
      </c>
      <c r="F45" s="15" t="s">
        <v>8</v>
      </c>
      <c r="G45" s="12"/>
      <c r="H45" s="13"/>
      <c r="I45" s="13"/>
      <c r="J45" s="13"/>
      <c r="K45" s="13"/>
      <c r="L45" s="30"/>
      <c r="M45" s="31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</row>
    <row r="46" spans="1:36" ht="15" customHeight="1">
      <c r="A46" s="7"/>
      <c r="B46" s="24" t="s">
        <v>84</v>
      </c>
      <c r="C46" s="25" t="s">
        <v>85</v>
      </c>
      <c r="D46" s="26" t="s">
        <v>149</v>
      </c>
      <c r="E46" s="24" t="s">
        <v>150</v>
      </c>
      <c r="F46" s="24" t="s">
        <v>5</v>
      </c>
      <c r="G46" s="12"/>
      <c r="H46" s="13"/>
      <c r="I46" s="13"/>
      <c r="J46" s="13"/>
      <c r="K46" s="13"/>
      <c r="L46" s="30">
        <f t="shared" ref="L46:L52" si="7">20-H46-I46</f>
        <v>20</v>
      </c>
      <c r="M46" s="31">
        <f>ROUND(+L46/21,1)</f>
        <v>1</v>
      </c>
    </row>
    <row r="47" spans="1:36" ht="15" customHeight="1">
      <c r="A47" s="7" t="e">
        <f>1+#REF!</f>
        <v>#REF!</v>
      </c>
      <c r="B47" s="24" t="s">
        <v>94</v>
      </c>
      <c r="C47" s="25" t="s">
        <v>95</v>
      </c>
      <c r="D47" s="26" t="s">
        <v>151</v>
      </c>
      <c r="E47" s="24" t="s">
        <v>152</v>
      </c>
      <c r="F47" s="24" t="s">
        <v>5</v>
      </c>
      <c r="G47" s="12"/>
      <c r="H47" s="13">
        <v>16</v>
      </c>
      <c r="I47" s="13"/>
      <c r="J47" s="13"/>
      <c r="K47" s="13"/>
      <c r="L47" s="30">
        <f t="shared" si="7"/>
        <v>4</v>
      </c>
      <c r="M47" s="31">
        <f t="shared" ref="M47" si="8">ROUND(+L47/21,1)</f>
        <v>0.2</v>
      </c>
    </row>
    <row r="48" spans="1:36" ht="15" customHeight="1">
      <c r="A48" s="7">
        <f>1+A45</f>
        <v>21</v>
      </c>
      <c r="B48" s="24" t="s">
        <v>153</v>
      </c>
      <c r="C48" s="25" t="s">
        <v>146</v>
      </c>
      <c r="D48" s="26" t="s">
        <v>154</v>
      </c>
      <c r="E48" s="24" t="s">
        <v>155</v>
      </c>
      <c r="F48" s="24" t="s">
        <v>2</v>
      </c>
      <c r="G48" s="12"/>
      <c r="H48" s="13"/>
      <c r="I48" s="13"/>
      <c r="J48" s="13"/>
      <c r="K48" s="13"/>
      <c r="L48" s="30">
        <f t="shared" si="7"/>
        <v>20</v>
      </c>
      <c r="M48" s="31">
        <f t="shared" si="5"/>
        <v>1</v>
      </c>
    </row>
    <row r="49" spans="1:36" ht="15" customHeight="1">
      <c r="A49" s="7">
        <f t="shared" si="0"/>
        <v>22</v>
      </c>
      <c r="B49" s="24" t="s">
        <v>145</v>
      </c>
      <c r="C49" s="25" t="s">
        <v>146</v>
      </c>
      <c r="D49" s="26" t="s">
        <v>156</v>
      </c>
      <c r="E49" s="24" t="s">
        <v>157</v>
      </c>
      <c r="F49" s="24" t="s">
        <v>5</v>
      </c>
      <c r="G49" s="12"/>
      <c r="H49" s="13"/>
      <c r="I49" s="13">
        <v>1</v>
      </c>
      <c r="J49" s="13"/>
      <c r="K49" s="13"/>
      <c r="L49" s="30">
        <f t="shared" si="7"/>
        <v>19</v>
      </c>
      <c r="M49" s="31">
        <f t="shared" si="5"/>
        <v>0.9</v>
      </c>
    </row>
    <row r="50" spans="1:36" ht="15" customHeight="1">
      <c r="A50" s="7">
        <f t="shared" si="0"/>
        <v>23</v>
      </c>
      <c r="B50" s="48" t="s">
        <v>145</v>
      </c>
      <c r="C50" s="25" t="s">
        <v>146</v>
      </c>
      <c r="D50" s="26" t="s">
        <v>158</v>
      </c>
      <c r="E50" s="24" t="s">
        <v>159</v>
      </c>
      <c r="F50" s="24" t="s">
        <v>5</v>
      </c>
      <c r="G50" s="12"/>
      <c r="H50" s="13"/>
      <c r="I50" s="13">
        <v>1</v>
      </c>
      <c r="J50" s="13"/>
      <c r="K50" s="13"/>
      <c r="L50" s="30">
        <f t="shared" si="7"/>
        <v>19</v>
      </c>
      <c r="M50" s="31">
        <f t="shared" si="5"/>
        <v>0.9</v>
      </c>
    </row>
    <row r="51" spans="1:36" ht="15" customHeight="1">
      <c r="A51" s="7">
        <f t="shared" si="0"/>
        <v>24</v>
      </c>
      <c r="B51" s="48" t="s">
        <v>145</v>
      </c>
      <c r="C51" s="25" t="s">
        <v>146</v>
      </c>
      <c r="D51" s="26" t="s">
        <v>160</v>
      </c>
      <c r="E51" s="24" t="s">
        <v>161</v>
      </c>
      <c r="F51" s="24" t="s">
        <v>6</v>
      </c>
      <c r="G51" s="12"/>
      <c r="H51" s="13"/>
      <c r="I51" s="13">
        <v>1</v>
      </c>
      <c r="J51" s="13"/>
      <c r="K51" s="13"/>
      <c r="L51" s="30">
        <f t="shared" si="7"/>
        <v>19</v>
      </c>
      <c r="M51" s="31">
        <f t="shared" si="5"/>
        <v>0.9</v>
      </c>
    </row>
    <row r="52" spans="1:36" ht="15" customHeight="1">
      <c r="A52" s="7">
        <f t="shared" si="0"/>
        <v>25</v>
      </c>
      <c r="B52" s="48" t="s">
        <v>145</v>
      </c>
      <c r="C52" s="25" t="s">
        <v>162</v>
      </c>
      <c r="D52" s="26" t="s">
        <v>163</v>
      </c>
      <c r="E52" s="24" t="s">
        <v>164</v>
      </c>
      <c r="F52" s="24" t="s">
        <v>5</v>
      </c>
      <c r="G52" s="12"/>
      <c r="H52" s="13"/>
      <c r="I52" s="13">
        <v>1</v>
      </c>
      <c r="J52" s="13"/>
      <c r="K52" s="13"/>
      <c r="L52" s="30">
        <f t="shared" si="7"/>
        <v>19</v>
      </c>
      <c r="M52" s="31">
        <f t="shared" si="5"/>
        <v>0.9</v>
      </c>
    </row>
    <row r="53" spans="1:36" s="23" customFormat="1" ht="15" customHeight="1">
      <c r="A53" s="7">
        <f t="shared" si="0"/>
        <v>26</v>
      </c>
      <c r="B53" s="19" t="s">
        <v>165</v>
      </c>
      <c r="C53" s="20" t="s">
        <v>166</v>
      </c>
      <c r="D53" s="21" t="s">
        <v>167</v>
      </c>
      <c r="E53" s="19" t="s">
        <v>168</v>
      </c>
      <c r="F53" s="19" t="s">
        <v>10</v>
      </c>
      <c r="G53" s="12"/>
      <c r="H53" s="13"/>
      <c r="I53" s="13"/>
      <c r="J53" s="13"/>
      <c r="K53" s="13"/>
      <c r="L53" s="30"/>
      <c r="M53" s="31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</row>
    <row r="54" spans="1:36" ht="15" customHeight="1">
      <c r="A54" s="7">
        <f t="shared" si="0"/>
        <v>27</v>
      </c>
      <c r="B54" s="24" t="s">
        <v>165</v>
      </c>
      <c r="C54" s="25" t="s">
        <v>166</v>
      </c>
      <c r="D54" s="26" t="s">
        <v>169</v>
      </c>
      <c r="E54" s="24" t="s">
        <v>170</v>
      </c>
      <c r="F54" s="24" t="s">
        <v>5</v>
      </c>
      <c r="G54" s="12"/>
      <c r="H54" s="13"/>
      <c r="I54" s="13">
        <v>1</v>
      </c>
      <c r="J54" s="13"/>
      <c r="K54" s="13"/>
      <c r="L54" s="30">
        <f t="shared" ref="L54:L60" si="9">20-H54-I54</f>
        <v>19</v>
      </c>
      <c r="M54" s="31">
        <f t="shared" si="5"/>
        <v>0.9</v>
      </c>
    </row>
    <row r="55" spans="1:36" ht="15" customHeight="1">
      <c r="A55" s="7">
        <f t="shared" si="0"/>
        <v>28</v>
      </c>
      <c r="B55" s="24" t="s">
        <v>165</v>
      </c>
      <c r="C55" s="25" t="s">
        <v>166</v>
      </c>
      <c r="D55" s="26" t="s">
        <v>171</v>
      </c>
      <c r="E55" s="24" t="s">
        <v>172</v>
      </c>
      <c r="F55" s="24" t="s">
        <v>5</v>
      </c>
      <c r="G55" s="12"/>
      <c r="H55" s="13"/>
      <c r="I55" s="13">
        <v>1</v>
      </c>
      <c r="J55" s="13"/>
      <c r="K55" s="13"/>
      <c r="L55" s="30">
        <f t="shared" si="9"/>
        <v>19</v>
      </c>
      <c r="M55" s="31">
        <f t="shared" si="5"/>
        <v>0.9</v>
      </c>
    </row>
    <row r="56" spans="1:36" ht="15" customHeight="1">
      <c r="A56" s="7">
        <f t="shared" si="0"/>
        <v>29</v>
      </c>
      <c r="B56" s="24" t="s">
        <v>165</v>
      </c>
      <c r="C56" s="25" t="s">
        <v>166</v>
      </c>
      <c r="D56" s="26" t="s">
        <v>173</v>
      </c>
      <c r="E56" s="24" t="s">
        <v>174</v>
      </c>
      <c r="F56" s="24" t="s">
        <v>3</v>
      </c>
      <c r="G56" s="12"/>
      <c r="H56" s="13"/>
      <c r="I56" s="13"/>
      <c r="J56" s="13"/>
      <c r="K56" s="13"/>
      <c r="L56" s="30">
        <f t="shared" si="9"/>
        <v>20</v>
      </c>
      <c r="M56" s="31">
        <f t="shared" si="5"/>
        <v>1</v>
      </c>
    </row>
    <row r="57" spans="1:36" ht="15" customHeight="1">
      <c r="A57" s="7">
        <f t="shared" si="0"/>
        <v>30</v>
      </c>
      <c r="B57" s="24" t="s">
        <v>165</v>
      </c>
      <c r="C57" s="25" t="s">
        <v>166</v>
      </c>
      <c r="D57" s="26" t="s">
        <v>175</v>
      </c>
      <c r="E57" s="24" t="s">
        <v>176</v>
      </c>
      <c r="F57" s="24" t="s">
        <v>1</v>
      </c>
      <c r="G57" s="12"/>
      <c r="H57" s="13"/>
      <c r="I57" s="13">
        <v>4</v>
      </c>
      <c r="J57" s="13"/>
      <c r="K57" s="13"/>
      <c r="L57" s="30">
        <f t="shared" si="9"/>
        <v>16</v>
      </c>
      <c r="M57" s="31">
        <f t="shared" si="5"/>
        <v>0.8</v>
      </c>
    </row>
    <row r="58" spans="1:36" ht="15" customHeight="1">
      <c r="A58" s="7">
        <f t="shared" si="0"/>
        <v>31</v>
      </c>
      <c r="B58" s="24" t="s">
        <v>165</v>
      </c>
      <c r="C58" s="25" t="s">
        <v>166</v>
      </c>
      <c r="D58" s="26" t="s">
        <v>177</v>
      </c>
      <c r="E58" s="24" t="s">
        <v>178</v>
      </c>
      <c r="F58" s="24" t="s">
        <v>1</v>
      </c>
      <c r="G58" s="12"/>
      <c r="H58" s="13"/>
      <c r="I58" s="13">
        <v>1</v>
      </c>
      <c r="J58" s="13"/>
      <c r="K58" s="13"/>
      <c r="L58" s="30">
        <f t="shared" si="9"/>
        <v>19</v>
      </c>
      <c r="M58" s="31">
        <f t="shared" si="5"/>
        <v>0.9</v>
      </c>
    </row>
    <row r="59" spans="1:36" ht="15" customHeight="1">
      <c r="A59" s="7">
        <f t="shared" si="0"/>
        <v>32</v>
      </c>
      <c r="B59" s="24" t="s">
        <v>165</v>
      </c>
      <c r="C59" s="25" t="s">
        <v>166</v>
      </c>
      <c r="D59" s="26" t="s">
        <v>179</v>
      </c>
      <c r="E59" s="37" t="s">
        <v>180</v>
      </c>
      <c r="F59" s="24" t="s">
        <v>5</v>
      </c>
      <c r="G59" s="12"/>
      <c r="H59" s="13"/>
      <c r="I59" s="13">
        <v>1</v>
      </c>
      <c r="J59" s="13"/>
      <c r="K59" s="13"/>
      <c r="L59" s="30">
        <f t="shared" si="9"/>
        <v>19</v>
      </c>
      <c r="M59" s="31">
        <f t="shared" si="5"/>
        <v>0.9</v>
      </c>
    </row>
    <row r="60" spans="1:36" ht="15" customHeight="1">
      <c r="A60" s="7">
        <f t="shared" si="0"/>
        <v>33</v>
      </c>
      <c r="B60" s="24" t="s">
        <v>165</v>
      </c>
      <c r="C60" s="25" t="s">
        <v>166</v>
      </c>
      <c r="D60" s="26" t="s">
        <v>181</v>
      </c>
      <c r="E60" s="37" t="s">
        <v>182</v>
      </c>
      <c r="F60" s="24" t="s">
        <v>5</v>
      </c>
      <c r="G60" s="12"/>
      <c r="H60" s="13"/>
      <c r="I60" s="13">
        <v>1</v>
      </c>
      <c r="J60" s="13"/>
      <c r="K60" s="13"/>
      <c r="L60" s="30">
        <f t="shared" si="9"/>
        <v>19</v>
      </c>
      <c r="M60" s="31">
        <f t="shared" si="5"/>
        <v>0.9</v>
      </c>
    </row>
    <row r="61" spans="1:36" s="18" customFormat="1" ht="15" customHeight="1">
      <c r="A61" s="7">
        <f t="shared" si="0"/>
        <v>34</v>
      </c>
      <c r="B61" s="15" t="s">
        <v>183</v>
      </c>
      <c r="C61" s="16" t="s">
        <v>184</v>
      </c>
      <c r="D61" s="17" t="s">
        <v>185</v>
      </c>
      <c r="E61" s="15" t="s">
        <v>186</v>
      </c>
      <c r="F61" s="15" t="s">
        <v>8</v>
      </c>
      <c r="G61" s="12"/>
      <c r="H61" s="13"/>
      <c r="I61" s="13"/>
      <c r="J61" s="13"/>
      <c r="K61" s="13"/>
      <c r="L61" s="30"/>
      <c r="M61" s="3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</row>
    <row r="62" spans="1:36" s="23" customFormat="1" ht="17.45" customHeight="1">
      <c r="A62" s="7">
        <f t="shared" si="0"/>
        <v>35</v>
      </c>
      <c r="B62" s="19" t="s">
        <v>187</v>
      </c>
      <c r="C62" s="20" t="s">
        <v>188</v>
      </c>
      <c r="D62" s="21" t="s">
        <v>189</v>
      </c>
      <c r="E62" s="19" t="s">
        <v>190</v>
      </c>
      <c r="F62" s="19" t="s">
        <v>10</v>
      </c>
      <c r="G62" s="12"/>
      <c r="H62" s="13"/>
      <c r="I62" s="13"/>
      <c r="J62" s="13"/>
      <c r="K62" s="13"/>
      <c r="L62" s="30"/>
      <c r="M62" s="31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</row>
    <row r="63" spans="1:36" ht="15" customHeight="1">
      <c r="A63" s="7">
        <f t="shared" si="0"/>
        <v>36</v>
      </c>
      <c r="B63" s="24" t="s">
        <v>91</v>
      </c>
      <c r="C63" s="25" t="s">
        <v>92</v>
      </c>
      <c r="D63" s="26" t="s">
        <v>191</v>
      </c>
      <c r="E63" s="24" t="s">
        <v>192</v>
      </c>
      <c r="F63" s="24" t="s">
        <v>4</v>
      </c>
      <c r="G63" s="12"/>
      <c r="H63" s="13">
        <v>9</v>
      </c>
      <c r="I63" s="13"/>
      <c r="J63" s="13"/>
      <c r="K63" s="13"/>
      <c r="L63" s="30">
        <f t="shared" ref="L63:L74" si="10">20-H63-I63</f>
        <v>11</v>
      </c>
      <c r="M63" s="31">
        <f t="shared" ref="M63:M66" si="11">ROUND(+L63/21,1)</f>
        <v>0.5</v>
      </c>
    </row>
    <row r="64" spans="1:36" ht="15" customHeight="1">
      <c r="A64" s="7">
        <f t="shared" si="0"/>
        <v>37</v>
      </c>
      <c r="B64" s="24" t="s">
        <v>91</v>
      </c>
      <c r="C64" s="25" t="s">
        <v>92</v>
      </c>
      <c r="D64" s="26" t="s">
        <v>193</v>
      </c>
      <c r="E64" s="24" t="s">
        <v>194</v>
      </c>
      <c r="F64" s="24" t="s">
        <v>4</v>
      </c>
      <c r="G64" s="11"/>
      <c r="H64" s="13">
        <v>9</v>
      </c>
      <c r="I64" s="13"/>
      <c r="J64" s="13"/>
      <c r="K64" s="13"/>
      <c r="L64" s="30">
        <f t="shared" si="10"/>
        <v>11</v>
      </c>
      <c r="M64" s="31">
        <f t="shared" si="11"/>
        <v>0.5</v>
      </c>
    </row>
    <row r="65" spans="1:36" ht="15" customHeight="1">
      <c r="A65" s="7">
        <f t="shared" si="0"/>
        <v>38</v>
      </c>
      <c r="B65" s="24" t="s">
        <v>91</v>
      </c>
      <c r="C65" s="25" t="s">
        <v>92</v>
      </c>
      <c r="D65" s="26" t="s">
        <v>195</v>
      </c>
      <c r="E65" s="24" t="s">
        <v>196</v>
      </c>
      <c r="F65" s="24" t="s">
        <v>11</v>
      </c>
      <c r="G65" s="11"/>
      <c r="H65" s="13">
        <v>9</v>
      </c>
      <c r="I65" s="13"/>
      <c r="J65" s="13"/>
      <c r="K65" s="13"/>
      <c r="L65" s="30">
        <f t="shared" si="10"/>
        <v>11</v>
      </c>
      <c r="M65" s="31">
        <f t="shared" si="11"/>
        <v>0.5</v>
      </c>
    </row>
    <row r="66" spans="1:36" ht="15" customHeight="1">
      <c r="A66" s="7">
        <f t="shared" si="0"/>
        <v>39</v>
      </c>
      <c r="B66" s="38" t="s">
        <v>197</v>
      </c>
      <c r="C66" s="25" t="s">
        <v>92</v>
      </c>
      <c r="D66" s="39" t="s">
        <v>198</v>
      </c>
      <c r="E66" s="40" t="s">
        <v>199</v>
      </c>
      <c r="F66" s="41" t="s">
        <v>200</v>
      </c>
      <c r="G66" s="12"/>
      <c r="H66" s="13">
        <v>2</v>
      </c>
      <c r="I66" s="13"/>
      <c r="J66" s="13"/>
      <c r="K66" s="13"/>
      <c r="L66" s="30">
        <f t="shared" si="10"/>
        <v>18</v>
      </c>
      <c r="M66" s="31">
        <f t="shared" si="11"/>
        <v>0.9</v>
      </c>
    </row>
    <row r="67" spans="1:36" ht="15" customHeight="1">
      <c r="A67" s="7">
        <f>1+A62</f>
        <v>36</v>
      </c>
      <c r="B67" s="24" t="s">
        <v>187</v>
      </c>
      <c r="C67" s="25" t="s">
        <v>188</v>
      </c>
      <c r="D67" s="26" t="s">
        <v>201</v>
      </c>
      <c r="E67" s="24" t="s">
        <v>202</v>
      </c>
      <c r="F67" s="24" t="s">
        <v>3</v>
      </c>
      <c r="G67" s="12"/>
      <c r="H67" s="13"/>
      <c r="I67" s="13"/>
      <c r="J67" s="13"/>
      <c r="K67" s="13"/>
      <c r="L67" s="30">
        <f t="shared" si="10"/>
        <v>20</v>
      </c>
      <c r="M67" s="31">
        <f t="shared" si="5"/>
        <v>1</v>
      </c>
    </row>
    <row r="68" spans="1:36" ht="15" customHeight="1">
      <c r="A68" s="7">
        <f t="shared" ref="A68:A131" si="12">1+A67</f>
        <v>37</v>
      </c>
      <c r="B68" s="24" t="s">
        <v>187</v>
      </c>
      <c r="C68" s="25" t="s">
        <v>188</v>
      </c>
      <c r="D68" s="26" t="s">
        <v>203</v>
      </c>
      <c r="E68" s="24" t="s">
        <v>204</v>
      </c>
      <c r="F68" s="24" t="s">
        <v>4</v>
      </c>
      <c r="G68" s="12"/>
      <c r="H68" s="13"/>
      <c r="I68" s="13"/>
      <c r="J68" s="13"/>
      <c r="K68" s="13"/>
      <c r="L68" s="30">
        <f t="shared" si="10"/>
        <v>20</v>
      </c>
      <c r="M68" s="31">
        <f t="shared" si="5"/>
        <v>1</v>
      </c>
    </row>
    <row r="69" spans="1:36" ht="15" customHeight="1">
      <c r="A69" s="7">
        <f t="shared" si="12"/>
        <v>38</v>
      </c>
      <c r="B69" s="24" t="s">
        <v>187</v>
      </c>
      <c r="C69" s="25" t="s">
        <v>188</v>
      </c>
      <c r="D69" s="26" t="s">
        <v>205</v>
      </c>
      <c r="E69" s="24" t="s">
        <v>206</v>
      </c>
      <c r="F69" s="24" t="s">
        <v>5</v>
      </c>
      <c r="G69" s="12"/>
      <c r="H69" s="13"/>
      <c r="I69" s="13">
        <v>7</v>
      </c>
      <c r="J69" s="13"/>
      <c r="K69" s="13"/>
      <c r="L69" s="30">
        <f t="shared" si="10"/>
        <v>13</v>
      </c>
      <c r="M69" s="31">
        <f t="shared" si="5"/>
        <v>0.6</v>
      </c>
    </row>
    <row r="70" spans="1:36" ht="15" customHeight="1">
      <c r="A70" s="7">
        <f t="shared" si="12"/>
        <v>39</v>
      </c>
      <c r="B70" s="24" t="s">
        <v>187</v>
      </c>
      <c r="C70" s="25" t="s">
        <v>188</v>
      </c>
      <c r="D70" s="26" t="s">
        <v>207</v>
      </c>
      <c r="E70" s="24" t="s">
        <v>208</v>
      </c>
      <c r="F70" s="24" t="s">
        <v>6</v>
      </c>
      <c r="G70" s="12"/>
      <c r="H70" s="13"/>
      <c r="I70" s="13">
        <v>2</v>
      </c>
      <c r="J70" s="13"/>
      <c r="K70" s="13"/>
      <c r="L70" s="30">
        <f t="shared" si="10"/>
        <v>18</v>
      </c>
      <c r="M70" s="31">
        <f t="shared" si="5"/>
        <v>0.9</v>
      </c>
    </row>
    <row r="71" spans="1:36" ht="15" customHeight="1">
      <c r="A71" s="7">
        <f t="shared" si="12"/>
        <v>40</v>
      </c>
      <c r="B71" s="24" t="s">
        <v>187</v>
      </c>
      <c r="C71" s="25" t="s">
        <v>188</v>
      </c>
      <c r="D71" s="26" t="s">
        <v>209</v>
      </c>
      <c r="E71" s="24" t="s">
        <v>210</v>
      </c>
      <c r="F71" s="24" t="s">
        <v>4</v>
      </c>
      <c r="G71" s="12"/>
      <c r="H71" s="13"/>
      <c r="I71" s="13"/>
      <c r="J71" s="13"/>
      <c r="K71" s="13"/>
      <c r="L71" s="30">
        <f t="shared" si="10"/>
        <v>20</v>
      </c>
      <c r="M71" s="31">
        <f t="shared" si="5"/>
        <v>1</v>
      </c>
    </row>
    <row r="72" spans="1:36" ht="15" customHeight="1">
      <c r="A72" s="7">
        <f t="shared" si="12"/>
        <v>41</v>
      </c>
      <c r="B72" s="24" t="s">
        <v>187</v>
      </c>
      <c r="C72" s="25" t="s">
        <v>188</v>
      </c>
      <c r="D72" s="26" t="s">
        <v>211</v>
      </c>
      <c r="E72" s="24" t="s">
        <v>212</v>
      </c>
      <c r="F72" s="24" t="s">
        <v>5</v>
      </c>
      <c r="G72" s="12"/>
      <c r="H72" s="13"/>
      <c r="I72" s="13">
        <v>7</v>
      </c>
      <c r="J72" s="13"/>
      <c r="K72" s="13"/>
      <c r="L72" s="30">
        <f t="shared" si="10"/>
        <v>13</v>
      </c>
      <c r="M72" s="31">
        <f t="shared" si="5"/>
        <v>0.6</v>
      </c>
    </row>
    <row r="73" spans="1:36" ht="15" customHeight="1">
      <c r="A73" s="7">
        <f t="shared" si="12"/>
        <v>42</v>
      </c>
      <c r="B73" s="24" t="s">
        <v>187</v>
      </c>
      <c r="C73" s="25" t="s">
        <v>188</v>
      </c>
      <c r="D73" s="26" t="s">
        <v>213</v>
      </c>
      <c r="E73" s="24" t="s">
        <v>214</v>
      </c>
      <c r="F73" s="24" t="s">
        <v>5</v>
      </c>
      <c r="G73" s="12"/>
      <c r="H73" s="13"/>
      <c r="I73" s="13"/>
      <c r="J73" s="13"/>
      <c r="K73" s="13"/>
      <c r="L73" s="30">
        <f t="shared" si="10"/>
        <v>20</v>
      </c>
      <c r="M73" s="31">
        <f t="shared" si="5"/>
        <v>1</v>
      </c>
    </row>
    <row r="74" spans="1:36" ht="15" customHeight="1">
      <c r="A74" s="7">
        <f t="shared" si="12"/>
        <v>43</v>
      </c>
      <c r="B74" s="24" t="s">
        <v>187</v>
      </c>
      <c r="C74" s="25" t="s">
        <v>188</v>
      </c>
      <c r="D74" s="26" t="s">
        <v>215</v>
      </c>
      <c r="E74" s="24" t="s">
        <v>216</v>
      </c>
      <c r="F74" s="24" t="s">
        <v>6</v>
      </c>
      <c r="G74" s="12"/>
      <c r="H74" s="13"/>
      <c r="I74" s="13">
        <v>11</v>
      </c>
      <c r="J74" s="13"/>
      <c r="K74" s="13"/>
      <c r="L74" s="30">
        <f t="shared" si="10"/>
        <v>9</v>
      </c>
      <c r="M74" s="31">
        <f t="shared" si="5"/>
        <v>0.4</v>
      </c>
    </row>
    <row r="75" spans="1:36" s="23" customFormat="1" ht="15" customHeight="1">
      <c r="A75" s="7">
        <f t="shared" si="12"/>
        <v>44</v>
      </c>
      <c r="B75" s="19" t="s">
        <v>217</v>
      </c>
      <c r="C75" s="20" t="s">
        <v>218</v>
      </c>
      <c r="D75" s="21" t="s">
        <v>219</v>
      </c>
      <c r="E75" s="19" t="s">
        <v>220</v>
      </c>
      <c r="F75" s="19" t="s">
        <v>10</v>
      </c>
      <c r="G75" s="12"/>
      <c r="H75" s="13"/>
      <c r="I75" s="13"/>
      <c r="J75" s="13"/>
      <c r="K75" s="13"/>
      <c r="L75" s="30"/>
      <c r="M75" s="31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</row>
    <row r="76" spans="1:36" ht="15" customHeight="1">
      <c r="A76" s="7">
        <f t="shared" si="12"/>
        <v>45</v>
      </c>
      <c r="B76" s="24" t="s">
        <v>217</v>
      </c>
      <c r="C76" s="25" t="s">
        <v>218</v>
      </c>
      <c r="D76" s="26" t="s">
        <v>221</v>
      </c>
      <c r="E76" s="24" t="s">
        <v>222</v>
      </c>
      <c r="F76" s="24" t="s">
        <v>2</v>
      </c>
      <c r="G76" s="12" t="s">
        <v>28</v>
      </c>
      <c r="H76" s="13">
        <v>11</v>
      </c>
      <c r="I76" s="13"/>
      <c r="J76" s="13"/>
      <c r="K76" s="13"/>
      <c r="L76" s="30">
        <f t="shared" ref="L76:L84" si="13">20-H76-I76</f>
        <v>9</v>
      </c>
      <c r="M76" s="31">
        <f t="shared" ref="M76:M143" si="14">ROUND(+L76/21,1)</f>
        <v>0.4</v>
      </c>
    </row>
    <row r="77" spans="1:36" ht="15" customHeight="1">
      <c r="A77" s="7">
        <f t="shared" si="12"/>
        <v>46</v>
      </c>
      <c r="B77" s="24" t="s">
        <v>217</v>
      </c>
      <c r="C77" s="25" t="s">
        <v>218</v>
      </c>
      <c r="D77" s="26" t="s">
        <v>223</v>
      </c>
      <c r="E77" s="24" t="s">
        <v>224</v>
      </c>
      <c r="F77" s="24" t="s">
        <v>4</v>
      </c>
      <c r="G77" s="12"/>
      <c r="H77" s="13"/>
      <c r="I77" s="13"/>
      <c r="J77" s="13"/>
      <c r="K77" s="13"/>
      <c r="L77" s="30">
        <f t="shared" si="13"/>
        <v>20</v>
      </c>
      <c r="M77" s="31">
        <f t="shared" si="14"/>
        <v>1</v>
      </c>
    </row>
    <row r="78" spans="1:36" ht="15" customHeight="1">
      <c r="A78" s="7">
        <f t="shared" si="12"/>
        <v>47</v>
      </c>
      <c r="B78" s="24" t="s">
        <v>217</v>
      </c>
      <c r="C78" s="25" t="s">
        <v>218</v>
      </c>
      <c r="D78" s="26" t="s">
        <v>225</v>
      </c>
      <c r="E78" s="24" t="s">
        <v>226</v>
      </c>
      <c r="F78" s="24" t="s">
        <v>5</v>
      </c>
      <c r="G78" s="12"/>
      <c r="H78" s="13"/>
      <c r="I78" s="13"/>
      <c r="J78" s="13"/>
      <c r="K78" s="13"/>
      <c r="L78" s="30">
        <f t="shared" si="13"/>
        <v>20</v>
      </c>
      <c r="M78" s="31">
        <f t="shared" si="14"/>
        <v>1</v>
      </c>
    </row>
    <row r="79" spans="1:36" ht="15" customHeight="1">
      <c r="A79" s="7">
        <f t="shared" si="12"/>
        <v>48</v>
      </c>
      <c r="B79" s="24" t="s">
        <v>217</v>
      </c>
      <c r="C79" s="25" t="s">
        <v>218</v>
      </c>
      <c r="D79" s="26" t="s">
        <v>227</v>
      </c>
      <c r="E79" s="24" t="s">
        <v>228</v>
      </c>
      <c r="F79" s="24" t="s">
        <v>5</v>
      </c>
      <c r="G79" s="12"/>
      <c r="H79" s="13"/>
      <c r="I79" s="13">
        <v>4</v>
      </c>
      <c r="J79" s="13"/>
      <c r="K79" s="13"/>
      <c r="L79" s="30">
        <f t="shared" si="13"/>
        <v>16</v>
      </c>
      <c r="M79" s="31">
        <f t="shared" si="14"/>
        <v>0.8</v>
      </c>
    </row>
    <row r="80" spans="1:36" ht="15" customHeight="1">
      <c r="A80" s="7">
        <f t="shared" si="12"/>
        <v>49</v>
      </c>
      <c r="B80" s="24" t="s">
        <v>217</v>
      </c>
      <c r="C80" s="25" t="s">
        <v>218</v>
      </c>
      <c r="D80" s="26" t="s">
        <v>229</v>
      </c>
      <c r="E80" s="24" t="s">
        <v>230</v>
      </c>
      <c r="F80" s="24" t="s">
        <v>5</v>
      </c>
      <c r="G80" s="12"/>
      <c r="H80" s="13"/>
      <c r="I80" s="13">
        <v>10</v>
      </c>
      <c r="J80" s="13"/>
      <c r="K80" s="13"/>
      <c r="L80" s="30">
        <f t="shared" si="13"/>
        <v>10</v>
      </c>
      <c r="M80" s="31">
        <f t="shared" si="14"/>
        <v>0.5</v>
      </c>
    </row>
    <row r="81" spans="1:13" ht="15" customHeight="1">
      <c r="A81" s="7">
        <f t="shared" si="12"/>
        <v>50</v>
      </c>
      <c r="B81" s="24" t="s">
        <v>217</v>
      </c>
      <c r="C81" s="25" t="s">
        <v>218</v>
      </c>
      <c r="D81" s="26" t="s">
        <v>231</v>
      </c>
      <c r="E81" s="24" t="s">
        <v>232</v>
      </c>
      <c r="F81" s="24" t="s">
        <v>6</v>
      </c>
      <c r="G81" s="12"/>
      <c r="H81" s="13"/>
      <c r="I81" s="13"/>
      <c r="J81" s="13"/>
      <c r="K81" s="13"/>
      <c r="L81" s="30">
        <f t="shared" si="13"/>
        <v>20</v>
      </c>
      <c r="M81" s="31">
        <f t="shared" si="14"/>
        <v>1</v>
      </c>
    </row>
    <row r="82" spans="1:13" ht="15" customHeight="1">
      <c r="A82" s="7">
        <f t="shared" si="12"/>
        <v>51</v>
      </c>
      <c r="B82" s="24" t="s">
        <v>217</v>
      </c>
      <c r="C82" s="25" t="s">
        <v>218</v>
      </c>
      <c r="D82" s="26" t="s">
        <v>233</v>
      </c>
      <c r="E82" s="24" t="s">
        <v>234</v>
      </c>
      <c r="F82" s="24" t="s">
        <v>6</v>
      </c>
      <c r="G82" s="12"/>
      <c r="H82" s="13"/>
      <c r="I82" s="13"/>
      <c r="J82" s="13"/>
      <c r="K82" s="13"/>
      <c r="L82" s="30">
        <f t="shared" si="13"/>
        <v>20</v>
      </c>
      <c r="M82" s="31">
        <f t="shared" si="14"/>
        <v>1</v>
      </c>
    </row>
    <row r="83" spans="1:13" ht="15" customHeight="1">
      <c r="A83" s="7">
        <f t="shared" si="12"/>
        <v>52</v>
      </c>
      <c r="B83" s="24" t="s">
        <v>217</v>
      </c>
      <c r="C83" s="25" t="s">
        <v>218</v>
      </c>
      <c r="D83" s="26" t="s">
        <v>235</v>
      </c>
      <c r="E83" s="42" t="s">
        <v>236</v>
      </c>
      <c r="F83" s="24" t="s">
        <v>3</v>
      </c>
      <c r="G83" s="12"/>
      <c r="H83" s="13"/>
      <c r="I83" s="13"/>
      <c r="J83" s="13"/>
      <c r="K83" s="13"/>
      <c r="L83" s="30">
        <f t="shared" si="13"/>
        <v>20</v>
      </c>
      <c r="M83" s="31">
        <f t="shared" si="14"/>
        <v>1</v>
      </c>
    </row>
    <row r="84" spans="1:13" ht="15" customHeight="1">
      <c r="A84" s="7">
        <f t="shared" si="12"/>
        <v>53</v>
      </c>
      <c r="B84" s="24" t="s">
        <v>217</v>
      </c>
      <c r="C84" s="25" t="s">
        <v>218</v>
      </c>
      <c r="D84" s="26">
        <v>7305</v>
      </c>
      <c r="E84" s="24" t="s">
        <v>237</v>
      </c>
      <c r="F84" s="24" t="s">
        <v>4</v>
      </c>
      <c r="G84" s="12"/>
      <c r="H84" s="13"/>
      <c r="I84" s="13">
        <v>6</v>
      </c>
      <c r="J84" s="13"/>
      <c r="K84" s="13"/>
      <c r="L84" s="30">
        <f t="shared" si="13"/>
        <v>14</v>
      </c>
      <c r="M84" s="31">
        <f t="shared" si="14"/>
        <v>0.7</v>
      </c>
    </row>
    <row r="85" spans="1:13">
      <c r="A85" s="7">
        <f t="shared" si="12"/>
        <v>54</v>
      </c>
      <c r="B85" s="8" t="s">
        <v>142</v>
      </c>
      <c r="C85" s="9" t="s">
        <v>238</v>
      </c>
      <c r="D85" s="10" t="s">
        <v>239</v>
      </c>
      <c r="E85" s="8" t="s">
        <v>240</v>
      </c>
      <c r="F85" s="8" t="s">
        <v>7</v>
      </c>
      <c r="G85" s="12"/>
      <c r="H85" s="13"/>
      <c r="I85" s="13"/>
      <c r="J85" s="13"/>
      <c r="K85" s="13"/>
      <c r="L85" s="30"/>
      <c r="M85" s="31"/>
    </row>
    <row r="86" spans="1:13">
      <c r="A86" s="7">
        <f t="shared" si="12"/>
        <v>55</v>
      </c>
      <c r="B86" s="15" t="s">
        <v>241</v>
      </c>
      <c r="C86" s="16" t="s">
        <v>81</v>
      </c>
      <c r="D86" s="17" t="s">
        <v>242</v>
      </c>
      <c r="E86" s="15" t="s">
        <v>243</v>
      </c>
      <c r="F86" s="15" t="s">
        <v>8</v>
      </c>
      <c r="G86" s="12"/>
      <c r="H86" s="13"/>
      <c r="I86" s="13"/>
      <c r="J86" s="13"/>
      <c r="K86" s="13"/>
      <c r="L86" s="30"/>
      <c r="M86" s="31"/>
    </row>
    <row r="87" spans="1:13">
      <c r="A87" s="7" t="e">
        <f>1+A122</f>
        <v>#REF!</v>
      </c>
      <c r="B87" s="24" t="s">
        <v>244</v>
      </c>
      <c r="C87" s="25" t="s">
        <v>146</v>
      </c>
      <c r="D87" s="26" t="s">
        <v>245</v>
      </c>
      <c r="E87" s="49" t="s">
        <v>246</v>
      </c>
      <c r="F87" s="50" t="s">
        <v>1</v>
      </c>
      <c r="G87" s="51"/>
      <c r="H87" s="34">
        <v>2</v>
      </c>
      <c r="I87" s="13"/>
      <c r="J87" s="13"/>
      <c r="K87" s="13"/>
      <c r="L87" s="30">
        <f>20-H87-I87</f>
        <v>18</v>
      </c>
      <c r="M87" s="31">
        <f>ROUND(+L87/21,1)</f>
        <v>0.9</v>
      </c>
    </row>
    <row r="88" spans="1:13">
      <c r="A88" s="7" t="e">
        <f>1+A166</f>
        <v>#REF!</v>
      </c>
      <c r="B88" s="24" t="s">
        <v>244</v>
      </c>
      <c r="C88" s="25" t="s">
        <v>146</v>
      </c>
      <c r="D88" s="26" t="s">
        <v>247</v>
      </c>
      <c r="E88" s="49" t="s">
        <v>248</v>
      </c>
      <c r="F88" s="50" t="s">
        <v>1</v>
      </c>
      <c r="G88" s="51"/>
      <c r="H88" s="34">
        <v>2</v>
      </c>
      <c r="I88" s="13"/>
      <c r="J88" s="13"/>
      <c r="K88" s="13"/>
      <c r="L88" s="30">
        <f>20-H88-I88</f>
        <v>18</v>
      </c>
      <c r="M88" s="31">
        <f>ROUND(+L88/21,1)</f>
        <v>0.9</v>
      </c>
    </row>
    <row r="89" spans="1:13" ht="15" customHeight="1">
      <c r="A89" s="7">
        <f>1+A86</f>
        <v>56</v>
      </c>
      <c r="B89" s="40" t="s">
        <v>90</v>
      </c>
      <c r="C89" s="25" t="s">
        <v>122</v>
      </c>
      <c r="D89" s="39" t="s">
        <v>139</v>
      </c>
      <c r="E89" s="40" t="s">
        <v>140</v>
      </c>
      <c r="F89" s="41" t="s">
        <v>141</v>
      </c>
      <c r="G89" s="12"/>
      <c r="H89" s="43">
        <v>13</v>
      </c>
      <c r="I89" s="43"/>
      <c r="J89" s="43"/>
      <c r="K89" s="43"/>
      <c r="L89" s="30">
        <f>20-H89-I89</f>
        <v>7</v>
      </c>
      <c r="M89" s="31">
        <f t="shared" ref="M89" si="15">ROUND(+L89/21,1)</f>
        <v>0.3</v>
      </c>
    </row>
    <row r="90" spans="1:13">
      <c r="A90" s="7">
        <f>1+A86</f>
        <v>56</v>
      </c>
      <c r="B90" s="19" t="s">
        <v>249</v>
      </c>
      <c r="C90" s="20" t="s">
        <v>85</v>
      </c>
      <c r="D90" s="21" t="s">
        <v>250</v>
      </c>
      <c r="E90" s="19" t="s">
        <v>251</v>
      </c>
      <c r="F90" s="19" t="s">
        <v>10</v>
      </c>
      <c r="G90" s="12"/>
      <c r="H90" s="13"/>
      <c r="I90" s="13"/>
      <c r="J90" s="13"/>
      <c r="K90" s="13"/>
      <c r="L90" s="30"/>
      <c r="M90" s="31"/>
    </row>
    <row r="91" spans="1:13">
      <c r="A91" s="7">
        <f t="shared" si="12"/>
        <v>57</v>
      </c>
      <c r="B91" s="25" t="s">
        <v>252</v>
      </c>
      <c r="C91" s="25" t="s">
        <v>85</v>
      </c>
      <c r="D91" s="26" t="s">
        <v>253</v>
      </c>
      <c r="E91" s="52" t="s">
        <v>254</v>
      </c>
      <c r="F91" s="24" t="s">
        <v>2</v>
      </c>
      <c r="G91" s="12"/>
      <c r="H91" s="13"/>
      <c r="I91" s="13">
        <v>3</v>
      </c>
      <c r="J91" s="13"/>
      <c r="K91" s="13"/>
      <c r="L91" s="30">
        <f t="shared" ref="L91:L99" si="16">20-H91-I91</f>
        <v>17</v>
      </c>
      <c r="M91" s="31">
        <f t="shared" si="14"/>
        <v>0.8</v>
      </c>
    </row>
    <row r="92" spans="1:13">
      <c r="A92" s="7">
        <f t="shared" si="12"/>
        <v>58</v>
      </c>
      <c r="B92" s="24" t="s">
        <v>249</v>
      </c>
      <c r="C92" s="25" t="s">
        <v>85</v>
      </c>
      <c r="D92" s="26" t="s">
        <v>255</v>
      </c>
      <c r="E92" s="52" t="s">
        <v>256</v>
      </c>
      <c r="F92" s="24" t="s">
        <v>2</v>
      </c>
      <c r="G92" s="12"/>
      <c r="H92" s="13"/>
      <c r="I92" s="13"/>
      <c r="J92" s="13"/>
      <c r="K92" s="13"/>
      <c r="L92" s="30">
        <f t="shared" si="16"/>
        <v>20</v>
      </c>
      <c r="M92" s="31">
        <f t="shared" si="14"/>
        <v>1</v>
      </c>
    </row>
    <row r="93" spans="1:13">
      <c r="A93" s="7">
        <f t="shared" si="12"/>
        <v>59</v>
      </c>
      <c r="B93" s="24" t="s">
        <v>249</v>
      </c>
      <c r="C93" s="25" t="s">
        <v>85</v>
      </c>
      <c r="D93" s="26" t="s">
        <v>257</v>
      </c>
      <c r="E93" s="52" t="s">
        <v>258</v>
      </c>
      <c r="F93" s="24" t="s">
        <v>2</v>
      </c>
      <c r="G93" s="12"/>
      <c r="H93" s="13"/>
      <c r="I93" s="13">
        <v>5</v>
      </c>
      <c r="J93" s="13"/>
      <c r="K93" s="13"/>
      <c r="L93" s="30">
        <f t="shared" si="16"/>
        <v>15</v>
      </c>
      <c r="M93" s="31">
        <f t="shared" si="14"/>
        <v>0.7</v>
      </c>
    </row>
    <row r="94" spans="1:13">
      <c r="A94" s="7">
        <f t="shared" si="12"/>
        <v>60</v>
      </c>
      <c r="B94" s="24" t="s">
        <v>249</v>
      </c>
      <c r="C94" s="25" t="s">
        <v>85</v>
      </c>
      <c r="D94" s="26" t="s">
        <v>259</v>
      </c>
      <c r="E94" s="52" t="s">
        <v>260</v>
      </c>
      <c r="F94" s="24" t="s">
        <v>2</v>
      </c>
      <c r="G94" s="12"/>
      <c r="H94" s="13"/>
      <c r="I94" s="13"/>
      <c r="J94" s="13"/>
      <c r="K94" s="13"/>
      <c r="L94" s="30">
        <f t="shared" si="16"/>
        <v>20</v>
      </c>
      <c r="M94" s="31">
        <f t="shared" si="14"/>
        <v>1</v>
      </c>
    </row>
    <row r="95" spans="1:13">
      <c r="A95" s="7">
        <f t="shared" si="12"/>
        <v>61</v>
      </c>
      <c r="B95" s="24" t="s">
        <v>249</v>
      </c>
      <c r="C95" s="25" t="s">
        <v>85</v>
      </c>
      <c r="D95" s="26" t="s">
        <v>261</v>
      </c>
      <c r="E95" s="52" t="s">
        <v>262</v>
      </c>
      <c r="F95" s="24" t="s">
        <v>2</v>
      </c>
      <c r="G95" s="12"/>
      <c r="H95" s="13"/>
      <c r="I95" s="13"/>
      <c r="J95" s="13"/>
      <c r="K95" s="13"/>
      <c r="L95" s="30">
        <f t="shared" si="16"/>
        <v>20</v>
      </c>
      <c r="M95" s="31">
        <f t="shared" si="14"/>
        <v>1</v>
      </c>
    </row>
    <row r="96" spans="1:13">
      <c r="A96" s="7">
        <f>1+A101</f>
        <v>63</v>
      </c>
      <c r="B96" s="24" t="s">
        <v>249</v>
      </c>
      <c r="C96" s="25" t="s">
        <v>85</v>
      </c>
      <c r="D96" s="26" t="s">
        <v>263</v>
      </c>
      <c r="E96" s="53" t="s">
        <v>264</v>
      </c>
      <c r="F96" s="24" t="s">
        <v>4</v>
      </c>
      <c r="G96" s="12"/>
      <c r="H96" s="13"/>
      <c r="I96" s="13"/>
      <c r="J96" s="13"/>
      <c r="K96" s="13"/>
      <c r="L96" s="30">
        <f t="shared" si="16"/>
        <v>20</v>
      </c>
      <c r="M96" s="31">
        <f t="shared" si="14"/>
        <v>1</v>
      </c>
    </row>
    <row r="97" spans="1:13">
      <c r="A97" s="7">
        <f t="shared" si="12"/>
        <v>64</v>
      </c>
      <c r="B97" s="24" t="s">
        <v>265</v>
      </c>
      <c r="C97" s="25" t="s">
        <v>85</v>
      </c>
      <c r="D97" s="26" t="s">
        <v>266</v>
      </c>
      <c r="E97" s="52" t="s">
        <v>267</v>
      </c>
      <c r="F97" s="24" t="s">
        <v>5</v>
      </c>
      <c r="G97" s="12"/>
      <c r="H97" s="13"/>
      <c r="I97" s="13">
        <v>20</v>
      </c>
      <c r="J97" s="13"/>
      <c r="K97" s="13"/>
      <c r="L97" s="30">
        <f t="shared" si="16"/>
        <v>0</v>
      </c>
      <c r="M97" s="31">
        <f t="shared" si="14"/>
        <v>0</v>
      </c>
    </row>
    <row r="98" spans="1:13">
      <c r="A98" s="7">
        <f t="shared" si="12"/>
        <v>65</v>
      </c>
      <c r="B98" s="24" t="s">
        <v>249</v>
      </c>
      <c r="C98" s="25" t="s">
        <v>85</v>
      </c>
      <c r="D98" s="26" t="s">
        <v>268</v>
      </c>
      <c r="E98" s="52" t="s">
        <v>269</v>
      </c>
      <c r="F98" s="24" t="s">
        <v>5</v>
      </c>
      <c r="G98" s="12"/>
      <c r="H98" s="13"/>
      <c r="I98" s="13"/>
      <c r="J98" s="13"/>
      <c r="K98" s="13"/>
      <c r="L98" s="30">
        <f t="shared" si="16"/>
        <v>20</v>
      </c>
      <c r="M98" s="31">
        <f t="shared" si="14"/>
        <v>1</v>
      </c>
    </row>
    <row r="99" spans="1:13">
      <c r="A99" s="7">
        <f t="shared" si="12"/>
        <v>66</v>
      </c>
      <c r="B99" s="24" t="s">
        <v>249</v>
      </c>
      <c r="C99" s="25" t="s">
        <v>85</v>
      </c>
      <c r="D99" s="54" t="s">
        <v>270</v>
      </c>
      <c r="E99" s="55" t="s">
        <v>271</v>
      </c>
      <c r="F99" s="24" t="s">
        <v>3</v>
      </c>
      <c r="G99" s="12"/>
      <c r="H99" s="13"/>
      <c r="I99" s="13">
        <v>3</v>
      </c>
      <c r="J99" s="13"/>
      <c r="K99" s="13"/>
      <c r="L99" s="30">
        <f t="shared" si="16"/>
        <v>17</v>
      </c>
      <c r="M99" s="31">
        <f t="shared" si="14"/>
        <v>0.8</v>
      </c>
    </row>
    <row r="100" spans="1:13">
      <c r="A100" s="7">
        <f t="shared" si="12"/>
        <v>67</v>
      </c>
      <c r="B100" s="56" t="s">
        <v>272</v>
      </c>
      <c r="C100" s="57" t="s">
        <v>92</v>
      </c>
      <c r="D100" s="21" t="s">
        <v>273</v>
      </c>
      <c r="E100" s="19" t="s">
        <v>274</v>
      </c>
      <c r="F100" s="19" t="s">
        <v>10</v>
      </c>
      <c r="G100" s="46"/>
      <c r="H100" s="58"/>
      <c r="I100" s="58"/>
      <c r="J100" s="58"/>
      <c r="K100" s="58"/>
      <c r="L100" s="30"/>
      <c r="M100" s="31"/>
    </row>
    <row r="101" spans="1:13">
      <c r="A101" s="7">
        <f>1+A95</f>
        <v>62</v>
      </c>
      <c r="B101" s="24" t="s">
        <v>249</v>
      </c>
      <c r="C101" s="25" t="s">
        <v>85</v>
      </c>
      <c r="D101" s="26" t="s">
        <v>275</v>
      </c>
      <c r="E101" s="52" t="s">
        <v>276</v>
      </c>
      <c r="F101" s="24" t="s">
        <v>4</v>
      </c>
      <c r="G101" s="12"/>
      <c r="H101" s="13"/>
      <c r="I101" s="13"/>
      <c r="J101" s="13"/>
      <c r="K101" s="13"/>
      <c r="L101" s="30">
        <f>20-I101</f>
        <v>20</v>
      </c>
      <c r="M101" s="31">
        <f>ROUND(+L101/21,1)</f>
        <v>1</v>
      </c>
    </row>
    <row r="102" spans="1:13">
      <c r="A102" s="7" t="e">
        <f>1+#REF!</f>
        <v>#REF!</v>
      </c>
      <c r="B102" s="24" t="s">
        <v>277</v>
      </c>
      <c r="C102" s="25" t="s">
        <v>92</v>
      </c>
      <c r="D102" s="26" t="s">
        <v>278</v>
      </c>
      <c r="E102" s="52" t="s">
        <v>279</v>
      </c>
      <c r="F102" s="24" t="s">
        <v>2</v>
      </c>
      <c r="G102" s="12"/>
      <c r="H102" s="13"/>
      <c r="I102" s="13">
        <v>5</v>
      </c>
      <c r="J102" s="13"/>
      <c r="K102" s="13"/>
      <c r="L102" s="30">
        <f t="shared" ref="L102:L110" si="17">20-H102-I102</f>
        <v>15</v>
      </c>
      <c r="M102" s="31">
        <f t="shared" si="14"/>
        <v>0.7</v>
      </c>
    </row>
    <row r="103" spans="1:13">
      <c r="A103" s="7" t="e">
        <f t="shared" si="12"/>
        <v>#REF!</v>
      </c>
      <c r="B103" s="24" t="s">
        <v>277</v>
      </c>
      <c r="C103" s="25" t="s">
        <v>92</v>
      </c>
      <c r="D103" s="26" t="s">
        <v>280</v>
      </c>
      <c r="E103" s="52" t="s">
        <v>281</v>
      </c>
      <c r="F103" s="24" t="s">
        <v>2</v>
      </c>
      <c r="G103" s="12"/>
      <c r="H103" s="13"/>
      <c r="I103" s="13">
        <v>1</v>
      </c>
      <c r="J103" s="13"/>
      <c r="K103" s="13"/>
      <c r="L103" s="30">
        <f t="shared" si="17"/>
        <v>19</v>
      </c>
      <c r="M103" s="31">
        <f t="shared" si="14"/>
        <v>0.9</v>
      </c>
    </row>
    <row r="104" spans="1:13">
      <c r="A104" s="7" t="e">
        <f t="shared" si="12"/>
        <v>#REF!</v>
      </c>
      <c r="B104" s="24" t="s">
        <v>272</v>
      </c>
      <c r="C104" s="25" t="s">
        <v>92</v>
      </c>
      <c r="D104" s="26" t="s">
        <v>282</v>
      </c>
      <c r="E104" s="52" t="s">
        <v>283</v>
      </c>
      <c r="F104" s="24" t="s">
        <v>2</v>
      </c>
      <c r="G104" s="12"/>
      <c r="H104" s="13"/>
      <c r="I104" s="13"/>
      <c r="J104" s="13"/>
      <c r="K104" s="13"/>
      <c r="L104" s="30">
        <f t="shared" si="17"/>
        <v>20</v>
      </c>
      <c r="M104" s="31">
        <f t="shared" si="14"/>
        <v>1</v>
      </c>
    </row>
    <row r="105" spans="1:13">
      <c r="A105" s="7" t="e">
        <f t="shared" si="12"/>
        <v>#REF!</v>
      </c>
      <c r="B105" s="24" t="s">
        <v>272</v>
      </c>
      <c r="C105" s="25" t="s">
        <v>92</v>
      </c>
      <c r="D105" s="26" t="s">
        <v>284</v>
      </c>
      <c r="E105" s="52" t="s">
        <v>285</v>
      </c>
      <c r="F105" s="24" t="s">
        <v>3</v>
      </c>
      <c r="G105" s="12"/>
      <c r="H105" s="13"/>
      <c r="I105" s="13">
        <v>6</v>
      </c>
      <c r="J105" s="13"/>
      <c r="K105" s="13"/>
      <c r="L105" s="30">
        <f t="shared" si="17"/>
        <v>14</v>
      </c>
      <c r="M105" s="31">
        <f t="shared" si="14"/>
        <v>0.7</v>
      </c>
    </row>
    <row r="106" spans="1:13">
      <c r="A106" s="7" t="e">
        <f t="shared" si="12"/>
        <v>#REF!</v>
      </c>
      <c r="B106" s="24" t="s">
        <v>272</v>
      </c>
      <c r="C106" s="25" t="s">
        <v>92</v>
      </c>
      <c r="D106" s="26" t="s">
        <v>286</v>
      </c>
      <c r="E106" s="52" t="s">
        <v>287</v>
      </c>
      <c r="F106" s="24" t="s">
        <v>3</v>
      </c>
      <c r="G106" s="12"/>
      <c r="H106" s="13"/>
      <c r="I106" s="13"/>
      <c r="J106" s="13"/>
      <c r="K106" s="13"/>
      <c r="L106" s="30">
        <f t="shared" si="17"/>
        <v>20</v>
      </c>
      <c r="M106" s="31">
        <f t="shared" si="14"/>
        <v>1</v>
      </c>
    </row>
    <row r="107" spans="1:13">
      <c r="A107" s="7" t="e">
        <f t="shared" si="12"/>
        <v>#REF!</v>
      </c>
      <c r="B107" s="24" t="s">
        <v>272</v>
      </c>
      <c r="C107" s="25" t="s">
        <v>92</v>
      </c>
      <c r="D107" s="26" t="s">
        <v>288</v>
      </c>
      <c r="E107" s="52" t="s">
        <v>289</v>
      </c>
      <c r="F107" s="24" t="s">
        <v>4</v>
      </c>
      <c r="G107" s="12"/>
      <c r="H107" s="13"/>
      <c r="I107" s="13"/>
      <c r="J107" s="13"/>
      <c r="K107" s="13"/>
      <c r="L107" s="30">
        <f t="shared" si="17"/>
        <v>20</v>
      </c>
      <c r="M107" s="31">
        <f t="shared" si="14"/>
        <v>1</v>
      </c>
    </row>
    <row r="108" spans="1:13">
      <c r="A108" s="7" t="e">
        <f t="shared" si="12"/>
        <v>#REF!</v>
      </c>
      <c r="B108" s="24" t="s">
        <v>272</v>
      </c>
      <c r="C108" s="25" t="s">
        <v>92</v>
      </c>
      <c r="D108" s="54" t="s">
        <v>290</v>
      </c>
      <c r="E108" s="55" t="s">
        <v>291</v>
      </c>
      <c r="F108" s="24" t="s">
        <v>3</v>
      </c>
      <c r="G108" s="12" t="s">
        <v>58</v>
      </c>
      <c r="H108" s="13">
        <v>20</v>
      </c>
      <c r="I108" s="13"/>
      <c r="J108" s="13"/>
      <c r="K108" s="13"/>
      <c r="L108" s="30">
        <f t="shared" si="17"/>
        <v>0</v>
      </c>
      <c r="M108" s="31">
        <f t="shared" si="14"/>
        <v>0</v>
      </c>
    </row>
    <row r="109" spans="1:13">
      <c r="A109" s="7" t="e">
        <f t="shared" si="12"/>
        <v>#REF!</v>
      </c>
      <c r="B109" s="40" t="s">
        <v>272</v>
      </c>
      <c r="C109" s="25" t="s">
        <v>92</v>
      </c>
      <c r="D109" s="39" t="s">
        <v>292</v>
      </c>
      <c r="E109" s="59" t="s">
        <v>293</v>
      </c>
      <c r="F109" s="41" t="s">
        <v>294</v>
      </c>
      <c r="G109" s="12"/>
      <c r="H109" s="13"/>
      <c r="I109" s="13"/>
      <c r="J109" s="13"/>
      <c r="K109" s="13"/>
      <c r="L109" s="30">
        <f t="shared" si="17"/>
        <v>20</v>
      </c>
      <c r="M109" s="31">
        <f t="shared" si="14"/>
        <v>1</v>
      </c>
    </row>
    <row r="110" spans="1:13">
      <c r="A110" s="7" t="e">
        <f t="shared" si="12"/>
        <v>#REF!</v>
      </c>
      <c r="B110" s="41" t="s">
        <v>272</v>
      </c>
      <c r="C110" s="25" t="s">
        <v>92</v>
      </c>
      <c r="D110" s="39" t="s">
        <v>295</v>
      </c>
      <c r="E110" s="59" t="s">
        <v>296</v>
      </c>
      <c r="F110" s="41" t="s">
        <v>294</v>
      </c>
      <c r="G110" s="12"/>
      <c r="H110" s="13"/>
      <c r="I110" s="13"/>
      <c r="J110" s="13"/>
      <c r="K110" s="13"/>
      <c r="L110" s="30">
        <f t="shared" si="17"/>
        <v>20</v>
      </c>
      <c r="M110" s="31">
        <f t="shared" si="14"/>
        <v>1</v>
      </c>
    </row>
    <row r="111" spans="1:13">
      <c r="A111" s="7" t="e">
        <f t="shared" si="12"/>
        <v>#REF!</v>
      </c>
      <c r="B111" s="19" t="s">
        <v>297</v>
      </c>
      <c r="C111" s="20" t="s">
        <v>122</v>
      </c>
      <c r="D111" s="21" t="s">
        <v>298</v>
      </c>
      <c r="E111" s="19" t="s">
        <v>299</v>
      </c>
      <c r="F111" s="19" t="s">
        <v>10</v>
      </c>
      <c r="G111" s="12"/>
      <c r="H111" s="13"/>
      <c r="I111" s="13"/>
      <c r="J111" s="13"/>
      <c r="K111" s="13"/>
      <c r="L111" s="30"/>
      <c r="M111" s="31"/>
    </row>
    <row r="112" spans="1:13">
      <c r="A112" s="7" t="e">
        <f t="shared" si="12"/>
        <v>#REF!</v>
      </c>
      <c r="B112" s="24" t="s">
        <v>297</v>
      </c>
      <c r="C112" s="25" t="s">
        <v>122</v>
      </c>
      <c r="D112" s="26" t="s">
        <v>300</v>
      </c>
      <c r="E112" s="52" t="s">
        <v>301</v>
      </c>
      <c r="F112" s="24" t="s">
        <v>5</v>
      </c>
      <c r="G112" s="12"/>
      <c r="H112" s="13"/>
      <c r="I112" s="13">
        <v>9</v>
      </c>
      <c r="J112" s="13"/>
      <c r="K112" s="13"/>
      <c r="L112" s="30">
        <f t="shared" ref="L112:L119" si="18">20-H112-I112</f>
        <v>11</v>
      </c>
      <c r="M112" s="31">
        <f t="shared" si="14"/>
        <v>0.5</v>
      </c>
    </row>
    <row r="113" spans="1:13">
      <c r="A113" s="7" t="e">
        <f t="shared" si="12"/>
        <v>#REF!</v>
      </c>
      <c r="B113" s="24" t="s">
        <v>297</v>
      </c>
      <c r="C113" s="25" t="s">
        <v>122</v>
      </c>
      <c r="D113" s="26" t="s">
        <v>302</v>
      </c>
      <c r="E113" s="52" t="s">
        <v>303</v>
      </c>
      <c r="F113" s="24" t="s">
        <v>2</v>
      </c>
      <c r="G113" s="12"/>
      <c r="H113" s="13"/>
      <c r="I113" s="13">
        <v>5</v>
      </c>
      <c r="J113" s="13"/>
      <c r="K113" s="13"/>
      <c r="L113" s="30">
        <f t="shared" si="18"/>
        <v>15</v>
      </c>
      <c r="M113" s="31">
        <f t="shared" si="14"/>
        <v>0.7</v>
      </c>
    </row>
    <row r="114" spans="1:13">
      <c r="A114" s="7" t="e">
        <f t="shared" si="12"/>
        <v>#REF!</v>
      </c>
      <c r="B114" s="24" t="s">
        <v>297</v>
      </c>
      <c r="C114" s="25" t="s">
        <v>122</v>
      </c>
      <c r="D114" s="26" t="s">
        <v>304</v>
      </c>
      <c r="E114" s="52" t="s">
        <v>305</v>
      </c>
      <c r="F114" s="24" t="s">
        <v>3</v>
      </c>
      <c r="G114" s="12"/>
      <c r="H114" s="13"/>
      <c r="I114" s="13"/>
      <c r="J114" s="13"/>
      <c r="K114" s="13"/>
      <c r="L114" s="30">
        <f t="shared" si="18"/>
        <v>20</v>
      </c>
      <c r="M114" s="31">
        <f t="shared" si="14"/>
        <v>1</v>
      </c>
    </row>
    <row r="115" spans="1:13">
      <c r="A115" s="7" t="e">
        <f t="shared" si="12"/>
        <v>#REF!</v>
      </c>
      <c r="B115" s="24" t="s">
        <v>297</v>
      </c>
      <c r="C115" s="25" t="s">
        <v>122</v>
      </c>
      <c r="D115" s="26" t="s">
        <v>306</v>
      </c>
      <c r="E115" s="52" t="s">
        <v>307</v>
      </c>
      <c r="F115" s="24" t="s">
        <v>3</v>
      </c>
      <c r="G115" s="12" t="s">
        <v>36</v>
      </c>
      <c r="H115" s="13">
        <v>20</v>
      </c>
      <c r="I115" s="13"/>
      <c r="J115" s="13"/>
      <c r="K115" s="13"/>
      <c r="L115" s="30">
        <f t="shared" si="18"/>
        <v>0</v>
      </c>
      <c r="M115" s="31">
        <f t="shared" si="14"/>
        <v>0</v>
      </c>
    </row>
    <row r="116" spans="1:13">
      <c r="A116" s="7" t="e">
        <f t="shared" si="12"/>
        <v>#REF!</v>
      </c>
      <c r="B116" s="24" t="s">
        <v>297</v>
      </c>
      <c r="C116" s="25" t="s">
        <v>122</v>
      </c>
      <c r="D116" s="26" t="s">
        <v>308</v>
      </c>
      <c r="E116" s="52" t="s">
        <v>309</v>
      </c>
      <c r="F116" s="24" t="s">
        <v>5</v>
      </c>
      <c r="G116" s="12" t="s">
        <v>297</v>
      </c>
      <c r="H116" s="13">
        <v>20</v>
      </c>
      <c r="I116" s="13"/>
      <c r="J116" s="13"/>
      <c r="K116" s="13"/>
      <c r="L116" s="30">
        <f t="shared" si="18"/>
        <v>0</v>
      </c>
      <c r="M116" s="31">
        <f t="shared" si="14"/>
        <v>0</v>
      </c>
    </row>
    <row r="117" spans="1:13">
      <c r="A117" s="7" t="e">
        <f t="shared" si="12"/>
        <v>#REF!</v>
      </c>
      <c r="B117" s="24" t="s">
        <v>297</v>
      </c>
      <c r="C117" s="25" t="s">
        <v>122</v>
      </c>
      <c r="D117" s="26" t="s">
        <v>310</v>
      </c>
      <c r="E117" s="52" t="s">
        <v>311</v>
      </c>
      <c r="F117" s="24" t="s">
        <v>1</v>
      </c>
      <c r="G117" s="12"/>
      <c r="H117" s="13"/>
      <c r="I117" s="13"/>
      <c r="J117" s="13"/>
      <c r="K117" s="13"/>
      <c r="L117" s="30">
        <f t="shared" si="18"/>
        <v>20</v>
      </c>
      <c r="M117" s="31">
        <f t="shared" si="14"/>
        <v>1</v>
      </c>
    </row>
    <row r="118" spans="1:13">
      <c r="A118" s="7" t="e">
        <f t="shared" si="12"/>
        <v>#REF!</v>
      </c>
      <c r="B118" s="24" t="s">
        <v>297</v>
      </c>
      <c r="C118" s="25" t="s">
        <v>122</v>
      </c>
      <c r="D118" s="26" t="s">
        <v>312</v>
      </c>
      <c r="E118" s="60" t="s">
        <v>313</v>
      </c>
      <c r="F118" s="24" t="s">
        <v>3</v>
      </c>
      <c r="G118" s="12" t="s">
        <v>40</v>
      </c>
      <c r="H118" s="13">
        <v>2</v>
      </c>
      <c r="I118" s="13"/>
      <c r="J118" s="13"/>
      <c r="K118" s="13"/>
      <c r="L118" s="30">
        <f t="shared" si="18"/>
        <v>18</v>
      </c>
      <c r="M118" s="31">
        <f t="shared" si="14"/>
        <v>0.9</v>
      </c>
    </row>
    <row r="119" spans="1:13">
      <c r="A119" s="7" t="e">
        <f t="shared" si="12"/>
        <v>#REF!</v>
      </c>
      <c r="B119" s="24" t="s">
        <v>297</v>
      </c>
      <c r="C119" s="25" t="s">
        <v>122</v>
      </c>
      <c r="D119" s="26" t="s">
        <v>314</v>
      </c>
      <c r="E119" s="53" t="s">
        <v>315</v>
      </c>
      <c r="F119" s="24" t="s">
        <v>4</v>
      </c>
      <c r="G119" s="12" t="s">
        <v>40</v>
      </c>
      <c r="H119" s="13">
        <v>2</v>
      </c>
      <c r="I119" s="13"/>
      <c r="J119" s="13"/>
      <c r="K119" s="13"/>
      <c r="L119" s="30">
        <f t="shared" si="18"/>
        <v>18</v>
      </c>
      <c r="M119" s="31">
        <f t="shared" si="14"/>
        <v>0.9</v>
      </c>
    </row>
    <row r="120" spans="1:13">
      <c r="A120" s="7" t="e">
        <f t="shared" si="12"/>
        <v>#REF!</v>
      </c>
      <c r="B120" s="24" t="s">
        <v>297</v>
      </c>
      <c r="C120" s="25" t="s">
        <v>122</v>
      </c>
      <c r="D120" s="26" t="s">
        <v>316</v>
      </c>
      <c r="E120" s="53" t="s">
        <v>317</v>
      </c>
      <c r="F120" s="24" t="s">
        <v>4</v>
      </c>
      <c r="G120" s="61"/>
      <c r="H120" s="13"/>
      <c r="I120" s="13"/>
      <c r="J120" s="13"/>
      <c r="K120" s="13"/>
      <c r="L120" s="30">
        <f>20-I120</f>
        <v>20</v>
      </c>
      <c r="M120" s="31">
        <f t="shared" si="14"/>
        <v>1</v>
      </c>
    </row>
    <row r="121" spans="1:13">
      <c r="A121" s="7" t="e">
        <f>1+A110</f>
        <v>#REF!</v>
      </c>
      <c r="B121" s="15" t="s">
        <v>318</v>
      </c>
      <c r="C121" s="16" t="s">
        <v>99</v>
      </c>
      <c r="D121" s="17" t="s">
        <v>319</v>
      </c>
      <c r="E121" s="15" t="s">
        <v>320</v>
      </c>
      <c r="F121" s="15" t="s">
        <v>8</v>
      </c>
      <c r="G121" s="12"/>
      <c r="H121" s="13"/>
      <c r="I121" s="13"/>
      <c r="J121" s="13"/>
      <c r="K121" s="13"/>
      <c r="L121" s="30"/>
      <c r="M121" s="31"/>
    </row>
    <row r="122" spans="1:13">
      <c r="A122" s="7" t="e">
        <f>1+A163</f>
        <v>#REF!</v>
      </c>
      <c r="B122" s="24" t="s">
        <v>244</v>
      </c>
      <c r="C122" s="25" t="s">
        <v>146</v>
      </c>
      <c r="D122" s="26" t="s">
        <v>321</v>
      </c>
      <c r="E122" s="49" t="s">
        <v>322</v>
      </c>
      <c r="F122" s="50" t="s">
        <v>1</v>
      </c>
      <c r="G122" s="51"/>
      <c r="H122" s="34">
        <v>2</v>
      </c>
      <c r="I122" s="13"/>
      <c r="J122" s="13"/>
      <c r="K122" s="13"/>
      <c r="L122" s="30">
        <f>20-H122-I122</f>
        <v>18</v>
      </c>
      <c r="M122" s="31">
        <f>ROUND(+L122/21,1)</f>
        <v>0.9</v>
      </c>
    </row>
    <row r="123" spans="1:13">
      <c r="A123" s="7" t="e">
        <f>1+A87</f>
        <v>#REF!</v>
      </c>
      <c r="B123" s="24" t="s">
        <v>244</v>
      </c>
      <c r="C123" s="25" t="s">
        <v>146</v>
      </c>
      <c r="D123" s="26" t="s">
        <v>323</v>
      </c>
      <c r="E123" s="49" t="s">
        <v>324</v>
      </c>
      <c r="F123" s="50" t="s">
        <v>1</v>
      </c>
      <c r="G123" s="51"/>
      <c r="H123" s="34">
        <v>2</v>
      </c>
      <c r="I123" s="13"/>
      <c r="J123" s="13"/>
      <c r="K123" s="13"/>
      <c r="L123" s="30">
        <f>20-H123-I123</f>
        <v>18</v>
      </c>
      <c r="M123" s="31">
        <f>ROUND(+L123/21,1)</f>
        <v>0.9</v>
      </c>
    </row>
    <row r="124" spans="1:13">
      <c r="A124" s="7" t="e">
        <f>1+A121</f>
        <v>#REF!</v>
      </c>
      <c r="B124" s="19" t="s">
        <v>325</v>
      </c>
      <c r="C124" s="20" t="s">
        <v>103</v>
      </c>
      <c r="D124" s="21" t="s">
        <v>326</v>
      </c>
      <c r="E124" s="62" t="s">
        <v>327</v>
      </c>
      <c r="F124" s="19" t="s">
        <v>10</v>
      </c>
      <c r="G124" s="46"/>
      <c r="H124" s="58"/>
      <c r="I124" s="58"/>
      <c r="J124" s="58"/>
      <c r="K124" s="58"/>
      <c r="L124" s="30"/>
      <c r="M124" s="31"/>
    </row>
    <row r="125" spans="1:13">
      <c r="A125" s="7" t="e">
        <f t="shared" si="12"/>
        <v>#REF!</v>
      </c>
      <c r="B125" s="24" t="s">
        <v>325</v>
      </c>
      <c r="C125" s="25" t="s">
        <v>103</v>
      </c>
      <c r="D125" s="26" t="s">
        <v>328</v>
      </c>
      <c r="E125" s="24" t="s">
        <v>329</v>
      </c>
      <c r="F125" s="24" t="s">
        <v>3</v>
      </c>
      <c r="G125" s="12"/>
      <c r="H125" s="13"/>
      <c r="I125" s="13"/>
      <c r="J125" s="13"/>
      <c r="K125" s="13"/>
      <c r="L125" s="30">
        <f t="shared" ref="L125:L132" si="19">20-H125-I125</f>
        <v>20</v>
      </c>
      <c r="M125" s="31">
        <f t="shared" si="14"/>
        <v>1</v>
      </c>
    </row>
    <row r="126" spans="1:13">
      <c r="A126" s="7" t="e">
        <f t="shared" si="12"/>
        <v>#REF!</v>
      </c>
      <c r="B126" s="63" t="s">
        <v>325</v>
      </c>
      <c r="C126" s="25" t="s">
        <v>103</v>
      </c>
      <c r="D126" s="26" t="s">
        <v>330</v>
      </c>
      <c r="E126" s="24" t="s">
        <v>331</v>
      </c>
      <c r="F126" s="24" t="s">
        <v>3</v>
      </c>
      <c r="G126" s="12" t="s">
        <v>332</v>
      </c>
      <c r="H126" s="13">
        <v>10</v>
      </c>
      <c r="I126" s="13">
        <v>1</v>
      </c>
      <c r="J126" s="13"/>
      <c r="K126" s="13"/>
      <c r="L126" s="30">
        <f t="shared" si="19"/>
        <v>9</v>
      </c>
      <c r="M126" s="31">
        <f t="shared" si="14"/>
        <v>0.4</v>
      </c>
    </row>
    <row r="127" spans="1:13">
      <c r="A127" s="7" t="e">
        <f t="shared" si="12"/>
        <v>#REF!</v>
      </c>
      <c r="B127" s="24" t="s">
        <v>325</v>
      </c>
      <c r="C127" s="25" t="s">
        <v>103</v>
      </c>
      <c r="D127" s="26" t="s">
        <v>333</v>
      </c>
      <c r="E127" s="24" t="s">
        <v>334</v>
      </c>
      <c r="F127" s="24" t="s">
        <v>2</v>
      </c>
      <c r="G127" s="12"/>
      <c r="H127" s="13"/>
      <c r="I127" s="13">
        <v>3</v>
      </c>
      <c r="J127" s="13"/>
      <c r="K127" s="13"/>
      <c r="L127" s="30">
        <f t="shared" si="19"/>
        <v>17</v>
      </c>
      <c r="M127" s="31">
        <f t="shared" si="14"/>
        <v>0.8</v>
      </c>
    </row>
    <row r="128" spans="1:13">
      <c r="A128" s="7" t="e">
        <f t="shared" si="12"/>
        <v>#REF!</v>
      </c>
      <c r="B128" s="24" t="s">
        <v>325</v>
      </c>
      <c r="C128" s="25" t="s">
        <v>103</v>
      </c>
      <c r="D128" s="26" t="s">
        <v>335</v>
      </c>
      <c r="E128" s="24" t="s">
        <v>336</v>
      </c>
      <c r="F128" s="24" t="s">
        <v>2</v>
      </c>
      <c r="G128" s="12"/>
      <c r="H128" s="13"/>
      <c r="I128" s="13"/>
      <c r="J128" s="13"/>
      <c r="K128" s="13"/>
      <c r="L128" s="30">
        <f t="shared" si="19"/>
        <v>20</v>
      </c>
      <c r="M128" s="31">
        <f t="shared" si="14"/>
        <v>1</v>
      </c>
    </row>
    <row r="129" spans="1:13" ht="15">
      <c r="A129" s="7" t="e">
        <f t="shared" si="12"/>
        <v>#REF!</v>
      </c>
      <c r="B129" s="24" t="s">
        <v>325</v>
      </c>
      <c r="C129" s="25" t="s">
        <v>103</v>
      </c>
      <c r="D129" s="26" t="s">
        <v>337</v>
      </c>
      <c r="E129" s="24" t="s">
        <v>338</v>
      </c>
      <c r="F129" s="24" t="s">
        <v>2</v>
      </c>
      <c r="G129" s="12"/>
      <c r="H129" s="13"/>
      <c r="I129" s="13">
        <v>12</v>
      </c>
      <c r="J129" s="13"/>
      <c r="K129" s="13"/>
      <c r="L129" s="30">
        <f t="shared" si="19"/>
        <v>8</v>
      </c>
      <c r="M129" s="31">
        <f t="shared" si="14"/>
        <v>0.4</v>
      </c>
    </row>
    <row r="130" spans="1:13">
      <c r="A130" s="7" t="e">
        <f t="shared" si="12"/>
        <v>#REF!</v>
      </c>
      <c r="B130" s="24" t="s">
        <v>325</v>
      </c>
      <c r="C130" s="25" t="s">
        <v>103</v>
      </c>
      <c r="D130" s="26" t="s">
        <v>339</v>
      </c>
      <c r="E130" s="24" t="s">
        <v>340</v>
      </c>
      <c r="F130" s="24" t="s">
        <v>2</v>
      </c>
      <c r="G130" s="12"/>
      <c r="H130" s="13"/>
      <c r="I130" s="13">
        <v>14</v>
      </c>
      <c r="J130" s="13"/>
      <c r="K130" s="13"/>
      <c r="L130" s="30">
        <f t="shared" si="19"/>
        <v>6</v>
      </c>
      <c r="M130" s="31">
        <f t="shared" si="14"/>
        <v>0.3</v>
      </c>
    </row>
    <row r="131" spans="1:13">
      <c r="A131" s="7" t="e">
        <f t="shared" si="12"/>
        <v>#REF!</v>
      </c>
      <c r="B131" s="24" t="s">
        <v>325</v>
      </c>
      <c r="C131" s="25" t="s">
        <v>103</v>
      </c>
      <c r="D131" s="26" t="s">
        <v>341</v>
      </c>
      <c r="E131" s="24" t="s">
        <v>342</v>
      </c>
      <c r="F131" s="24" t="s">
        <v>5</v>
      </c>
      <c r="G131" s="12"/>
      <c r="H131" s="13"/>
      <c r="I131" s="13">
        <v>3</v>
      </c>
      <c r="J131" s="13"/>
      <c r="K131" s="13"/>
      <c r="L131" s="30">
        <f t="shared" si="19"/>
        <v>17</v>
      </c>
      <c r="M131" s="31">
        <f t="shared" si="14"/>
        <v>0.8</v>
      </c>
    </row>
    <row r="132" spans="1:13">
      <c r="A132" s="7" t="e">
        <f t="shared" ref="A132:A195" si="20">1+A131</f>
        <v>#REF!</v>
      </c>
      <c r="B132" s="24" t="s">
        <v>325</v>
      </c>
      <c r="C132" s="25" t="s">
        <v>103</v>
      </c>
      <c r="D132" s="26" t="s">
        <v>343</v>
      </c>
      <c r="E132" s="24" t="s">
        <v>344</v>
      </c>
      <c r="F132" s="24" t="s">
        <v>1</v>
      </c>
      <c r="G132" s="12"/>
      <c r="H132" s="13"/>
      <c r="I132" s="13">
        <v>5</v>
      </c>
      <c r="J132" s="13"/>
      <c r="K132" s="13"/>
      <c r="L132" s="30">
        <f t="shared" si="19"/>
        <v>15</v>
      </c>
      <c r="M132" s="31">
        <f t="shared" si="14"/>
        <v>0.7</v>
      </c>
    </row>
    <row r="133" spans="1:13" s="47" customFormat="1">
      <c r="A133" s="7" t="e">
        <f t="shared" si="20"/>
        <v>#REF!</v>
      </c>
      <c r="B133" s="24" t="s">
        <v>325</v>
      </c>
      <c r="C133" s="25" t="s">
        <v>103</v>
      </c>
      <c r="D133" s="26" t="s">
        <v>345</v>
      </c>
      <c r="E133" s="24" t="s">
        <v>346</v>
      </c>
      <c r="F133" s="24" t="s">
        <v>6</v>
      </c>
      <c r="G133" s="46" t="s">
        <v>70</v>
      </c>
      <c r="H133" s="58">
        <v>21</v>
      </c>
      <c r="I133" s="58"/>
      <c r="J133" s="58"/>
      <c r="K133" s="58"/>
      <c r="L133" s="64">
        <f t="shared" ref="L133" si="21">21-H133-I133</f>
        <v>0</v>
      </c>
      <c r="M133" s="65">
        <f t="shared" si="14"/>
        <v>0</v>
      </c>
    </row>
    <row r="134" spans="1:13">
      <c r="A134" s="7" t="e">
        <f t="shared" si="20"/>
        <v>#REF!</v>
      </c>
      <c r="B134" s="24" t="s">
        <v>297</v>
      </c>
      <c r="C134" s="25" t="s">
        <v>122</v>
      </c>
      <c r="D134" s="54" t="s">
        <v>347</v>
      </c>
      <c r="E134" s="38" t="s">
        <v>348</v>
      </c>
      <c r="F134" s="24" t="s">
        <v>3</v>
      </c>
      <c r="G134" s="61"/>
      <c r="H134" s="13"/>
      <c r="I134" s="13">
        <v>5</v>
      </c>
      <c r="J134" s="13"/>
      <c r="K134" s="13"/>
      <c r="L134" s="30">
        <f>20-H134-I134</f>
        <v>15</v>
      </c>
      <c r="M134" s="31">
        <f t="shared" si="14"/>
        <v>0.7</v>
      </c>
    </row>
    <row r="135" spans="1:13">
      <c r="A135" s="7" t="e">
        <f t="shared" si="20"/>
        <v>#REF!</v>
      </c>
      <c r="B135" s="19" t="s">
        <v>349</v>
      </c>
      <c r="C135" s="20" t="s">
        <v>350</v>
      </c>
      <c r="D135" s="21" t="s">
        <v>351</v>
      </c>
      <c r="E135" s="19" t="s">
        <v>352</v>
      </c>
      <c r="F135" s="19" t="s">
        <v>10</v>
      </c>
      <c r="G135" s="12"/>
      <c r="H135" s="13"/>
      <c r="I135" s="13"/>
      <c r="J135" s="13"/>
      <c r="K135" s="13"/>
      <c r="L135" s="30"/>
      <c r="M135" s="31"/>
    </row>
    <row r="136" spans="1:13">
      <c r="A136" s="7" t="e">
        <f t="shared" si="20"/>
        <v>#REF!</v>
      </c>
      <c r="B136" s="24" t="s">
        <v>349</v>
      </c>
      <c r="C136" s="25" t="s">
        <v>350</v>
      </c>
      <c r="D136" s="26" t="s">
        <v>353</v>
      </c>
      <c r="E136" s="24" t="s">
        <v>354</v>
      </c>
      <c r="F136" s="24" t="s">
        <v>5</v>
      </c>
      <c r="G136" s="12"/>
      <c r="H136" s="13"/>
      <c r="I136" s="13">
        <v>3</v>
      </c>
      <c r="J136" s="13"/>
      <c r="K136" s="13"/>
      <c r="L136" s="30">
        <f t="shared" ref="L136:L143" si="22">20-H136-I136</f>
        <v>17</v>
      </c>
      <c r="M136" s="31">
        <f t="shared" si="14"/>
        <v>0.8</v>
      </c>
    </row>
    <row r="137" spans="1:13">
      <c r="A137" s="7" t="e">
        <f t="shared" si="20"/>
        <v>#REF!</v>
      </c>
      <c r="B137" s="24" t="s">
        <v>349</v>
      </c>
      <c r="C137" s="25" t="s">
        <v>350</v>
      </c>
      <c r="D137" s="26" t="s">
        <v>355</v>
      </c>
      <c r="E137" s="24" t="s">
        <v>356</v>
      </c>
      <c r="F137" s="24" t="s">
        <v>2</v>
      </c>
      <c r="G137" s="12"/>
      <c r="H137" s="13"/>
      <c r="I137" s="13">
        <v>10</v>
      </c>
      <c r="J137" s="13"/>
      <c r="K137" s="13"/>
      <c r="L137" s="30">
        <f t="shared" si="22"/>
        <v>10</v>
      </c>
      <c r="M137" s="31">
        <f t="shared" si="14"/>
        <v>0.5</v>
      </c>
    </row>
    <row r="138" spans="1:13">
      <c r="A138" s="7" t="e">
        <f t="shared" si="20"/>
        <v>#REF!</v>
      </c>
      <c r="B138" s="24" t="s">
        <v>349</v>
      </c>
      <c r="C138" s="25" t="s">
        <v>350</v>
      </c>
      <c r="D138" s="26" t="s">
        <v>357</v>
      </c>
      <c r="E138" s="24" t="s">
        <v>358</v>
      </c>
      <c r="F138" s="24" t="s">
        <v>3</v>
      </c>
      <c r="G138" s="12"/>
      <c r="H138" s="13"/>
      <c r="I138" s="13"/>
      <c r="J138" s="13"/>
      <c r="K138" s="13"/>
      <c r="L138" s="30">
        <f t="shared" si="22"/>
        <v>20</v>
      </c>
      <c r="M138" s="31">
        <f t="shared" si="14"/>
        <v>1</v>
      </c>
    </row>
    <row r="139" spans="1:13">
      <c r="A139" s="7" t="e">
        <f t="shared" si="20"/>
        <v>#REF!</v>
      </c>
      <c r="B139" s="24" t="s">
        <v>349</v>
      </c>
      <c r="C139" s="25" t="s">
        <v>350</v>
      </c>
      <c r="D139" s="26" t="s">
        <v>359</v>
      </c>
      <c r="E139" s="24" t="s">
        <v>360</v>
      </c>
      <c r="F139" s="24" t="s">
        <v>4</v>
      </c>
      <c r="G139" s="12"/>
      <c r="H139" s="13"/>
      <c r="I139" s="13"/>
      <c r="J139" s="13"/>
      <c r="K139" s="13"/>
      <c r="L139" s="30">
        <f t="shared" si="22"/>
        <v>20</v>
      </c>
      <c r="M139" s="31">
        <f t="shared" si="14"/>
        <v>1</v>
      </c>
    </row>
    <row r="140" spans="1:13">
      <c r="A140" s="7" t="e">
        <f t="shared" si="20"/>
        <v>#REF!</v>
      </c>
      <c r="B140" s="24" t="s">
        <v>349</v>
      </c>
      <c r="C140" s="25" t="s">
        <v>350</v>
      </c>
      <c r="D140" s="26" t="s">
        <v>361</v>
      </c>
      <c r="E140" s="24" t="s">
        <v>362</v>
      </c>
      <c r="F140" s="24" t="s">
        <v>4</v>
      </c>
      <c r="G140" s="12"/>
      <c r="H140" s="13"/>
      <c r="I140" s="13"/>
      <c r="J140" s="13"/>
      <c r="K140" s="13"/>
      <c r="L140" s="30">
        <f t="shared" si="22"/>
        <v>20</v>
      </c>
      <c r="M140" s="31">
        <f t="shared" si="14"/>
        <v>1</v>
      </c>
    </row>
    <row r="141" spans="1:13">
      <c r="A141" s="7" t="e">
        <f t="shared" si="20"/>
        <v>#REF!</v>
      </c>
      <c r="B141" s="24" t="s">
        <v>349</v>
      </c>
      <c r="C141" s="25" t="s">
        <v>350</v>
      </c>
      <c r="D141" s="26" t="s">
        <v>363</v>
      </c>
      <c r="E141" s="24" t="s">
        <v>364</v>
      </c>
      <c r="F141" s="24" t="s">
        <v>4</v>
      </c>
      <c r="G141" s="12"/>
      <c r="H141" s="13"/>
      <c r="I141" s="13"/>
      <c r="J141" s="13"/>
      <c r="K141" s="13"/>
      <c r="L141" s="30">
        <f t="shared" si="22"/>
        <v>20</v>
      </c>
      <c r="M141" s="31">
        <f t="shared" si="14"/>
        <v>1</v>
      </c>
    </row>
    <row r="142" spans="1:13">
      <c r="A142" s="7" t="e">
        <f t="shared" si="20"/>
        <v>#REF!</v>
      </c>
      <c r="B142" s="24" t="s">
        <v>349</v>
      </c>
      <c r="C142" s="25" t="s">
        <v>350</v>
      </c>
      <c r="D142" s="26" t="s">
        <v>365</v>
      </c>
      <c r="E142" s="24" t="s">
        <v>366</v>
      </c>
      <c r="F142" s="24" t="s">
        <v>1</v>
      </c>
      <c r="G142" s="12"/>
      <c r="H142" s="13"/>
      <c r="I142" s="13"/>
      <c r="J142" s="13"/>
      <c r="K142" s="13"/>
      <c r="L142" s="30">
        <f t="shared" si="22"/>
        <v>20</v>
      </c>
      <c r="M142" s="31">
        <f t="shared" si="14"/>
        <v>1</v>
      </c>
    </row>
    <row r="143" spans="1:13">
      <c r="A143" s="7" t="e">
        <f t="shared" si="20"/>
        <v>#REF!</v>
      </c>
      <c r="B143" s="24" t="s">
        <v>349</v>
      </c>
      <c r="C143" s="25" t="s">
        <v>350</v>
      </c>
      <c r="D143" s="26" t="s">
        <v>367</v>
      </c>
      <c r="E143" s="37" t="s">
        <v>368</v>
      </c>
      <c r="F143" s="24" t="s">
        <v>4</v>
      </c>
      <c r="G143" s="12"/>
      <c r="H143" s="13"/>
      <c r="I143" s="13"/>
      <c r="J143" s="13"/>
      <c r="K143" s="13"/>
      <c r="L143" s="30">
        <f t="shared" si="22"/>
        <v>20</v>
      </c>
      <c r="M143" s="31">
        <f t="shared" si="14"/>
        <v>1</v>
      </c>
    </row>
    <row r="144" spans="1:13">
      <c r="A144" s="7" t="e">
        <f>1+A143</f>
        <v>#REF!</v>
      </c>
      <c r="B144" s="19" t="s">
        <v>369</v>
      </c>
      <c r="C144" s="20" t="s">
        <v>370</v>
      </c>
      <c r="D144" s="21" t="s">
        <v>371</v>
      </c>
      <c r="E144" s="66" t="s">
        <v>372</v>
      </c>
      <c r="F144" s="19" t="s">
        <v>10</v>
      </c>
      <c r="G144" s="12"/>
      <c r="H144" s="13"/>
      <c r="I144" s="13"/>
      <c r="J144" s="13"/>
      <c r="K144" s="13"/>
      <c r="L144" s="30"/>
      <c r="M144" s="31"/>
    </row>
    <row r="145" spans="1:13">
      <c r="A145" s="7" t="e">
        <f t="shared" si="20"/>
        <v>#REF!</v>
      </c>
      <c r="B145" s="24" t="s">
        <v>369</v>
      </c>
      <c r="C145" s="25" t="s">
        <v>370</v>
      </c>
      <c r="D145" s="26" t="s">
        <v>373</v>
      </c>
      <c r="E145" s="24" t="s">
        <v>374</v>
      </c>
      <c r="F145" s="24" t="s">
        <v>3</v>
      </c>
      <c r="G145" s="12"/>
      <c r="H145" s="13"/>
      <c r="I145" s="13"/>
      <c r="J145" s="13"/>
      <c r="K145" s="13"/>
      <c r="L145" s="30">
        <f t="shared" ref="L145:L152" si="23">20-H145-I145</f>
        <v>20</v>
      </c>
      <c r="M145" s="31">
        <f t="shared" ref="M145:M200" si="24">ROUND(+L145/21,1)</f>
        <v>1</v>
      </c>
    </row>
    <row r="146" spans="1:13">
      <c r="A146" s="7" t="e">
        <f t="shared" si="20"/>
        <v>#REF!</v>
      </c>
      <c r="B146" s="24" t="s">
        <v>369</v>
      </c>
      <c r="C146" s="25" t="s">
        <v>370</v>
      </c>
      <c r="D146" s="26" t="s">
        <v>375</v>
      </c>
      <c r="E146" s="24" t="s">
        <v>376</v>
      </c>
      <c r="F146" s="24" t="s">
        <v>5</v>
      </c>
      <c r="G146" s="12"/>
      <c r="H146" s="13"/>
      <c r="I146" s="13">
        <v>5</v>
      </c>
      <c r="J146" s="13"/>
      <c r="K146" s="13"/>
      <c r="L146" s="30">
        <f t="shared" si="23"/>
        <v>15</v>
      </c>
      <c r="M146" s="31">
        <f t="shared" si="24"/>
        <v>0.7</v>
      </c>
    </row>
    <row r="147" spans="1:13">
      <c r="A147" s="7" t="e">
        <f t="shared" si="20"/>
        <v>#REF!</v>
      </c>
      <c r="B147" s="24" t="s">
        <v>369</v>
      </c>
      <c r="C147" s="25" t="s">
        <v>370</v>
      </c>
      <c r="D147" s="26" t="s">
        <v>377</v>
      </c>
      <c r="E147" s="24" t="s">
        <v>378</v>
      </c>
      <c r="F147" s="24" t="s">
        <v>5</v>
      </c>
      <c r="G147" s="12"/>
      <c r="H147" s="13"/>
      <c r="I147" s="13">
        <f>4+2</f>
        <v>6</v>
      </c>
      <c r="J147" s="13"/>
      <c r="K147" s="13"/>
      <c r="L147" s="30">
        <f t="shared" si="23"/>
        <v>14</v>
      </c>
      <c r="M147" s="31">
        <f t="shared" si="24"/>
        <v>0.7</v>
      </c>
    </row>
    <row r="148" spans="1:13">
      <c r="A148" s="7" t="e">
        <f t="shared" si="20"/>
        <v>#REF!</v>
      </c>
      <c r="B148" s="24" t="s">
        <v>369</v>
      </c>
      <c r="C148" s="25" t="s">
        <v>370</v>
      </c>
      <c r="D148" s="26" t="s">
        <v>379</v>
      </c>
      <c r="E148" s="24" t="s">
        <v>380</v>
      </c>
      <c r="F148" s="24" t="s">
        <v>5</v>
      </c>
      <c r="G148" s="12"/>
      <c r="H148" s="13"/>
      <c r="I148" s="13"/>
      <c r="J148" s="13"/>
      <c r="K148" s="13"/>
      <c r="L148" s="30">
        <f t="shared" si="23"/>
        <v>20</v>
      </c>
      <c r="M148" s="31">
        <f t="shared" si="24"/>
        <v>1</v>
      </c>
    </row>
    <row r="149" spans="1:13" ht="15">
      <c r="A149" s="7" t="e">
        <f t="shared" si="20"/>
        <v>#REF!</v>
      </c>
      <c r="B149" s="24" t="s">
        <v>369</v>
      </c>
      <c r="C149" s="25" t="s">
        <v>370</v>
      </c>
      <c r="D149" s="26" t="s">
        <v>381</v>
      </c>
      <c r="E149" s="24" t="s">
        <v>382</v>
      </c>
      <c r="F149" s="24" t="s">
        <v>5</v>
      </c>
      <c r="G149" s="12"/>
      <c r="H149" s="13"/>
      <c r="I149" s="13">
        <v>3</v>
      </c>
      <c r="J149" s="13"/>
      <c r="K149" s="13"/>
      <c r="L149" s="30">
        <f t="shared" si="23"/>
        <v>17</v>
      </c>
      <c r="M149" s="31">
        <f t="shared" si="24"/>
        <v>0.8</v>
      </c>
    </row>
    <row r="150" spans="1:13">
      <c r="A150" s="7" t="e">
        <f t="shared" si="20"/>
        <v>#REF!</v>
      </c>
      <c r="B150" s="24" t="s">
        <v>369</v>
      </c>
      <c r="C150" s="25" t="s">
        <v>370</v>
      </c>
      <c r="D150" s="26" t="s">
        <v>383</v>
      </c>
      <c r="E150" s="37" t="s">
        <v>384</v>
      </c>
      <c r="F150" s="24" t="s">
        <v>4</v>
      </c>
      <c r="G150" s="12"/>
      <c r="H150" s="13"/>
      <c r="I150" s="13">
        <v>2</v>
      </c>
      <c r="J150" s="13"/>
      <c r="K150" s="13"/>
      <c r="L150" s="30">
        <f t="shared" si="23"/>
        <v>18</v>
      </c>
      <c r="M150" s="31">
        <f t="shared" si="24"/>
        <v>0.9</v>
      </c>
    </row>
    <row r="151" spans="1:13">
      <c r="A151" s="7" t="e">
        <f t="shared" si="20"/>
        <v>#REF!</v>
      </c>
      <c r="B151" s="24" t="s">
        <v>369</v>
      </c>
      <c r="C151" s="25" t="s">
        <v>370</v>
      </c>
      <c r="D151" s="26" t="s">
        <v>385</v>
      </c>
      <c r="E151" s="37" t="s">
        <v>386</v>
      </c>
      <c r="F151" s="24" t="s">
        <v>4</v>
      </c>
      <c r="G151" s="12"/>
      <c r="H151" s="13"/>
      <c r="I151" s="13">
        <v>6</v>
      </c>
      <c r="J151" s="13"/>
      <c r="K151" s="13"/>
      <c r="L151" s="30">
        <f t="shared" si="23"/>
        <v>14</v>
      </c>
      <c r="M151" s="31">
        <f t="shared" si="24"/>
        <v>0.7</v>
      </c>
    </row>
    <row r="152" spans="1:13">
      <c r="A152" s="7" t="e">
        <f t="shared" si="20"/>
        <v>#REF!</v>
      </c>
      <c r="B152" s="24" t="s">
        <v>369</v>
      </c>
      <c r="C152" s="25" t="s">
        <v>370</v>
      </c>
      <c r="D152" s="54" t="s">
        <v>387</v>
      </c>
      <c r="E152" s="38" t="s">
        <v>388</v>
      </c>
      <c r="F152" s="24" t="s">
        <v>3</v>
      </c>
      <c r="G152" s="12"/>
      <c r="H152" s="13"/>
      <c r="I152" s="13"/>
      <c r="J152" s="13"/>
      <c r="K152" s="13"/>
      <c r="L152" s="30">
        <f t="shared" si="23"/>
        <v>20</v>
      </c>
      <c r="M152" s="31">
        <f t="shared" si="24"/>
        <v>1</v>
      </c>
    </row>
    <row r="153" spans="1:13">
      <c r="A153" s="7" t="e">
        <f t="shared" si="20"/>
        <v>#REF!</v>
      </c>
      <c r="B153" s="19" t="s">
        <v>389</v>
      </c>
      <c r="C153" s="20" t="s">
        <v>162</v>
      </c>
      <c r="D153" s="21" t="s">
        <v>390</v>
      </c>
      <c r="E153" s="19" t="s">
        <v>391</v>
      </c>
      <c r="F153" s="19" t="s">
        <v>10</v>
      </c>
      <c r="G153" s="12"/>
      <c r="H153" s="13"/>
      <c r="I153" s="13"/>
      <c r="J153" s="13"/>
      <c r="K153" s="13"/>
      <c r="L153" s="30"/>
      <c r="M153" s="31"/>
    </row>
    <row r="154" spans="1:13">
      <c r="A154" s="7" t="e">
        <f t="shared" si="20"/>
        <v>#REF!</v>
      </c>
      <c r="B154" s="67" t="s">
        <v>389</v>
      </c>
      <c r="C154" s="25" t="s">
        <v>162</v>
      </c>
      <c r="D154" s="26" t="s">
        <v>392</v>
      </c>
      <c r="E154" s="24" t="s">
        <v>393</v>
      </c>
      <c r="F154" s="24" t="s">
        <v>4</v>
      </c>
      <c r="G154" s="12"/>
      <c r="H154" s="13"/>
      <c r="I154" s="13"/>
      <c r="J154" s="13"/>
      <c r="K154" s="13"/>
      <c r="L154" s="30">
        <f t="shared" ref="L154:L162" si="25">20-H154-I154</f>
        <v>20</v>
      </c>
      <c r="M154" s="31">
        <f t="shared" si="24"/>
        <v>1</v>
      </c>
    </row>
    <row r="155" spans="1:13">
      <c r="A155" s="7" t="e">
        <f t="shared" si="20"/>
        <v>#REF!</v>
      </c>
      <c r="B155" s="24" t="s">
        <v>389</v>
      </c>
      <c r="C155" s="25" t="s">
        <v>162</v>
      </c>
      <c r="D155" s="26" t="s">
        <v>394</v>
      </c>
      <c r="E155" s="24" t="s">
        <v>395</v>
      </c>
      <c r="F155" s="24" t="s">
        <v>2</v>
      </c>
      <c r="G155" s="12"/>
      <c r="H155" s="13"/>
      <c r="I155" s="13"/>
      <c r="J155" s="13"/>
      <c r="K155" s="13"/>
      <c r="L155" s="30">
        <f t="shared" si="25"/>
        <v>20</v>
      </c>
      <c r="M155" s="31">
        <f t="shared" si="24"/>
        <v>1</v>
      </c>
    </row>
    <row r="156" spans="1:13">
      <c r="A156" s="7" t="e">
        <f t="shared" si="20"/>
        <v>#REF!</v>
      </c>
      <c r="B156" s="24" t="s">
        <v>389</v>
      </c>
      <c r="C156" s="25" t="s">
        <v>162</v>
      </c>
      <c r="D156" s="26" t="s">
        <v>396</v>
      </c>
      <c r="E156" s="24" t="s">
        <v>397</v>
      </c>
      <c r="F156" s="24" t="s">
        <v>2</v>
      </c>
      <c r="G156" s="12"/>
      <c r="H156" s="13"/>
      <c r="I156" s="13"/>
      <c r="J156" s="13"/>
      <c r="K156" s="13"/>
      <c r="L156" s="30">
        <f t="shared" si="25"/>
        <v>20</v>
      </c>
      <c r="M156" s="31">
        <f t="shared" si="24"/>
        <v>1</v>
      </c>
    </row>
    <row r="157" spans="1:13">
      <c r="A157" s="7" t="e">
        <f t="shared" si="20"/>
        <v>#REF!</v>
      </c>
      <c r="B157" s="24" t="s">
        <v>389</v>
      </c>
      <c r="C157" s="25" t="s">
        <v>162</v>
      </c>
      <c r="D157" s="26" t="s">
        <v>398</v>
      </c>
      <c r="E157" s="24" t="s">
        <v>399</v>
      </c>
      <c r="F157" s="24" t="s">
        <v>3</v>
      </c>
      <c r="G157" s="12"/>
      <c r="H157" s="13"/>
      <c r="I157" s="13">
        <v>2</v>
      </c>
      <c r="J157" s="13"/>
      <c r="K157" s="13"/>
      <c r="L157" s="30">
        <f t="shared" si="25"/>
        <v>18</v>
      </c>
      <c r="M157" s="31">
        <f t="shared" si="24"/>
        <v>0.9</v>
      </c>
    </row>
    <row r="158" spans="1:13">
      <c r="A158" s="7" t="e">
        <f t="shared" si="20"/>
        <v>#REF!</v>
      </c>
      <c r="B158" s="24" t="s">
        <v>389</v>
      </c>
      <c r="C158" s="25" t="s">
        <v>162</v>
      </c>
      <c r="D158" s="26" t="s">
        <v>400</v>
      </c>
      <c r="E158" s="24" t="s">
        <v>401</v>
      </c>
      <c r="F158" s="24" t="s">
        <v>5</v>
      </c>
      <c r="G158" s="12"/>
      <c r="H158" s="13"/>
      <c r="I158" s="13"/>
      <c r="J158" s="13"/>
      <c r="K158" s="13"/>
      <c r="L158" s="30">
        <f t="shared" si="25"/>
        <v>20</v>
      </c>
      <c r="M158" s="31">
        <f t="shared" si="24"/>
        <v>1</v>
      </c>
    </row>
    <row r="159" spans="1:13">
      <c r="A159" s="7" t="e">
        <f t="shared" si="20"/>
        <v>#REF!</v>
      </c>
      <c r="B159" s="24" t="s">
        <v>389</v>
      </c>
      <c r="C159" s="25" t="s">
        <v>162</v>
      </c>
      <c r="D159" s="26" t="s">
        <v>402</v>
      </c>
      <c r="E159" s="37" t="s">
        <v>403</v>
      </c>
      <c r="F159" s="24" t="s">
        <v>4</v>
      </c>
      <c r="G159" s="12"/>
      <c r="H159" s="13"/>
      <c r="I159" s="13"/>
      <c r="J159" s="13"/>
      <c r="K159" s="13"/>
      <c r="L159" s="30">
        <f t="shared" si="25"/>
        <v>20</v>
      </c>
      <c r="M159" s="31">
        <f t="shared" si="24"/>
        <v>1</v>
      </c>
    </row>
    <row r="160" spans="1:13">
      <c r="A160" s="7" t="e">
        <f t="shared" si="20"/>
        <v>#REF!</v>
      </c>
      <c r="B160" s="24" t="s">
        <v>389</v>
      </c>
      <c r="C160" s="25" t="s">
        <v>162</v>
      </c>
      <c r="D160" s="54" t="s">
        <v>404</v>
      </c>
      <c r="E160" s="38" t="s">
        <v>405</v>
      </c>
      <c r="F160" s="24" t="s">
        <v>3</v>
      </c>
      <c r="G160" s="12"/>
      <c r="H160" s="13"/>
      <c r="I160" s="13"/>
      <c r="J160" s="13"/>
      <c r="K160" s="13"/>
      <c r="L160" s="30">
        <f t="shared" si="25"/>
        <v>20</v>
      </c>
      <c r="M160" s="31">
        <f t="shared" si="24"/>
        <v>1</v>
      </c>
    </row>
    <row r="161" spans="1:13">
      <c r="A161" s="7" t="e">
        <f t="shared" si="20"/>
        <v>#REF!</v>
      </c>
      <c r="B161" s="24" t="s">
        <v>389</v>
      </c>
      <c r="C161" s="25" t="s">
        <v>162</v>
      </c>
      <c r="D161" s="26" t="s">
        <v>406</v>
      </c>
      <c r="E161" s="24" t="s">
        <v>407</v>
      </c>
      <c r="F161" s="24" t="s">
        <v>6</v>
      </c>
      <c r="G161" s="12"/>
      <c r="H161" s="13"/>
      <c r="I161" s="13"/>
      <c r="J161" s="13"/>
      <c r="K161" s="13"/>
      <c r="L161" s="30">
        <f t="shared" si="25"/>
        <v>20</v>
      </c>
      <c r="M161" s="31">
        <f t="shared" si="24"/>
        <v>1</v>
      </c>
    </row>
    <row r="162" spans="1:13">
      <c r="A162" s="7" t="e">
        <f t="shared" si="20"/>
        <v>#REF!</v>
      </c>
      <c r="B162" s="24" t="s">
        <v>389</v>
      </c>
      <c r="C162" s="25" t="s">
        <v>162</v>
      </c>
      <c r="D162" s="26" t="s">
        <v>408</v>
      </c>
      <c r="E162" s="24" t="s">
        <v>409</v>
      </c>
      <c r="F162" s="24" t="s">
        <v>1</v>
      </c>
      <c r="G162" s="61" t="s">
        <v>36</v>
      </c>
      <c r="H162" s="68">
        <v>20</v>
      </c>
      <c r="I162" s="68"/>
      <c r="J162" s="68"/>
      <c r="K162" s="68"/>
      <c r="L162" s="30">
        <f t="shared" si="25"/>
        <v>0</v>
      </c>
      <c r="M162" s="31">
        <f t="shared" si="24"/>
        <v>0</v>
      </c>
    </row>
    <row r="163" spans="1:13">
      <c r="A163" s="7" t="e">
        <f>1+A161</f>
        <v>#REF!</v>
      </c>
      <c r="B163" s="15" t="s">
        <v>244</v>
      </c>
      <c r="C163" s="16" t="s">
        <v>146</v>
      </c>
      <c r="D163" s="17" t="s">
        <v>410</v>
      </c>
      <c r="E163" s="15" t="s">
        <v>411</v>
      </c>
      <c r="F163" s="15" t="s">
        <v>8</v>
      </c>
      <c r="G163" s="12"/>
      <c r="H163" s="13"/>
      <c r="I163" s="13"/>
      <c r="J163" s="13"/>
      <c r="K163" s="13"/>
      <c r="L163" s="30"/>
      <c r="M163" s="31"/>
    </row>
    <row r="164" spans="1:13">
      <c r="A164" s="7" t="e">
        <f t="shared" ref="A164" si="26">1+A162</f>
        <v>#REF!</v>
      </c>
      <c r="B164" s="24" t="s">
        <v>244</v>
      </c>
      <c r="C164" s="25" t="s">
        <v>146</v>
      </c>
      <c r="D164" s="26" t="s">
        <v>412</v>
      </c>
      <c r="E164" s="25" t="s">
        <v>413</v>
      </c>
      <c r="F164" s="24" t="s">
        <v>1</v>
      </c>
      <c r="G164" s="12"/>
      <c r="H164" s="13"/>
      <c r="I164" s="13"/>
      <c r="J164" s="13"/>
      <c r="K164" s="13"/>
      <c r="L164" s="30">
        <f>20-H164-I164</f>
        <v>20</v>
      </c>
      <c r="M164" s="31">
        <f t="shared" si="24"/>
        <v>1</v>
      </c>
    </row>
    <row r="165" spans="1:13">
      <c r="A165" s="7" t="e">
        <f>1+A164</f>
        <v>#REF!</v>
      </c>
      <c r="B165" s="24" t="s">
        <v>244</v>
      </c>
      <c r="C165" s="25" t="s">
        <v>146</v>
      </c>
      <c r="D165" s="26" t="s">
        <v>414</v>
      </c>
      <c r="E165" s="25" t="s">
        <v>415</v>
      </c>
      <c r="F165" s="24" t="s">
        <v>1</v>
      </c>
      <c r="G165" s="12"/>
      <c r="H165" s="13"/>
      <c r="I165" s="13"/>
      <c r="J165" s="13"/>
      <c r="K165" s="13"/>
      <c r="L165" s="30">
        <f>20-H165-I165</f>
        <v>20</v>
      </c>
      <c r="M165" s="31">
        <f t="shared" si="24"/>
        <v>1</v>
      </c>
    </row>
    <row r="166" spans="1:13">
      <c r="A166" s="7" t="e">
        <f>1+A165</f>
        <v>#REF!</v>
      </c>
      <c r="B166" s="24" t="s">
        <v>244</v>
      </c>
      <c r="C166" s="25" t="s">
        <v>146</v>
      </c>
      <c r="D166" s="26" t="s">
        <v>416</v>
      </c>
      <c r="E166" s="25" t="s">
        <v>417</v>
      </c>
      <c r="F166" s="24" t="s">
        <v>1</v>
      </c>
      <c r="G166" s="12"/>
      <c r="H166" s="13"/>
      <c r="I166" s="13"/>
      <c r="J166" s="13"/>
      <c r="K166" s="13"/>
      <c r="L166" s="30">
        <f>20-H166-I166</f>
        <v>20</v>
      </c>
      <c r="M166" s="31">
        <f t="shared" si="24"/>
        <v>1</v>
      </c>
    </row>
    <row r="167" spans="1:13">
      <c r="A167" s="7" t="e">
        <f>1+A88</f>
        <v>#REF!</v>
      </c>
      <c r="B167" s="19" t="s">
        <v>418</v>
      </c>
      <c r="C167" s="20" t="s">
        <v>166</v>
      </c>
      <c r="D167" s="21" t="s">
        <v>419</v>
      </c>
      <c r="E167" s="19" t="s">
        <v>420</v>
      </c>
      <c r="F167" s="19" t="s">
        <v>10</v>
      </c>
      <c r="G167" s="12"/>
      <c r="H167" s="13"/>
      <c r="I167" s="13"/>
      <c r="J167" s="13"/>
      <c r="K167" s="13"/>
      <c r="L167" s="30"/>
      <c r="M167" s="31"/>
    </row>
    <row r="168" spans="1:13">
      <c r="A168" s="7" t="e">
        <f t="shared" si="20"/>
        <v>#REF!</v>
      </c>
      <c r="B168" s="24" t="s">
        <v>418</v>
      </c>
      <c r="C168" s="25" t="s">
        <v>166</v>
      </c>
      <c r="D168" s="26" t="s">
        <v>421</v>
      </c>
      <c r="E168" s="24" t="s">
        <v>422</v>
      </c>
      <c r="F168" s="24" t="s">
        <v>5</v>
      </c>
      <c r="G168" s="12"/>
      <c r="H168" s="13"/>
      <c r="I168" s="12">
        <v>2</v>
      </c>
      <c r="J168" s="12"/>
      <c r="K168" s="12"/>
      <c r="L168" s="30">
        <f t="shared" ref="L168:L179" si="27">20-H168-I168</f>
        <v>18</v>
      </c>
      <c r="M168" s="31">
        <f t="shared" si="24"/>
        <v>0.9</v>
      </c>
    </row>
    <row r="169" spans="1:13">
      <c r="A169" s="7" t="e">
        <f t="shared" si="20"/>
        <v>#REF!</v>
      </c>
      <c r="B169" s="24" t="s">
        <v>418</v>
      </c>
      <c r="C169" s="25" t="s">
        <v>166</v>
      </c>
      <c r="D169" s="26" t="s">
        <v>423</v>
      </c>
      <c r="E169" s="24" t="s">
        <v>424</v>
      </c>
      <c r="F169" s="24" t="s">
        <v>2</v>
      </c>
      <c r="G169" s="12"/>
      <c r="H169" s="13"/>
      <c r="I169" s="12"/>
      <c r="J169" s="12"/>
      <c r="K169" s="12"/>
      <c r="L169" s="30">
        <f t="shared" si="27"/>
        <v>20</v>
      </c>
      <c r="M169" s="31">
        <f t="shared" si="24"/>
        <v>1</v>
      </c>
    </row>
    <row r="170" spans="1:13" ht="15" customHeight="1">
      <c r="A170" s="7" t="e">
        <f t="shared" si="20"/>
        <v>#REF!</v>
      </c>
      <c r="B170" s="24" t="s">
        <v>418</v>
      </c>
      <c r="C170" s="25" t="s">
        <v>166</v>
      </c>
      <c r="D170" s="54" t="s">
        <v>425</v>
      </c>
      <c r="E170" s="50" t="s">
        <v>426</v>
      </c>
      <c r="F170" s="50" t="s">
        <v>2</v>
      </c>
      <c r="G170" s="51" t="s">
        <v>427</v>
      </c>
      <c r="H170" s="34">
        <v>20</v>
      </c>
      <c r="I170" s="12"/>
      <c r="J170" s="12"/>
      <c r="K170" s="12"/>
      <c r="L170" s="30">
        <f t="shared" si="27"/>
        <v>0</v>
      </c>
      <c r="M170" s="31">
        <f t="shared" si="24"/>
        <v>0</v>
      </c>
    </row>
    <row r="171" spans="1:13">
      <c r="A171" s="7" t="e">
        <f>1+A169</f>
        <v>#REF!</v>
      </c>
      <c r="B171" s="24" t="s">
        <v>418</v>
      </c>
      <c r="C171" s="25" t="s">
        <v>166</v>
      </c>
      <c r="D171" s="26" t="s">
        <v>428</v>
      </c>
      <c r="E171" s="24" t="s">
        <v>429</v>
      </c>
      <c r="F171" s="24" t="s">
        <v>3</v>
      </c>
      <c r="G171" s="12"/>
      <c r="H171" s="13"/>
      <c r="I171" s="12"/>
      <c r="J171" s="12"/>
      <c r="K171" s="12"/>
      <c r="L171" s="30">
        <f t="shared" si="27"/>
        <v>20</v>
      </c>
      <c r="M171" s="31">
        <f t="shared" si="24"/>
        <v>1</v>
      </c>
    </row>
    <row r="172" spans="1:13">
      <c r="A172" s="7" t="e">
        <f t="shared" si="20"/>
        <v>#REF!</v>
      </c>
      <c r="B172" s="24" t="s">
        <v>418</v>
      </c>
      <c r="C172" s="25" t="s">
        <v>166</v>
      </c>
      <c r="D172" s="26" t="s">
        <v>430</v>
      </c>
      <c r="E172" s="24" t="s">
        <v>431</v>
      </c>
      <c r="F172" s="24" t="s">
        <v>3</v>
      </c>
      <c r="G172" s="12"/>
      <c r="H172" s="13"/>
      <c r="I172" s="12">
        <v>5</v>
      </c>
      <c r="J172" s="12"/>
      <c r="K172" s="12"/>
      <c r="L172" s="30">
        <f t="shared" si="27"/>
        <v>15</v>
      </c>
      <c r="M172" s="31">
        <f t="shared" si="24"/>
        <v>0.7</v>
      </c>
    </row>
    <row r="173" spans="1:13">
      <c r="A173" s="7" t="e">
        <f t="shared" si="20"/>
        <v>#REF!</v>
      </c>
      <c r="B173" s="24" t="s">
        <v>418</v>
      </c>
      <c r="C173" s="25" t="s">
        <v>166</v>
      </c>
      <c r="D173" s="26" t="s">
        <v>432</v>
      </c>
      <c r="E173" s="50" t="s">
        <v>433</v>
      </c>
      <c r="F173" s="50" t="s">
        <v>4</v>
      </c>
      <c r="G173" s="51" t="s">
        <v>434</v>
      </c>
      <c r="H173" s="34">
        <v>20</v>
      </c>
      <c r="I173" s="12"/>
      <c r="J173" s="12"/>
      <c r="K173" s="12"/>
      <c r="L173" s="30">
        <f t="shared" si="27"/>
        <v>0</v>
      </c>
      <c r="M173" s="31">
        <f t="shared" si="24"/>
        <v>0</v>
      </c>
    </row>
    <row r="174" spans="1:13" ht="15" customHeight="1">
      <c r="A174" s="7" t="e">
        <f t="shared" si="20"/>
        <v>#REF!</v>
      </c>
      <c r="B174" s="24" t="s">
        <v>418</v>
      </c>
      <c r="C174" s="25" t="s">
        <v>162</v>
      </c>
      <c r="D174" s="26" t="s">
        <v>406</v>
      </c>
      <c r="E174" s="50" t="s">
        <v>407</v>
      </c>
      <c r="F174" s="50" t="s">
        <v>6</v>
      </c>
      <c r="G174" s="51" t="s">
        <v>389</v>
      </c>
      <c r="H174" s="34">
        <v>20</v>
      </c>
      <c r="I174" s="12"/>
      <c r="J174" s="12"/>
      <c r="K174" s="12"/>
      <c r="L174" s="30">
        <f t="shared" si="27"/>
        <v>0</v>
      </c>
      <c r="M174" s="31">
        <f t="shared" si="24"/>
        <v>0</v>
      </c>
    </row>
    <row r="175" spans="1:13" ht="15" customHeight="1">
      <c r="A175" s="7" t="e">
        <f t="shared" si="20"/>
        <v>#REF!</v>
      </c>
      <c r="B175" s="24" t="s">
        <v>418</v>
      </c>
      <c r="C175" s="25" t="s">
        <v>166</v>
      </c>
      <c r="D175" s="26" t="s">
        <v>435</v>
      </c>
      <c r="E175" s="24" t="s">
        <v>436</v>
      </c>
      <c r="F175" s="24" t="s">
        <v>6</v>
      </c>
      <c r="G175" s="12"/>
      <c r="H175" s="13"/>
      <c r="I175" s="12">
        <v>3</v>
      </c>
      <c r="J175" s="12"/>
      <c r="K175" s="12"/>
      <c r="L175" s="30">
        <f t="shared" si="27"/>
        <v>17</v>
      </c>
      <c r="M175" s="31">
        <f t="shared" si="24"/>
        <v>0.8</v>
      </c>
    </row>
    <row r="176" spans="1:13">
      <c r="A176" s="7" t="e">
        <f>1+A173</f>
        <v>#REF!</v>
      </c>
      <c r="B176" s="24" t="s">
        <v>418</v>
      </c>
      <c r="C176" s="25" t="s">
        <v>166</v>
      </c>
      <c r="D176" s="26" t="s">
        <v>437</v>
      </c>
      <c r="E176" s="37" t="s">
        <v>438</v>
      </c>
      <c r="F176" s="24" t="s">
        <v>4</v>
      </c>
      <c r="G176" s="12"/>
      <c r="H176" s="13"/>
      <c r="I176" s="12">
        <v>6</v>
      </c>
      <c r="J176" s="12"/>
      <c r="K176" s="12"/>
      <c r="L176" s="30">
        <f t="shared" si="27"/>
        <v>14</v>
      </c>
      <c r="M176" s="31">
        <f t="shared" si="24"/>
        <v>0.7</v>
      </c>
    </row>
    <row r="177" spans="1:13">
      <c r="A177" s="7" t="e">
        <f t="shared" si="20"/>
        <v>#REF!</v>
      </c>
      <c r="B177" s="24" t="s">
        <v>418</v>
      </c>
      <c r="C177" s="25" t="s">
        <v>166</v>
      </c>
      <c r="D177" s="26" t="s">
        <v>439</v>
      </c>
      <c r="E177" s="37" t="s">
        <v>440</v>
      </c>
      <c r="F177" s="24" t="s">
        <v>4</v>
      </c>
      <c r="G177" s="12"/>
      <c r="H177" s="13"/>
      <c r="I177" s="12">
        <v>1</v>
      </c>
      <c r="J177" s="12"/>
      <c r="K177" s="12"/>
      <c r="L177" s="30">
        <f t="shared" si="27"/>
        <v>19</v>
      </c>
      <c r="M177" s="31">
        <f t="shared" si="24"/>
        <v>0.9</v>
      </c>
    </row>
    <row r="178" spans="1:13">
      <c r="A178" s="7" t="e">
        <f t="shared" si="20"/>
        <v>#REF!</v>
      </c>
      <c r="B178" s="24" t="s">
        <v>418</v>
      </c>
      <c r="C178" s="25" t="s">
        <v>166</v>
      </c>
      <c r="D178" s="26" t="s">
        <v>441</v>
      </c>
      <c r="E178" s="37" t="s">
        <v>442</v>
      </c>
      <c r="F178" s="24" t="s">
        <v>2</v>
      </c>
      <c r="G178" s="12"/>
      <c r="H178" s="13"/>
      <c r="I178" s="12"/>
      <c r="J178" s="12"/>
      <c r="K178" s="12"/>
      <c r="L178" s="30">
        <f t="shared" si="27"/>
        <v>20</v>
      </c>
      <c r="M178" s="31">
        <f t="shared" si="24"/>
        <v>1</v>
      </c>
    </row>
    <row r="179" spans="1:13" ht="15" customHeight="1">
      <c r="A179" s="7" t="e">
        <f t="shared" si="20"/>
        <v>#REF!</v>
      </c>
      <c r="B179" s="24" t="s">
        <v>418</v>
      </c>
      <c r="C179" s="25" t="s">
        <v>92</v>
      </c>
      <c r="D179" s="26" t="s">
        <v>443</v>
      </c>
      <c r="E179" s="37" t="s">
        <v>444</v>
      </c>
      <c r="F179" s="24" t="s">
        <v>4</v>
      </c>
      <c r="G179" s="12"/>
      <c r="H179" s="13"/>
      <c r="I179" s="12">
        <v>4</v>
      </c>
      <c r="J179" s="12"/>
      <c r="K179" s="12"/>
      <c r="L179" s="30">
        <f t="shared" si="27"/>
        <v>16</v>
      </c>
      <c r="M179" s="31">
        <f t="shared" si="24"/>
        <v>0.8</v>
      </c>
    </row>
    <row r="180" spans="1:13">
      <c r="A180" s="7" t="e">
        <f>1+A178</f>
        <v>#REF!</v>
      </c>
      <c r="B180" s="19" t="s">
        <v>445</v>
      </c>
      <c r="C180" s="20" t="s">
        <v>446</v>
      </c>
      <c r="D180" s="21" t="s">
        <v>447</v>
      </c>
      <c r="E180" s="19" t="s">
        <v>448</v>
      </c>
      <c r="F180" s="19" t="s">
        <v>10</v>
      </c>
      <c r="G180" s="12"/>
      <c r="H180" s="13"/>
      <c r="I180" s="69"/>
      <c r="J180" s="69"/>
      <c r="K180" s="69"/>
      <c r="L180" s="30"/>
      <c r="M180" s="31"/>
    </row>
    <row r="181" spans="1:13">
      <c r="A181" s="7" t="e">
        <f t="shared" si="20"/>
        <v>#REF!</v>
      </c>
      <c r="B181" s="24" t="s">
        <v>445</v>
      </c>
      <c r="C181" s="25" t="s">
        <v>446</v>
      </c>
      <c r="D181" s="26" t="s">
        <v>449</v>
      </c>
      <c r="E181" s="24" t="s">
        <v>450</v>
      </c>
      <c r="F181" s="24" t="s">
        <v>2</v>
      </c>
      <c r="G181" s="12"/>
      <c r="H181" s="13"/>
      <c r="I181" s="69">
        <v>11</v>
      </c>
      <c r="J181" s="69"/>
      <c r="K181" s="69"/>
      <c r="L181" s="30">
        <f t="shared" ref="L181:L190" si="28">20-H181-I181</f>
        <v>9</v>
      </c>
      <c r="M181" s="31">
        <f t="shared" si="24"/>
        <v>0.4</v>
      </c>
    </row>
    <row r="182" spans="1:13">
      <c r="A182" s="7" t="e">
        <f t="shared" si="20"/>
        <v>#REF!</v>
      </c>
      <c r="B182" s="24" t="s">
        <v>445</v>
      </c>
      <c r="C182" s="25" t="s">
        <v>446</v>
      </c>
      <c r="D182" s="26" t="s">
        <v>451</v>
      </c>
      <c r="E182" s="24" t="s">
        <v>452</v>
      </c>
      <c r="F182" s="24" t="s">
        <v>2</v>
      </c>
      <c r="G182" s="12"/>
      <c r="H182" s="13"/>
      <c r="I182" s="69">
        <v>7</v>
      </c>
      <c r="J182" s="69"/>
      <c r="K182" s="69"/>
      <c r="L182" s="30">
        <f t="shared" si="28"/>
        <v>13</v>
      </c>
      <c r="M182" s="31">
        <f t="shared" si="24"/>
        <v>0.6</v>
      </c>
    </row>
    <row r="183" spans="1:13">
      <c r="A183" s="7" t="e">
        <f t="shared" si="20"/>
        <v>#REF!</v>
      </c>
      <c r="B183" s="24" t="s">
        <v>445</v>
      </c>
      <c r="C183" s="25" t="s">
        <v>446</v>
      </c>
      <c r="D183" s="26" t="s">
        <v>453</v>
      </c>
      <c r="E183" s="24" t="s">
        <v>454</v>
      </c>
      <c r="F183" s="24" t="s">
        <v>2</v>
      </c>
      <c r="G183" s="12"/>
      <c r="H183" s="13"/>
      <c r="I183" s="69">
        <v>2</v>
      </c>
      <c r="J183" s="69"/>
      <c r="K183" s="69"/>
      <c r="L183" s="30">
        <f t="shared" si="28"/>
        <v>18</v>
      </c>
      <c r="M183" s="31">
        <f t="shared" si="24"/>
        <v>0.9</v>
      </c>
    </row>
    <row r="184" spans="1:13">
      <c r="A184" s="7" t="e">
        <f t="shared" si="20"/>
        <v>#REF!</v>
      </c>
      <c r="B184" s="24" t="s">
        <v>445</v>
      </c>
      <c r="C184" s="25" t="s">
        <v>446</v>
      </c>
      <c r="D184" s="26" t="s">
        <v>455</v>
      </c>
      <c r="E184" s="24" t="s">
        <v>456</v>
      </c>
      <c r="F184" s="24" t="s">
        <v>2</v>
      </c>
      <c r="G184" s="12"/>
      <c r="H184" s="13"/>
      <c r="I184" s="69">
        <v>6</v>
      </c>
      <c r="J184" s="69"/>
      <c r="K184" s="69"/>
      <c r="L184" s="30">
        <f t="shared" si="28"/>
        <v>14</v>
      </c>
      <c r="M184" s="31">
        <f t="shared" si="24"/>
        <v>0.7</v>
      </c>
    </row>
    <row r="185" spans="1:13">
      <c r="A185" s="7" t="e">
        <f t="shared" si="20"/>
        <v>#REF!</v>
      </c>
      <c r="B185" s="24" t="s">
        <v>445</v>
      </c>
      <c r="C185" s="25" t="s">
        <v>446</v>
      </c>
      <c r="D185" s="26" t="s">
        <v>457</v>
      </c>
      <c r="E185" s="24" t="s">
        <v>458</v>
      </c>
      <c r="F185" s="24" t="s">
        <v>3</v>
      </c>
      <c r="G185" s="12"/>
      <c r="H185" s="13"/>
      <c r="I185" s="12"/>
      <c r="J185" s="12"/>
      <c r="K185" s="12"/>
      <c r="L185" s="30">
        <f t="shared" si="28"/>
        <v>20</v>
      </c>
      <c r="M185" s="31">
        <f t="shared" si="24"/>
        <v>1</v>
      </c>
    </row>
    <row r="186" spans="1:13">
      <c r="A186" s="7" t="e">
        <f t="shared" si="20"/>
        <v>#REF!</v>
      </c>
      <c r="B186" s="24" t="s">
        <v>445</v>
      </c>
      <c r="C186" s="25" t="s">
        <v>446</v>
      </c>
      <c r="D186" s="26" t="s">
        <v>459</v>
      </c>
      <c r="E186" s="24" t="s">
        <v>460</v>
      </c>
      <c r="F186" s="24" t="s">
        <v>5</v>
      </c>
      <c r="G186" s="12"/>
      <c r="H186" s="13"/>
      <c r="I186" s="69"/>
      <c r="J186" s="69"/>
      <c r="K186" s="69"/>
      <c r="L186" s="30">
        <f t="shared" si="28"/>
        <v>20</v>
      </c>
      <c r="M186" s="31">
        <f t="shared" si="24"/>
        <v>1</v>
      </c>
    </row>
    <row r="187" spans="1:13">
      <c r="A187" s="7" t="e">
        <f t="shared" si="20"/>
        <v>#REF!</v>
      </c>
      <c r="B187" s="24" t="s">
        <v>445</v>
      </c>
      <c r="C187" s="25" t="s">
        <v>446</v>
      </c>
      <c r="D187" s="26" t="s">
        <v>461</v>
      </c>
      <c r="E187" s="24" t="s">
        <v>462</v>
      </c>
      <c r="F187" s="24" t="s">
        <v>5</v>
      </c>
      <c r="G187" s="12"/>
      <c r="H187" s="13"/>
      <c r="I187" s="12"/>
      <c r="J187" s="12"/>
      <c r="K187" s="12"/>
      <c r="L187" s="30">
        <f t="shared" si="28"/>
        <v>20</v>
      </c>
      <c r="M187" s="31">
        <f t="shared" si="24"/>
        <v>1</v>
      </c>
    </row>
    <row r="188" spans="1:13">
      <c r="A188" s="7" t="e">
        <f t="shared" si="20"/>
        <v>#REF!</v>
      </c>
      <c r="B188" s="24" t="s">
        <v>445</v>
      </c>
      <c r="C188" s="25" t="s">
        <v>446</v>
      </c>
      <c r="D188" s="26" t="s">
        <v>463</v>
      </c>
      <c r="E188" s="24" t="s">
        <v>464</v>
      </c>
      <c r="F188" s="24" t="s">
        <v>6</v>
      </c>
      <c r="G188" s="12"/>
      <c r="H188" s="13"/>
      <c r="I188" s="12"/>
      <c r="J188" s="12"/>
      <c r="K188" s="12"/>
      <c r="L188" s="30">
        <f t="shared" si="28"/>
        <v>20</v>
      </c>
      <c r="M188" s="31">
        <f t="shared" si="24"/>
        <v>1</v>
      </c>
    </row>
    <row r="189" spans="1:13">
      <c r="A189" s="7" t="e">
        <f t="shared" si="20"/>
        <v>#REF!</v>
      </c>
      <c r="B189" s="24" t="s">
        <v>445</v>
      </c>
      <c r="C189" s="25" t="s">
        <v>446</v>
      </c>
      <c r="D189" s="26" t="s">
        <v>465</v>
      </c>
      <c r="E189" s="37" t="s">
        <v>466</v>
      </c>
      <c r="F189" s="24" t="s">
        <v>4</v>
      </c>
      <c r="G189" s="12"/>
      <c r="H189" s="13"/>
      <c r="I189" s="12"/>
      <c r="J189" s="12"/>
      <c r="K189" s="12"/>
      <c r="L189" s="30">
        <f t="shared" si="28"/>
        <v>20</v>
      </c>
      <c r="M189" s="31">
        <f t="shared" si="24"/>
        <v>1</v>
      </c>
    </row>
    <row r="190" spans="1:13">
      <c r="A190" s="7" t="e">
        <f t="shared" si="20"/>
        <v>#REF!</v>
      </c>
      <c r="B190" s="19" t="s">
        <v>467</v>
      </c>
      <c r="C190" s="20" t="s">
        <v>468</v>
      </c>
      <c r="D190" s="21" t="s">
        <v>469</v>
      </c>
      <c r="E190" s="19" t="s">
        <v>470</v>
      </c>
      <c r="F190" s="19" t="s">
        <v>10</v>
      </c>
      <c r="G190" s="12"/>
      <c r="H190" s="13"/>
      <c r="I190" s="13"/>
      <c r="J190" s="13"/>
      <c r="K190" s="13"/>
      <c r="L190" s="30">
        <f t="shared" si="28"/>
        <v>20</v>
      </c>
      <c r="M190" s="31">
        <f t="shared" si="24"/>
        <v>1</v>
      </c>
    </row>
    <row r="191" spans="1:13">
      <c r="A191" s="7" t="e">
        <f t="shared" si="20"/>
        <v>#REF!</v>
      </c>
      <c r="B191" s="24" t="s">
        <v>467</v>
      </c>
      <c r="C191" s="25" t="s">
        <v>468</v>
      </c>
      <c r="D191" s="26" t="s">
        <v>471</v>
      </c>
      <c r="E191" s="24" t="s">
        <v>472</v>
      </c>
      <c r="F191" s="24" t="s">
        <v>5</v>
      </c>
      <c r="G191" s="12"/>
      <c r="H191" s="13"/>
      <c r="I191" s="13"/>
      <c r="J191" s="13"/>
      <c r="K191" s="13"/>
      <c r="L191" s="30"/>
      <c r="M191" s="31"/>
    </row>
    <row r="192" spans="1:13">
      <c r="A192" s="7" t="e">
        <f t="shared" si="20"/>
        <v>#REF!</v>
      </c>
      <c r="B192" s="24" t="s">
        <v>467</v>
      </c>
      <c r="C192" s="25" t="s">
        <v>468</v>
      </c>
      <c r="D192" s="26" t="s">
        <v>473</v>
      </c>
      <c r="E192" s="50" t="s">
        <v>474</v>
      </c>
      <c r="F192" s="50" t="s">
        <v>2</v>
      </c>
      <c r="G192" s="51"/>
      <c r="H192" s="34"/>
      <c r="I192" s="34">
        <v>20</v>
      </c>
      <c r="J192" s="34"/>
      <c r="K192" s="34"/>
      <c r="L192" s="30">
        <f t="shared" ref="L192:L200" si="29">20-H192-I192</f>
        <v>0</v>
      </c>
      <c r="M192" s="31">
        <f t="shared" si="24"/>
        <v>0</v>
      </c>
    </row>
    <row r="193" spans="1:35">
      <c r="A193" s="7" t="e">
        <f t="shared" si="20"/>
        <v>#REF!</v>
      </c>
      <c r="B193" s="24" t="s">
        <v>467</v>
      </c>
      <c r="C193" s="25" t="s">
        <v>468</v>
      </c>
      <c r="D193" s="26" t="s">
        <v>475</v>
      </c>
      <c r="E193" s="24" t="s">
        <v>476</v>
      </c>
      <c r="F193" s="24" t="s">
        <v>3</v>
      </c>
      <c r="G193" s="12"/>
      <c r="H193" s="13"/>
      <c r="I193" s="13">
        <v>3</v>
      </c>
      <c r="J193" s="13"/>
      <c r="K193" s="13"/>
      <c r="L193" s="30">
        <f t="shared" si="29"/>
        <v>17</v>
      </c>
      <c r="M193" s="31">
        <f t="shared" si="24"/>
        <v>0.8</v>
      </c>
    </row>
    <row r="194" spans="1:35">
      <c r="A194" s="7" t="e">
        <f t="shared" si="20"/>
        <v>#REF!</v>
      </c>
      <c r="B194" s="50" t="s">
        <v>467</v>
      </c>
      <c r="C194" s="49" t="s">
        <v>468</v>
      </c>
      <c r="D194" s="70" t="s">
        <v>477</v>
      </c>
      <c r="E194" s="50" t="s">
        <v>478</v>
      </c>
      <c r="F194" s="50" t="s">
        <v>4</v>
      </c>
      <c r="G194" s="51" t="s">
        <v>63</v>
      </c>
      <c r="H194" s="34">
        <v>20</v>
      </c>
      <c r="I194" s="34"/>
      <c r="J194" s="34"/>
      <c r="K194" s="34"/>
      <c r="L194" s="30">
        <f t="shared" si="29"/>
        <v>0</v>
      </c>
      <c r="M194" s="31">
        <f t="shared" si="24"/>
        <v>0</v>
      </c>
    </row>
    <row r="195" spans="1:35">
      <c r="A195" s="7" t="e">
        <f t="shared" si="20"/>
        <v>#REF!</v>
      </c>
      <c r="B195" s="24" t="s">
        <v>467</v>
      </c>
      <c r="C195" s="25" t="s">
        <v>468</v>
      </c>
      <c r="D195" s="26" t="s">
        <v>479</v>
      </c>
      <c r="E195" s="24" t="s">
        <v>480</v>
      </c>
      <c r="F195" s="24" t="s">
        <v>4</v>
      </c>
      <c r="G195" s="12"/>
      <c r="H195" s="13"/>
      <c r="I195" s="13">
        <v>0</v>
      </c>
      <c r="J195" s="13"/>
      <c r="K195" s="13"/>
      <c r="L195" s="30">
        <f t="shared" si="29"/>
        <v>20</v>
      </c>
      <c r="M195" s="31">
        <f t="shared" si="24"/>
        <v>1</v>
      </c>
    </row>
    <row r="196" spans="1:35">
      <c r="A196" s="7" t="e">
        <f t="shared" ref="A196:A200" si="30">1+A195</f>
        <v>#REF!</v>
      </c>
      <c r="B196" s="24" t="s">
        <v>467</v>
      </c>
      <c r="C196" s="25" t="s">
        <v>468</v>
      </c>
      <c r="D196" s="26" t="s">
        <v>481</v>
      </c>
      <c r="E196" s="24" t="s">
        <v>482</v>
      </c>
      <c r="F196" s="24" t="s">
        <v>5</v>
      </c>
      <c r="G196" s="12"/>
      <c r="H196" s="13"/>
      <c r="I196" s="13">
        <v>2</v>
      </c>
      <c r="J196" s="13"/>
      <c r="K196" s="13"/>
      <c r="L196" s="30">
        <f t="shared" si="29"/>
        <v>18</v>
      </c>
      <c r="M196" s="31">
        <f t="shared" si="24"/>
        <v>0.9</v>
      </c>
    </row>
    <row r="197" spans="1:35">
      <c r="A197" s="7" t="e">
        <f t="shared" si="30"/>
        <v>#REF!</v>
      </c>
      <c r="B197" s="71" t="s">
        <v>467</v>
      </c>
      <c r="C197" s="25" t="s">
        <v>468</v>
      </c>
      <c r="D197" s="72" t="s">
        <v>483</v>
      </c>
      <c r="E197" s="73" t="s">
        <v>484</v>
      </c>
      <c r="F197" s="71" t="s">
        <v>4</v>
      </c>
      <c r="G197" s="12"/>
      <c r="H197" s="13"/>
      <c r="I197" s="13">
        <v>17</v>
      </c>
      <c r="J197" s="13"/>
      <c r="K197" s="13"/>
      <c r="L197" s="30">
        <f t="shared" si="29"/>
        <v>3</v>
      </c>
      <c r="M197" s="31">
        <f t="shared" si="24"/>
        <v>0.1</v>
      </c>
    </row>
    <row r="198" spans="1:35">
      <c r="A198" s="7" t="e">
        <f t="shared" si="30"/>
        <v>#REF!</v>
      </c>
      <c r="B198" s="24" t="s">
        <v>467</v>
      </c>
      <c r="C198" s="25" t="s">
        <v>468</v>
      </c>
      <c r="D198" s="54" t="s">
        <v>485</v>
      </c>
      <c r="E198" s="38" t="s">
        <v>486</v>
      </c>
      <c r="F198" s="24" t="s">
        <v>3</v>
      </c>
      <c r="G198" s="12"/>
      <c r="H198" s="13"/>
      <c r="I198" s="13">
        <v>0</v>
      </c>
      <c r="J198" s="13"/>
      <c r="K198" s="13"/>
      <c r="L198" s="30">
        <f t="shared" si="29"/>
        <v>20</v>
      </c>
      <c r="M198" s="31">
        <f t="shared" si="24"/>
        <v>1</v>
      </c>
    </row>
    <row r="199" spans="1:35">
      <c r="A199" s="7" t="e">
        <f t="shared" si="30"/>
        <v>#REF!</v>
      </c>
      <c r="B199" s="24" t="s">
        <v>467</v>
      </c>
      <c r="C199" s="25" t="s">
        <v>468</v>
      </c>
      <c r="D199" s="26" t="s">
        <v>487</v>
      </c>
      <c r="E199" s="24" t="s">
        <v>488</v>
      </c>
      <c r="F199" s="24" t="s">
        <v>2</v>
      </c>
      <c r="G199" s="12"/>
      <c r="H199" s="13"/>
      <c r="I199" s="13">
        <v>0</v>
      </c>
      <c r="J199" s="13"/>
      <c r="K199" s="13"/>
      <c r="L199" s="30">
        <f t="shared" si="29"/>
        <v>20</v>
      </c>
      <c r="M199" s="31">
        <f t="shared" si="24"/>
        <v>1</v>
      </c>
    </row>
    <row r="200" spans="1:35">
      <c r="A200" s="7" t="e">
        <f t="shared" si="30"/>
        <v>#REF!</v>
      </c>
      <c r="B200" s="24" t="s">
        <v>467</v>
      </c>
      <c r="C200" s="25" t="s">
        <v>468</v>
      </c>
      <c r="D200" s="26" t="s">
        <v>489</v>
      </c>
      <c r="E200" s="74" t="s">
        <v>490</v>
      </c>
      <c r="F200" s="24"/>
      <c r="G200" s="12"/>
      <c r="H200" s="13"/>
      <c r="I200" s="13">
        <v>0</v>
      </c>
      <c r="J200" s="13"/>
      <c r="K200" s="13"/>
      <c r="L200" s="30">
        <f t="shared" si="29"/>
        <v>20</v>
      </c>
      <c r="M200" s="31">
        <f t="shared" si="24"/>
        <v>1</v>
      </c>
    </row>
    <row r="201" spans="1:35" s="14" customFormat="1" ht="15" customHeight="1">
      <c r="A201" s="7" t="e">
        <f>1+#REF!</f>
        <v>#REF!</v>
      </c>
      <c r="B201" s="75" t="s">
        <v>24</v>
      </c>
      <c r="C201" s="9" t="s">
        <v>25</v>
      </c>
      <c r="D201" s="10" t="s">
        <v>26</v>
      </c>
      <c r="E201" s="76" t="s">
        <v>27</v>
      </c>
      <c r="F201" s="8" t="s">
        <v>7</v>
      </c>
      <c r="G201" s="12"/>
      <c r="H201" s="13"/>
      <c r="I201" s="13"/>
      <c r="J201" s="13"/>
      <c r="K201" s="13"/>
      <c r="L201" s="30"/>
      <c r="M201" s="3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</row>
    <row r="202" spans="1:35">
      <c r="A202" s="7" t="e">
        <f t="shared" ref="A202:A263" si="31">1+A201</f>
        <v>#REF!</v>
      </c>
      <c r="B202" s="16" t="s">
        <v>28</v>
      </c>
      <c r="C202" s="16" t="s">
        <v>29</v>
      </c>
      <c r="D202" s="77" t="s">
        <v>30</v>
      </c>
      <c r="E202" s="15" t="s">
        <v>31</v>
      </c>
      <c r="F202" s="15" t="s">
        <v>8</v>
      </c>
      <c r="G202" s="68"/>
      <c r="H202" s="68"/>
      <c r="I202" s="68"/>
      <c r="J202" s="68"/>
      <c r="K202" s="68"/>
      <c r="L202" s="78"/>
      <c r="M202" s="13"/>
    </row>
    <row r="203" spans="1:35" ht="15" customHeight="1">
      <c r="A203" s="7" t="e">
        <f t="shared" si="31"/>
        <v>#REF!</v>
      </c>
      <c r="B203" s="24" t="s">
        <v>94</v>
      </c>
      <c r="C203" s="25" t="s">
        <v>95</v>
      </c>
      <c r="D203" s="26" t="s">
        <v>491</v>
      </c>
      <c r="E203" s="37" t="s">
        <v>492</v>
      </c>
      <c r="F203" s="24" t="s">
        <v>6</v>
      </c>
      <c r="G203" s="12"/>
      <c r="H203" s="13">
        <v>5</v>
      </c>
      <c r="I203" s="13"/>
      <c r="J203" s="13"/>
      <c r="K203" s="13"/>
      <c r="L203" s="30">
        <f>20-H203-I203</f>
        <v>15</v>
      </c>
      <c r="M203" s="31">
        <f t="shared" ref="M203:M205" si="32">ROUND(+L203/21,1)</f>
        <v>0.7</v>
      </c>
    </row>
    <row r="204" spans="1:35" ht="15" customHeight="1">
      <c r="A204" s="7" t="e">
        <f t="shared" si="31"/>
        <v>#REF!</v>
      </c>
      <c r="B204" s="24" t="s">
        <v>94</v>
      </c>
      <c r="C204" s="25" t="s">
        <v>95</v>
      </c>
      <c r="D204" s="26" t="s">
        <v>493</v>
      </c>
      <c r="E204" s="42" t="s">
        <v>494</v>
      </c>
      <c r="F204" s="24" t="s">
        <v>6</v>
      </c>
      <c r="G204" s="12"/>
      <c r="H204" s="13">
        <v>7</v>
      </c>
      <c r="I204" s="13"/>
      <c r="J204" s="13"/>
      <c r="K204" s="13"/>
      <c r="L204" s="30">
        <f>20-H204-I204</f>
        <v>13</v>
      </c>
      <c r="M204" s="31">
        <f t="shared" si="32"/>
        <v>0.6</v>
      </c>
    </row>
    <row r="205" spans="1:35" ht="15" customHeight="1">
      <c r="A205" s="7" t="e">
        <f t="shared" si="31"/>
        <v>#REF!</v>
      </c>
      <c r="B205" s="24" t="s">
        <v>217</v>
      </c>
      <c r="C205" s="25" t="s">
        <v>218</v>
      </c>
      <c r="D205" s="26" t="s">
        <v>221</v>
      </c>
      <c r="E205" s="24" t="s">
        <v>222</v>
      </c>
      <c r="F205" s="24" t="s">
        <v>2</v>
      </c>
      <c r="G205" s="12"/>
      <c r="H205" s="13">
        <v>9</v>
      </c>
      <c r="I205" s="13"/>
      <c r="J205" s="13"/>
      <c r="K205" s="13"/>
      <c r="L205" s="30">
        <f>20-H205-I205</f>
        <v>11</v>
      </c>
      <c r="M205" s="31">
        <f t="shared" si="32"/>
        <v>0.5</v>
      </c>
    </row>
    <row r="206" spans="1:35" ht="15" customHeight="1">
      <c r="A206" s="7" t="e">
        <f>1+A202</f>
        <v>#REF!</v>
      </c>
      <c r="B206" s="20" t="s">
        <v>32</v>
      </c>
      <c r="C206" s="20" t="s">
        <v>33</v>
      </c>
      <c r="D206" s="21" t="s">
        <v>34</v>
      </c>
      <c r="E206" s="19" t="s">
        <v>35</v>
      </c>
      <c r="F206" s="19" t="s">
        <v>10</v>
      </c>
      <c r="G206" s="68"/>
      <c r="H206" s="68"/>
      <c r="I206" s="68"/>
      <c r="J206" s="68"/>
      <c r="K206" s="68"/>
      <c r="L206" s="30"/>
      <c r="M206" s="31"/>
    </row>
    <row r="207" spans="1:35" ht="15" customHeight="1">
      <c r="A207" s="7" t="e">
        <f t="shared" si="31"/>
        <v>#REF!</v>
      </c>
      <c r="B207" s="24" t="s">
        <v>32</v>
      </c>
      <c r="C207" s="25" t="s">
        <v>33</v>
      </c>
      <c r="D207" s="26" t="s">
        <v>495</v>
      </c>
      <c r="E207" s="24" t="s">
        <v>496</v>
      </c>
      <c r="F207" s="24" t="s">
        <v>2</v>
      </c>
      <c r="G207" s="68"/>
      <c r="H207" s="68"/>
      <c r="I207" s="68"/>
      <c r="J207" s="68"/>
      <c r="K207" s="68"/>
      <c r="L207" s="30"/>
      <c r="M207" s="31"/>
    </row>
    <row r="208" spans="1:35">
      <c r="A208" s="7" t="e">
        <f>1+A223</f>
        <v>#REF!</v>
      </c>
      <c r="B208" s="24" t="s">
        <v>32</v>
      </c>
      <c r="C208" s="25" t="s">
        <v>33</v>
      </c>
      <c r="D208" s="26" t="s">
        <v>497</v>
      </c>
      <c r="E208" s="24" t="s">
        <v>498</v>
      </c>
      <c r="F208" s="24" t="s">
        <v>5</v>
      </c>
      <c r="G208" s="68"/>
      <c r="H208" s="68"/>
      <c r="I208" s="68"/>
      <c r="J208" s="68"/>
      <c r="K208" s="68"/>
      <c r="L208" s="30">
        <f>20-H208-I208</f>
        <v>20</v>
      </c>
      <c r="M208" s="31">
        <f t="shared" ref="M208:M263" si="33">ROUND(+L208/21,1)</f>
        <v>1</v>
      </c>
    </row>
    <row r="209" spans="1:13">
      <c r="A209" s="7" t="e">
        <f t="shared" si="31"/>
        <v>#REF!</v>
      </c>
      <c r="B209" s="24" t="s">
        <v>32</v>
      </c>
      <c r="C209" s="25" t="s">
        <v>33</v>
      </c>
      <c r="D209" s="26" t="s">
        <v>499</v>
      </c>
      <c r="E209" s="24" t="s">
        <v>500</v>
      </c>
      <c r="F209" s="24" t="s">
        <v>2</v>
      </c>
      <c r="G209" s="68"/>
      <c r="H209" s="68"/>
      <c r="I209" s="68"/>
      <c r="J209" s="68"/>
      <c r="K209" s="68"/>
      <c r="L209" s="30">
        <f>20-H209-I209</f>
        <v>20</v>
      </c>
      <c r="M209" s="31">
        <f t="shared" si="33"/>
        <v>1</v>
      </c>
    </row>
    <row r="210" spans="1:13">
      <c r="A210" s="7" t="e">
        <f t="shared" si="31"/>
        <v>#REF!</v>
      </c>
      <c r="B210" s="24" t="s">
        <v>32</v>
      </c>
      <c r="C210" s="25" t="s">
        <v>33</v>
      </c>
      <c r="D210" s="26" t="s">
        <v>501</v>
      </c>
      <c r="E210" s="24" t="s">
        <v>502</v>
      </c>
      <c r="F210" s="24" t="s">
        <v>5</v>
      </c>
      <c r="G210" s="68"/>
      <c r="H210" s="68"/>
      <c r="I210" s="68">
        <v>15</v>
      </c>
      <c r="J210" s="68"/>
      <c r="K210" s="68"/>
      <c r="L210" s="30">
        <f>20-H210-I210</f>
        <v>5</v>
      </c>
      <c r="M210" s="31">
        <f t="shared" si="33"/>
        <v>0.2</v>
      </c>
    </row>
    <row r="211" spans="1:13">
      <c r="A211" s="7" t="e">
        <f>1+A233</f>
        <v>#REF!</v>
      </c>
      <c r="B211" s="24" t="s">
        <v>32</v>
      </c>
      <c r="C211" s="25" t="s">
        <v>33</v>
      </c>
      <c r="D211" s="26" t="s">
        <v>503</v>
      </c>
      <c r="E211" s="25" t="s">
        <v>504</v>
      </c>
      <c r="F211" s="24" t="s">
        <v>2</v>
      </c>
      <c r="G211" s="61"/>
      <c r="H211" s="68"/>
      <c r="I211" s="68"/>
      <c r="J211" s="68"/>
      <c r="K211" s="68"/>
      <c r="L211" s="30">
        <f>20-H211-I211</f>
        <v>20</v>
      </c>
      <c r="M211" s="31">
        <f t="shared" si="33"/>
        <v>1</v>
      </c>
    </row>
    <row r="212" spans="1:13">
      <c r="A212" s="7" t="e">
        <f t="shared" si="31"/>
        <v>#REF!</v>
      </c>
      <c r="B212" s="24" t="s">
        <v>32</v>
      </c>
      <c r="C212" s="25" t="s">
        <v>33</v>
      </c>
      <c r="D212" s="61" t="s">
        <v>505</v>
      </c>
      <c r="E212" s="63" t="s">
        <v>506</v>
      </c>
      <c r="F212" s="24" t="s">
        <v>2</v>
      </c>
      <c r="G212" s="61"/>
      <c r="H212" s="68"/>
      <c r="I212" s="68"/>
      <c r="J212" s="68"/>
      <c r="K212" s="68"/>
      <c r="L212" s="30">
        <f>20-H212-I212</f>
        <v>20</v>
      </c>
      <c r="M212" s="31">
        <f t="shared" si="33"/>
        <v>1</v>
      </c>
    </row>
    <row r="213" spans="1:13">
      <c r="A213" s="7" t="e">
        <f t="shared" si="31"/>
        <v>#REF!</v>
      </c>
      <c r="B213" s="20" t="s">
        <v>36</v>
      </c>
      <c r="C213" s="20" t="s">
        <v>37</v>
      </c>
      <c r="D213" s="21" t="s">
        <v>38</v>
      </c>
      <c r="E213" s="19" t="s">
        <v>39</v>
      </c>
      <c r="F213" s="19" t="s">
        <v>10</v>
      </c>
      <c r="G213" s="68"/>
      <c r="H213" s="68"/>
      <c r="I213" s="68"/>
      <c r="J213" s="68"/>
      <c r="K213" s="68"/>
      <c r="L213" s="30"/>
      <c r="M213" s="31"/>
    </row>
    <row r="214" spans="1:13">
      <c r="A214" s="7" t="e">
        <f t="shared" si="31"/>
        <v>#REF!</v>
      </c>
      <c r="B214" s="24" t="s">
        <v>36</v>
      </c>
      <c r="C214" s="25" t="s">
        <v>37</v>
      </c>
      <c r="D214" s="26" t="s">
        <v>507</v>
      </c>
      <c r="E214" s="24" t="s">
        <v>508</v>
      </c>
      <c r="F214" s="24" t="s">
        <v>3</v>
      </c>
      <c r="G214" s="61"/>
      <c r="H214" s="61"/>
      <c r="I214" s="61">
        <v>19</v>
      </c>
      <c r="J214" s="61"/>
      <c r="K214" s="61"/>
      <c r="L214" s="30">
        <f t="shared" ref="L214:L224" si="34">20-H214-I214</f>
        <v>1</v>
      </c>
      <c r="M214" s="31">
        <f t="shared" si="33"/>
        <v>0</v>
      </c>
    </row>
    <row r="215" spans="1:13">
      <c r="A215" s="7" t="e">
        <f t="shared" si="31"/>
        <v>#REF!</v>
      </c>
      <c r="B215" s="24" t="s">
        <v>36</v>
      </c>
      <c r="C215" s="25" t="s">
        <v>37</v>
      </c>
      <c r="D215" s="26" t="s">
        <v>509</v>
      </c>
      <c r="E215" s="24" t="s">
        <v>510</v>
      </c>
      <c r="F215" s="24" t="s">
        <v>3</v>
      </c>
      <c r="G215" s="61"/>
      <c r="H215" s="61"/>
      <c r="I215" s="61">
        <v>0</v>
      </c>
      <c r="J215" s="61"/>
      <c r="K215" s="61"/>
      <c r="L215" s="30">
        <f t="shared" si="34"/>
        <v>20</v>
      </c>
      <c r="M215" s="31">
        <f t="shared" si="33"/>
        <v>1</v>
      </c>
    </row>
    <row r="216" spans="1:13">
      <c r="A216" s="7" t="e">
        <f t="shared" si="31"/>
        <v>#REF!</v>
      </c>
      <c r="B216" s="24" t="s">
        <v>36</v>
      </c>
      <c r="C216" s="25" t="s">
        <v>37</v>
      </c>
      <c r="D216" s="26" t="s">
        <v>511</v>
      </c>
      <c r="E216" s="24" t="s">
        <v>512</v>
      </c>
      <c r="F216" s="24" t="s">
        <v>5</v>
      </c>
      <c r="G216" s="61"/>
      <c r="H216" s="61"/>
      <c r="I216" s="61"/>
      <c r="J216" s="61"/>
      <c r="K216" s="61"/>
      <c r="L216" s="30">
        <f t="shared" si="34"/>
        <v>20</v>
      </c>
      <c r="M216" s="31">
        <f t="shared" si="33"/>
        <v>1</v>
      </c>
    </row>
    <row r="217" spans="1:13">
      <c r="A217" s="7" t="e">
        <f>1+A234</f>
        <v>#REF!</v>
      </c>
      <c r="B217" s="24" t="s">
        <v>36</v>
      </c>
      <c r="C217" s="25" t="s">
        <v>37</v>
      </c>
      <c r="D217" s="26" t="s">
        <v>513</v>
      </c>
      <c r="E217" s="24" t="s">
        <v>514</v>
      </c>
      <c r="F217" s="24" t="s">
        <v>6</v>
      </c>
      <c r="G217" s="61"/>
      <c r="H217" s="61"/>
      <c r="I217" s="61"/>
      <c r="J217" s="61"/>
      <c r="K217" s="61"/>
      <c r="L217" s="30">
        <f t="shared" si="34"/>
        <v>20</v>
      </c>
      <c r="M217" s="31">
        <f t="shared" si="33"/>
        <v>1</v>
      </c>
    </row>
    <row r="218" spans="1:13">
      <c r="A218" s="7" t="e">
        <f t="shared" si="31"/>
        <v>#REF!</v>
      </c>
      <c r="B218" s="42" t="s">
        <v>36</v>
      </c>
      <c r="C218" s="25" t="s">
        <v>37</v>
      </c>
      <c r="D218" s="26" t="s">
        <v>54</v>
      </c>
      <c r="E218" s="24" t="s">
        <v>55</v>
      </c>
      <c r="F218" s="24" t="s">
        <v>4</v>
      </c>
      <c r="G218" s="61"/>
      <c r="H218" s="68">
        <v>20</v>
      </c>
      <c r="I218" s="68"/>
      <c r="J218" s="68"/>
      <c r="K218" s="68"/>
      <c r="L218" s="30">
        <f t="shared" si="34"/>
        <v>0</v>
      </c>
      <c r="M218" s="31">
        <f t="shared" si="33"/>
        <v>0</v>
      </c>
    </row>
    <row r="219" spans="1:13">
      <c r="A219" s="7" t="e">
        <f>1+#REF!</f>
        <v>#REF!</v>
      </c>
      <c r="B219" s="24" t="s">
        <v>515</v>
      </c>
      <c r="C219" s="25" t="s">
        <v>37</v>
      </c>
      <c r="D219" s="26" t="s">
        <v>516</v>
      </c>
      <c r="E219" s="24" t="s">
        <v>517</v>
      </c>
      <c r="F219" s="24" t="s">
        <v>2</v>
      </c>
      <c r="G219" s="68"/>
      <c r="H219" s="68"/>
      <c r="I219" s="61">
        <v>14</v>
      </c>
      <c r="J219" s="61"/>
      <c r="K219" s="61"/>
      <c r="L219" s="30">
        <f t="shared" si="34"/>
        <v>6</v>
      </c>
      <c r="M219" s="31">
        <f t="shared" si="33"/>
        <v>0.3</v>
      </c>
    </row>
    <row r="220" spans="1:13">
      <c r="A220" s="7" t="e">
        <f t="shared" si="31"/>
        <v>#REF!</v>
      </c>
      <c r="B220" s="24" t="s">
        <v>44</v>
      </c>
      <c r="C220" s="25" t="s">
        <v>37</v>
      </c>
      <c r="D220" s="26" t="s">
        <v>518</v>
      </c>
      <c r="E220" s="25" t="s">
        <v>519</v>
      </c>
      <c r="F220" s="24" t="s">
        <v>2</v>
      </c>
      <c r="G220" s="68"/>
      <c r="H220" s="68"/>
      <c r="I220" s="61"/>
      <c r="J220" s="61"/>
      <c r="K220" s="61"/>
      <c r="L220" s="30">
        <f t="shared" si="34"/>
        <v>20</v>
      </c>
      <c r="M220" s="31">
        <f t="shared" si="33"/>
        <v>1</v>
      </c>
    </row>
    <row r="221" spans="1:13">
      <c r="A221" s="7" t="e">
        <f t="shared" si="31"/>
        <v>#REF!</v>
      </c>
      <c r="B221" s="24" t="s">
        <v>40</v>
      </c>
      <c r="C221" s="25" t="s">
        <v>37</v>
      </c>
      <c r="D221" s="26" t="s">
        <v>520</v>
      </c>
      <c r="E221" s="25" t="s">
        <v>521</v>
      </c>
      <c r="F221" s="24" t="s">
        <v>2</v>
      </c>
      <c r="G221" s="68"/>
      <c r="H221" s="68"/>
      <c r="I221" s="68">
        <v>19</v>
      </c>
      <c r="J221" s="68"/>
      <c r="K221" s="68"/>
      <c r="L221" s="30">
        <f t="shared" si="34"/>
        <v>1</v>
      </c>
      <c r="M221" s="31">
        <f t="shared" si="33"/>
        <v>0</v>
      </c>
    </row>
    <row r="222" spans="1:13">
      <c r="A222" s="7" t="e">
        <f t="shared" si="31"/>
        <v>#REF!</v>
      </c>
      <c r="B222" s="24" t="s">
        <v>40</v>
      </c>
      <c r="C222" s="25" t="s">
        <v>37</v>
      </c>
      <c r="D222" s="61" t="s">
        <v>408</v>
      </c>
      <c r="E222" s="63" t="s">
        <v>522</v>
      </c>
      <c r="F222" s="24" t="s">
        <v>2</v>
      </c>
      <c r="G222" s="68"/>
      <c r="H222" s="68"/>
      <c r="I222" s="68"/>
      <c r="J222" s="68"/>
      <c r="K222" s="68"/>
      <c r="L222" s="30">
        <f t="shared" si="34"/>
        <v>20</v>
      </c>
      <c r="M222" s="31">
        <f t="shared" si="33"/>
        <v>1</v>
      </c>
    </row>
    <row r="223" spans="1:13">
      <c r="A223" s="7" t="e">
        <f>1+A232</f>
        <v>#REF!</v>
      </c>
      <c r="B223" s="24" t="s">
        <v>32</v>
      </c>
      <c r="C223" s="25" t="s">
        <v>33</v>
      </c>
      <c r="D223" s="26" t="s">
        <v>523</v>
      </c>
      <c r="E223" s="24" t="s">
        <v>524</v>
      </c>
      <c r="F223" s="24" t="s">
        <v>2</v>
      </c>
      <c r="G223" s="61"/>
      <c r="H223" s="68"/>
      <c r="I223" s="68"/>
      <c r="J223" s="68"/>
      <c r="K223" s="68"/>
      <c r="L223" s="30">
        <f t="shared" si="34"/>
        <v>20</v>
      </c>
      <c r="M223" s="31">
        <f t="shared" si="33"/>
        <v>1</v>
      </c>
    </row>
    <row r="224" spans="1:13">
      <c r="A224" s="7" t="e">
        <f t="shared" ref="A224" si="35">1+A223</f>
        <v>#REF!</v>
      </c>
      <c r="B224" s="24" t="s">
        <v>297</v>
      </c>
      <c r="C224" s="25" t="s">
        <v>122</v>
      </c>
      <c r="D224" s="26" t="s">
        <v>306</v>
      </c>
      <c r="E224" s="24" t="s">
        <v>307</v>
      </c>
      <c r="F224" s="24" t="s">
        <v>3</v>
      </c>
      <c r="G224" s="12"/>
      <c r="H224" s="13"/>
      <c r="I224" s="13"/>
      <c r="J224" s="13"/>
      <c r="K224" s="13"/>
      <c r="L224" s="30">
        <f t="shared" si="34"/>
        <v>20</v>
      </c>
      <c r="M224" s="31">
        <f t="shared" si="33"/>
        <v>1</v>
      </c>
    </row>
    <row r="225" spans="1:13">
      <c r="A225" s="7" t="e">
        <f>1+A222</f>
        <v>#REF!</v>
      </c>
      <c r="B225" s="20" t="s">
        <v>40</v>
      </c>
      <c r="C225" s="20" t="s">
        <v>41</v>
      </c>
      <c r="D225" s="21" t="s">
        <v>42</v>
      </c>
      <c r="E225" s="19" t="s">
        <v>43</v>
      </c>
      <c r="F225" s="19" t="s">
        <v>10</v>
      </c>
      <c r="G225" s="61"/>
      <c r="H225" s="61"/>
      <c r="I225" s="61"/>
      <c r="J225" s="61"/>
      <c r="K225" s="61"/>
      <c r="L225" s="30"/>
      <c r="M225" s="31"/>
    </row>
    <row r="226" spans="1:13">
      <c r="A226" s="7" t="e">
        <f t="shared" si="31"/>
        <v>#REF!</v>
      </c>
      <c r="B226" s="42" t="s">
        <v>36</v>
      </c>
      <c r="C226" s="25" t="s">
        <v>37</v>
      </c>
      <c r="D226" s="79" t="s">
        <v>525</v>
      </c>
      <c r="E226" s="24" t="s">
        <v>526</v>
      </c>
      <c r="F226" s="24" t="s">
        <v>4</v>
      </c>
      <c r="G226" s="61"/>
      <c r="H226" s="61"/>
      <c r="I226" s="68">
        <v>18</v>
      </c>
      <c r="J226" s="68"/>
      <c r="K226" s="68"/>
      <c r="L226" s="30">
        <f t="shared" ref="L226:L236" si="36">20-H226-I226</f>
        <v>2</v>
      </c>
      <c r="M226" s="31">
        <f t="shared" si="33"/>
        <v>0.1</v>
      </c>
    </row>
    <row r="227" spans="1:13">
      <c r="A227" s="7" t="e">
        <f t="shared" si="31"/>
        <v>#REF!</v>
      </c>
      <c r="B227" s="24" t="s">
        <v>36</v>
      </c>
      <c r="C227" s="25" t="s">
        <v>33</v>
      </c>
      <c r="D227" s="26" t="s">
        <v>527</v>
      </c>
      <c r="E227" s="24" t="s">
        <v>528</v>
      </c>
      <c r="F227" s="24" t="s">
        <v>2</v>
      </c>
      <c r="G227" s="68"/>
      <c r="H227" s="68"/>
      <c r="I227" s="68"/>
      <c r="J227" s="68"/>
      <c r="K227" s="68"/>
      <c r="L227" s="30">
        <f t="shared" si="36"/>
        <v>20</v>
      </c>
      <c r="M227" s="31">
        <f t="shared" si="33"/>
        <v>1</v>
      </c>
    </row>
    <row r="228" spans="1:13">
      <c r="A228" s="7" t="e">
        <f t="shared" si="31"/>
        <v>#REF!</v>
      </c>
      <c r="B228" s="24" t="s">
        <v>40</v>
      </c>
      <c r="C228" s="25" t="s">
        <v>41</v>
      </c>
      <c r="D228" s="26" t="s">
        <v>529</v>
      </c>
      <c r="E228" s="24" t="s">
        <v>530</v>
      </c>
      <c r="F228" s="24" t="s">
        <v>1</v>
      </c>
      <c r="G228" s="68"/>
      <c r="H228" s="68"/>
      <c r="I228" s="68"/>
      <c r="J228" s="68"/>
      <c r="K228" s="68"/>
      <c r="L228" s="30">
        <f t="shared" si="36"/>
        <v>20</v>
      </c>
      <c r="M228" s="31">
        <f t="shared" si="33"/>
        <v>1</v>
      </c>
    </row>
    <row r="229" spans="1:13">
      <c r="A229" s="7" t="e">
        <f t="shared" si="31"/>
        <v>#REF!</v>
      </c>
      <c r="B229" s="24" t="s">
        <v>44</v>
      </c>
      <c r="C229" s="25" t="s">
        <v>45</v>
      </c>
      <c r="D229" s="26" t="s">
        <v>531</v>
      </c>
      <c r="E229" s="24" t="s">
        <v>532</v>
      </c>
      <c r="F229" s="24" t="s">
        <v>2</v>
      </c>
      <c r="G229" s="61"/>
      <c r="H229" s="61"/>
      <c r="I229" s="61"/>
      <c r="J229" s="61"/>
      <c r="K229" s="61"/>
      <c r="L229" s="30">
        <f t="shared" si="36"/>
        <v>20</v>
      </c>
      <c r="M229" s="31">
        <f t="shared" si="33"/>
        <v>1</v>
      </c>
    </row>
    <row r="230" spans="1:13">
      <c r="A230" s="7" t="e">
        <f t="shared" si="31"/>
        <v>#REF!</v>
      </c>
      <c r="B230" s="24" t="s">
        <v>44</v>
      </c>
      <c r="C230" s="25" t="s">
        <v>45</v>
      </c>
      <c r="D230" s="26" t="s">
        <v>533</v>
      </c>
      <c r="E230" s="24" t="s">
        <v>534</v>
      </c>
      <c r="F230" s="24" t="s">
        <v>2</v>
      </c>
      <c r="G230" s="61"/>
      <c r="H230" s="61"/>
      <c r="I230" s="68">
        <v>15</v>
      </c>
      <c r="J230" s="68"/>
      <c r="K230" s="68"/>
      <c r="L230" s="30">
        <f t="shared" si="36"/>
        <v>5</v>
      </c>
      <c r="M230" s="31">
        <f t="shared" si="33"/>
        <v>0.2</v>
      </c>
    </row>
    <row r="231" spans="1:13">
      <c r="A231" s="7" t="e">
        <f t="shared" si="31"/>
        <v>#REF!</v>
      </c>
      <c r="B231" s="24" t="s">
        <v>44</v>
      </c>
      <c r="C231" s="25" t="s">
        <v>45</v>
      </c>
      <c r="D231" s="26" t="s">
        <v>535</v>
      </c>
      <c r="E231" s="24" t="s">
        <v>536</v>
      </c>
      <c r="F231" s="24" t="s">
        <v>2</v>
      </c>
      <c r="G231" s="61"/>
      <c r="H231" s="61"/>
      <c r="I231" s="61"/>
      <c r="J231" s="61"/>
      <c r="K231" s="61"/>
      <c r="L231" s="30">
        <f t="shared" si="36"/>
        <v>20</v>
      </c>
      <c r="M231" s="31">
        <f t="shared" si="33"/>
        <v>1</v>
      </c>
    </row>
    <row r="232" spans="1:13" ht="15" customHeight="1">
      <c r="A232" s="7" t="e">
        <f>1+A207</f>
        <v>#REF!</v>
      </c>
      <c r="B232" s="24" t="s">
        <v>32</v>
      </c>
      <c r="C232" s="25" t="s">
        <v>33</v>
      </c>
      <c r="D232" s="26" t="s">
        <v>537</v>
      </c>
      <c r="E232" s="24" t="s">
        <v>538</v>
      </c>
      <c r="F232" s="24" t="s">
        <v>2</v>
      </c>
      <c r="G232" s="61"/>
      <c r="H232" s="61"/>
      <c r="I232" s="68"/>
      <c r="J232" s="68"/>
      <c r="K232" s="68"/>
      <c r="L232" s="30">
        <f t="shared" si="36"/>
        <v>20</v>
      </c>
      <c r="M232" s="31">
        <f t="shared" si="33"/>
        <v>1</v>
      </c>
    </row>
    <row r="233" spans="1:13">
      <c r="A233" s="7" t="e">
        <f>1+A210</f>
        <v>#REF!</v>
      </c>
      <c r="B233" s="24" t="s">
        <v>32</v>
      </c>
      <c r="C233" s="25" t="s">
        <v>33</v>
      </c>
      <c r="D233" s="26" t="s">
        <v>539</v>
      </c>
      <c r="E233" s="24" t="s">
        <v>540</v>
      </c>
      <c r="F233" s="24" t="s">
        <v>2</v>
      </c>
      <c r="G233" s="61"/>
      <c r="H233" s="68"/>
      <c r="I233" s="68">
        <v>15</v>
      </c>
      <c r="J233" s="68"/>
      <c r="K233" s="68"/>
      <c r="L233" s="30">
        <f t="shared" si="36"/>
        <v>5</v>
      </c>
      <c r="M233" s="31">
        <f t="shared" si="33"/>
        <v>0.2</v>
      </c>
    </row>
    <row r="234" spans="1:13">
      <c r="A234" s="7" t="e">
        <f>1+A216</f>
        <v>#REF!</v>
      </c>
      <c r="B234" s="24" t="s">
        <v>36</v>
      </c>
      <c r="C234" s="25" t="s">
        <v>37</v>
      </c>
      <c r="D234" s="26" t="s">
        <v>541</v>
      </c>
      <c r="E234" s="24" t="s">
        <v>542</v>
      </c>
      <c r="F234" s="24" t="s">
        <v>5</v>
      </c>
      <c r="G234" s="61"/>
      <c r="H234" s="61"/>
      <c r="I234" s="61">
        <v>12</v>
      </c>
      <c r="J234" s="61"/>
      <c r="K234" s="61"/>
      <c r="L234" s="30">
        <f t="shared" si="36"/>
        <v>8</v>
      </c>
      <c r="M234" s="31">
        <f t="shared" si="33"/>
        <v>0.4</v>
      </c>
    </row>
    <row r="235" spans="1:13">
      <c r="A235" s="7" t="e">
        <f t="shared" ref="A235:A236" si="37">1+A234</f>
        <v>#REF!</v>
      </c>
      <c r="B235" s="24" t="s">
        <v>297</v>
      </c>
      <c r="C235" s="25" t="s">
        <v>122</v>
      </c>
      <c r="D235" s="26" t="s">
        <v>312</v>
      </c>
      <c r="E235" s="80" t="s">
        <v>313</v>
      </c>
      <c r="F235" s="24" t="s">
        <v>3</v>
      </c>
      <c r="G235" s="12"/>
      <c r="H235" s="13">
        <v>18</v>
      </c>
      <c r="I235" s="13"/>
      <c r="J235" s="13"/>
      <c r="K235" s="13"/>
      <c r="L235" s="30">
        <f t="shared" si="36"/>
        <v>2</v>
      </c>
      <c r="M235" s="31">
        <f t="shared" si="33"/>
        <v>0.1</v>
      </c>
    </row>
    <row r="236" spans="1:13">
      <c r="A236" s="7" t="e">
        <f t="shared" si="37"/>
        <v>#REF!</v>
      </c>
      <c r="B236" s="24" t="s">
        <v>297</v>
      </c>
      <c r="C236" s="25" t="s">
        <v>122</v>
      </c>
      <c r="D236" s="26" t="s">
        <v>314</v>
      </c>
      <c r="E236" s="37" t="s">
        <v>315</v>
      </c>
      <c r="F236" s="24" t="s">
        <v>4</v>
      </c>
      <c r="G236" s="12"/>
      <c r="H236" s="13">
        <v>18</v>
      </c>
      <c r="I236" s="13"/>
      <c r="J236" s="13"/>
      <c r="K236" s="13"/>
      <c r="L236" s="30">
        <f t="shared" si="36"/>
        <v>2</v>
      </c>
      <c r="M236" s="31">
        <f t="shared" si="33"/>
        <v>0.1</v>
      </c>
    </row>
    <row r="237" spans="1:13">
      <c r="A237" s="7" t="e">
        <f>1+A231</f>
        <v>#REF!</v>
      </c>
      <c r="B237" s="81" t="s">
        <v>44</v>
      </c>
      <c r="C237" s="82" t="s">
        <v>45</v>
      </c>
      <c r="D237" s="83" t="s">
        <v>46</v>
      </c>
      <c r="E237" s="81" t="s">
        <v>47</v>
      </c>
      <c r="F237" s="81" t="s">
        <v>10</v>
      </c>
      <c r="G237" s="12"/>
      <c r="H237" s="12"/>
      <c r="I237" s="13"/>
      <c r="J237" s="13"/>
      <c r="K237" s="13"/>
      <c r="L237" s="30"/>
      <c r="M237" s="31"/>
    </row>
    <row r="238" spans="1:13">
      <c r="A238" s="7" t="e">
        <f t="shared" si="31"/>
        <v>#REF!</v>
      </c>
      <c r="B238" s="58" t="s">
        <v>44</v>
      </c>
      <c r="C238" s="45" t="s">
        <v>45</v>
      </c>
      <c r="D238" s="84" t="s">
        <v>543</v>
      </c>
      <c r="E238" s="58" t="s">
        <v>544</v>
      </c>
      <c r="F238" s="58" t="s">
        <v>5</v>
      </c>
      <c r="G238" s="12"/>
      <c r="H238" s="12"/>
      <c r="I238" s="85"/>
      <c r="J238" s="85"/>
      <c r="K238" s="85"/>
      <c r="L238" s="35">
        <f t="shared" ref="L238:L245" si="38">20-H238-I238</f>
        <v>20</v>
      </c>
      <c r="M238" s="36">
        <f t="shared" si="33"/>
        <v>1</v>
      </c>
    </row>
    <row r="239" spans="1:13">
      <c r="A239" s="7" t="e">
        <f t="shared" si="31"/>
        <v>#REF!</v>
      </c>
      <c r="B239" s="58" t="s">
        <v>44</v>
      </c>
      <c r="C239" s="45" t="s">
        <v>45</v>
      </c>
      <c r="D239" s="84" t="s">
        <v>545</v>
      </c>
      <c r="E239" s="58" t="s">
        <v>546</v>
      </c>
      <c r="F239" s="58" t="s">
        <v>2</v>
      </c>
      <c r="G239" s="12"/>
      <c r="H239" s="12"/>
      <c r="I239" s="86">
        <v>15</v>
      </c>
      <c r="J239" s="86"/>
      <c r="K239" s="86"/>
      <c r="L239" s="35">
        <f t="shared" si="38"/>
        <v>5</v>
      </c>
      <c r="M239" s="36">
        <f t="shared" si="33"/>
        <v>0.2</v>
      </c>
    </row>
    <row r="240" spans="1:13">
      <c r="A240" s="7" t="e">
        <f t="shared" si="31"/>
        <v>#REF!</v>
      </c>
      <c r="B240" s="58" t="s">
        <v>44</v>
      </c>
      <c r="C240" s="45" t="s">
        <v>45</v>
      </c>
      <c r="D240" s="12" t="s">
        <v>547</v>
      </c>
      <c r="E240" s="13" t="s">
        <v>548</v>
      </c>
      <c r="F240" s="58" t="s">
        <v>2</v>
      </c>
      <c r="G240" s="12"/>
      <c r="H240" s="13"/>
      <c r="I240" s="87">
        <v>15</v>
      </c>
      <c r="J240" s="87"/>
      <c r="K240" s="87"/>
      <c r="L240" s="35">
        <f t="shared" si="38"/>
        <v>5</v>
      </c>
      <c r="M240" s="36">
        <f t="shared" si="33"/>
        <v>0.2</v>
      </c>
    </row>
    <row r="241" spans="1:13">
      <c r="A241" s="7" t="e">
        <f t="shared" si="31"/>
        <v>#REF!</v>
      </c>
      <c r="B241" s="58" t="s">
        <v>44</v>
      </c>
      <c r="C241" s="45" t="s">
        <v>45</v>
      </c>
      <c r="D241" s="12" t="s">
        <v>549</v>
      </c>
      <c r="E241" s="13" t="s">
        <v>550</v>
      </c>
      <c r="F241" s="58" t="s">
        <v>2</v>
      </c>
      <c r="G241" s="12"/>
      <c r="H241" s="13"/>
      <c r="I241" s="87">
        <v>16</v>
      </c>
      <c r="J241" s="87"/>
      <c r="K241" s="87"/>
      <c r="L241" s="35">
        <f t="shared" si="38"/>
        <v>4</v>
      </c>
      <c r="M241" s="36">
        <f t="shared" si="33"/>
        <v>0.2</v>
      </c>
    </row>
    <row r="242" spans="1:13">
      <c r="A242" s="7" t="e">
        <f t="shared" si="31"/>
        <v>#REF!</v>
      </c>
      <c r="B242" s="58" t="s">
        <v>44</v>
      </c>
      <c r="C242" s="45" t="s">
        <v>45</v>
      </c>
      <c r="D242" s="12">
        <v>1962</v>
      </c>
      <c r="E242" s="13" t="s">
        <v>551</v>
      </c>
      <c r="F242" s="58" t="s">
        <v>2</v>
      </c>
      <c r="G242" s="12"/>
      <c r="H242" s="13"/>
      <c r="I242" s="87"/>
      <c r="J242" s="87"/>
      <c r="K242" s="87"/>
      <c r="L242" s="35">
        <f t="shared" si="38"/>
        <v>20</v>
      </c>
      <c r="M242" s="36">
        <f t="shared" si="33"/>
        <v>1</v>
      </c>
    </row>
    <row r="243" spans="1:13">
      <c r="A243" s="7" t="e">
        <f t="shared" si="31"/>
        <v>#REF!</v>
      </c>
      <c r="B243" s="58" t="s">
        <v>44</v>
      </c>
      <c r="C243" s="45" t="s">
        <v>45</v>
      </c>
      <c r="D243" s="12" t="s">
        <v>552</v>
      </c>
      <c r="E243" s="13" t="s">
        <v>553</v>
      </c>
      <c r="F243" s="58" t="s">
        <v>2</v>
      </c>
      <c r="G243" s="12"/>
      <c r="H243" s="13"/>
      <c r="I243" s="87">
        <v>15</v>
      </c>
      <c r="J243" s="87"/>
      <c r="K243" s="87"/>
      <c r="L243" s="35">
        <f t="shared" si="38"/>
        <v>5</v>
      </c>
      <c r="M243" s="36">
        <f t="shared" si="33"/>
        <v>0.2</v>
      </c>
    </row>
    <row r="244" spans="1:13">
      <c r="A244" s="7" t="e">
        <f t="shared" si="31"/>
        <v>#REF!</v>
      </c>
      <c r="B244" s="58" t="s">
        <v>44</v>
      </c>
      <c r="C244" s="45" t="s">
        <v>45</v>
      </c>
      <c r="D244" s="12">
        <v>8049</v>
      </c>
      <c r="E244" s="13" t="s">
        <v>554</v>
      </c>
      <c r="F244" s="58" t="s">
        <v>2</v>
      </c>
      <c r="G244" s="12"/>
      <c r="H244" s="13"/>
      <c r="I244" s="87">
        <v>17</v>
      </c>
      <c r="J244" s="87"/>
      <c r="K244" s="87"/>
      <c r="L244" s="35">
        <f t="shared" si="38"/>
        <v>3</v>
      </c>
      <c r="M244" s="36">
        <f t="shared" si="33"/>
        <v>0.1</v>
      </c>
    </row>
    <row r="245" spans="1:13">
      <c r="A245" s="7" t="e">
        <f t="shared" si="31"/>
        <v>#REF!</v>
      </c>
      <c r="B245" s="58" t="s">
        <v>44</v>
      </c>
      <c r="C245" s="45" t="s">
        <v>45</v>
      </c>
      <c r="D245" s="12">
        <v>7723</v>
      </c>
      <c r="E245" s="13" t="s">
        <v>555</v>
      </c>
      <c r="F245" s="58" t="s">
        <v>2</v>
      </c>
      <c r="G245" s="12"/>
      <c r="H245" s="13"/>
      <c r="I245" s="87">
        <v>16</v>
      </c>
      <c r="J245" s="87"/>
      <c r="K245" s="87"/>
      <c r="L245" s="35">
        <f t="shared" si="38"/>
        <v>4</v>
      </c>
      <c r="M245" s="36">
        <f t="shared" si="33"/>
        <v>0.2</v>
      </c>
    </row>
    <row r="246" spans="1:13">
      <c r="A246" s="7" t="e">
        <f t="shared" si="31"/>
        <v>#REF!</v>
      </c>
      <c r="B246" s="19" t="s">
        <v>48</v>
      </c>
      <c r="C246" s="20" t="s">
        <v>49</v>
      </c>
      <c r="D246" s="21" t="s">
        <v>50</v>
      </c>
      <c r="E246" s="20" t="s">
        <v>51</v>
      </c>
      <c r="F246" s="81" t="s">
        <v>9</v>
      </c>
      <c r="G246" s="12"/>
      <c r="H246" s="13"/>
      <c r="I246" s="13"/>
      <c r="J246" s="13"/>
      <c r="K246" s="13"/>
      <c r="L246" s="30"/>
      <c r="M246" s="31"/>
    </row>
    <row r="247" spans="1:13">
      <c r="A247" s="7" t="e">
        <f t="shared" si="31"/>
        <v>#REF!</v>
      </c>
      <c r="B247" s="24" t="s">
        <v>48</v>
      </c>
      <c r="C247" s="25" t="s">
        <v>49</v>
      </c>
      <c r="D247" s="12" t="s">
        <v>556</v>
      </c>
      <c r="E247" s="13" t="s">
        <v>557</v>
      </c>
      <c r="F247" s="58" t="s">
        <v>1</v>
      </c>
      <c r="G247" s="12"/>
      <c r="H247" s="13"/>
      <c r="I247" s="13"/>
      <c r="J247" s="13"/>
      <c r="K247" s="13"/>
      <c r="L247" s="30">
        <f t="shared" ref="L247:L254" si="39">20-H247-I247</f>
        <v>20</v>
      </c>
      <c r="M247" s="31">
        <f t="shared" si="33"/>
        <v>1</v>
      </c>
    </row>
    <row r="248" spans="1:13">
      <c r="A248" s="7" t="e">
        <f t="shared" si="31"/>
        <v>#REF!</v>
      </c>
      <c r="B248" s="24" t="s">
        <v>48</v>
      </c>
      <c r="C248" s="25" t="s">
        <v>49</v>
      </c>
      <c r="D248" s="12" t="s">
        <v>558</v>
      </c>
      <c r="E248" s="13" t="s">
        <v>559</v>
      </c>
      <c r="F248" s="58" t="s">
        <v>1</v>
      </c>
      <c r="G248" s="12"/>
      <c r="H248" s="13"/>
      <c r="I248" s="13"/>
      <c r="J248" s="13"/>
      <c r="K248" s="13"/>
      <c r="L248" s="30">
        <f t="shared" si="39"/>
        <v>20</v>
      </c>
      <c r="M248" s="31">
        <f t="shared" si="33"/>
        <v>1</v>
      </c>
    </row>
    <row r="249" spans="1:13">
      <c r="A249" s="7" t="e">
        <f t="shared" si="31"/>
        <v>#REF!</v>
      </c>
      <c r="B249" s="24" t="s">
        <v>48</v>
      </c>
      <c r="C249" s="25" t="s">
        <v>49</v>
      </c>
      <c r="D249" s="12" t="s">
        <v>560</v>
      </c>
      <c r="E249" s="13" t="s">
        <v>561</v>
      </c>
      <c r="F249" s="58" t="s">
        <v>1</v>
      </c>
      <c r="G249" s="12"/>
      <c r="H249" s="13"/>
      <c r="I249" s="13"/>
      <c r="J249" s="13"/>
      <c r="K249" s="13"/>
      <c r="L249" s="30">
        <f t="shared" si="39"/>
        <v>20</v>
      </c>
      <c r="M249" s="31">
        <f t="shared" si="33"/>
        <v>1</v>
      </c>
    </row>
    <row r="250" spans="1:13">
      <c r="A250" s="7" t="e">
        <f t="shared" si="31"/>
        <v>#REF!</v>
      </c>
      <c r="B250" s="24" t="s">
        <v>48</v>
      </c>
      <c r="C250" s="25" t="s">
        <v>49</v>
      </c>
      <c r="D250" s="12" t="s">
        <v>562</v>
      </c>
      <c r="E250" s="13" t="s">
        <v>563</v>
      </c>
      <c r="F250" s="58" t="s">
        <v>1</v>
      </c>
      <c r="G250" s="12"/>
      <c r="H250" s="13"/>
      <c r="I250" s="13"/>
      <c r="J250" s="13"/>
      <c r="K250" s="13"/>
      <c r="L250" s="30">
        <f t="shared" si="39"/>
        <v>20</v>
      </c>
      <c r="M250" s="31">
        <f t="shared" si="33"/>
        <v>1</v>
      </c>
    </row>
    <row r="251" spans="1:13">
      <c r="A251" s="7" t="e">
        <f t="shared" si="31"/>
        <v>#REF!</v>
      </c>
      <c r="B251" s="24" t="s">
        <v>48</v>
      </c>
      <c r="C251" s="25" t="s">
        <v>49</v>
      </c>
      <c r="D251" s="12" t="s">
        <v>564</v>
      </c>
      <c r="E251" s="13" t="s">
        <v>565</v>
      </c>
      <c r="F251" s="58" t="s">
        <v>1</v>
      </c>
      <c r="G251" s="12"/>
      <c r="H251" s="13"/>
      <c r="I251" s="13"/>
      <c r="J251" s="13"/>
      <c r="K251" s="13"/>
      <c r="L251" s="30">
        <f t="shared" si="39"/>
        <v>20</v>
      </c>
      <c r="M251" s="31">
        <f t="shared" si="33"/>
        <v>1</v>
      </c>
    </row>
    <row r="252" spans="1:13">
      <c r="A252" s="7" t="e">
        <f t="shared" si="31"/>
        <v>#REF!</v>
      </c>
      <c r="B252" s="24" t="s">
        <v>48</v>
      </c>
      <c r="C252" s="25" t="s">
        <v>49</v>
      </c>
      <c r="D252" s="12" t="s">
        <v>566</v>
      </c>
      <c r="E252" s="13" t="s">
        <v>567</v>
      </c>
      <c r="F252" s="58" t="s">
        <v>1</v>
      </c>
      <c r="G252" s="12"/>
      <c r="H252" s="13"/>
      <c r="I252" s="13"/>
      <c r="J252" s="13"/>
      <c r="K252" s="13"/>
      <c r="L252" s="30">
        <f t="shared" si="39"/>
        <v>20</v>
      </c>
      <c r="M252" s="31">
        <f t="shared" si="33"/>
        <v>1</v>
      </c>
    </row>
    <row r="253" spans="1:13">
      <c r="A253" s="7" t="e">
        <f t="shared" si="31"/>
        <v>#REF!</v>
      </c>
      <c r="B253" s="24" t="s">
        <v>48</v>
      </c>
      <c r="C253" s="25" t="s">
        <v>49</v>
      </c>
      <c r="D253" s="12" t="s">
        <v>568</v>
      </c>
      <c r="E253" s="13" t="s">
        <v>569</v>
      </c>
      <c r="F253" s="58" t="s">
        <v>1</v>
      </c>
      <c r="G253" s="12"/>
      <c r="H253" s="13"/>
      <c r="I253" s="13"/>
      <c r="J253" s="13"/>
      <c r="K253" s="13"/>
      <c r="L253" s="30">
        <f t="shared" si="39"/>
        <v>20</v>
      </c>
      <c r="M253" s="31">
        <f t="shared" si="33"/>
        <v>1</v>
      </c>
    </row>
    <row r="254" spans="1:13">
      <c r="A254" s="7" t="e">
        <f t="shared" si="31"/>
        <v>#REF!</v>
      </c>
      <c r="B254" s="24" t="s">
        <v>48</v>
      </c>
      <c r="C254" s="25" t="s">
        <v>49</v>
      </c>
      <c r="D254" s="12" t="s">
        <v>570</v>
      </c>
      <c r="E254" s="13" t="s">
        <v>571</v>
      </c>
      <c r="F254" s="58" t="s">
        <v>1</v>
      </c>
      <c r="G254" s="12"/>
      <c r="H254" s="13"/>
      <c r="I254" s="13"/>
      <c r="J254" s="13"/>
      <c r="K254" s="13"/>
      <c r="L254" s="30">
        <f t="shared" si="39"/>
        <v>20</v>
      </c>
      <c r="M254" s="31">
        <f t="shared" si="33"/>
        <v>1</v>
      </c>
    </row>
    <row r="255" spans="1:13">
      <c r="A255" s="7" t="e">
        <f t="shared" si="31"/>
        <v>#REF!</v>
      </c>
      <c r="B255" s="88" t="s">
        <v>52</v>
      </c>
      <c r="C255" s="89" t="s">
        <v>53</v>
      </c>
      <c r="D255" s="90" t="s">
        <v>54</v>
      </c>
      <c r="E255" s="88" t="s">
        <v>55</v>
      </c>
      <c r="F255" s="91" t="s">
        <v>9</v>
      </c>
      <c r="L255" s="30"/>
      <c r="M255" s="31"/>
    </row>
    <row r="256" spans="1:13">
      <c r="A256" s="7" t="e">
        <f t="shared" si="31"/>
        <v>#REF!</v>
      </c>
      <c r="B256" s="24" t="s">
        <v>52</v>
      </c>
      <c r="C256" s="25" t="s">
        <v>53</v>
      </c>
      <c r="D256" s="13" t="s">
        <v>572</v>
      </c>
      <c r="E256" s="13" t="s">
        <v>573</v>
      </c>
      <c r="F256" s="58" t="s">
        <v>1</v>
      </c>
      <c r="G256" s="12"/>
      <c r="H256" s="13"/>
      <c r="I256" s="13">
        <v>18</v>
      </c>
      <c r="J256" s="13"/>
      <c r="K256" s="13"/>
      <c r="L256" s="30">
        <f t="shared" ref="L256:L263" si="40">20-H256-I256</f>
        <v>2</v>
      </c>
      <c r="M256" s="31">
        <f t="shared" si="33"/>
        <v>0.1</v>
      </c>
    </row>
    <row r="257" spans="1:13">
      <c r="A257" s="7" t="e">
        <f t="shared" si="31"/>
        <v>#REF!</v>
      </c>
      <c r="B257" s="24" t="s">
        <v>52</v>
      </c>
      <c r="C257" s="25" t="s">
        <v>53</v>
      </c>
      <c r="D257" s="13" t="s">
        <v>574</v>
      </c>
      <c r="E257" s="13" t="s">
        <v>575</v>
      </c>
      <c r="F257" s="58" t="s">
        <v>1</v>
      </c>
      <c r="G257" s="12"/>
      <c r="H257" s="13"/>
      <c r="I257" s="13"/>
      <c r="J257" s="13"/>
      <c r="K257" s="13"/>
      <c r="L257" s="30">
        <f t="shared" si="40"/>
        <v>20</v>
      </c>
      <c r="M257" s="31">
        <f t="shared" si="33"/>
        <v>1</v>
      </c>
    </row>
    <row r="258" spans="1:13">
      <c r="A258" s="7" t="e">
        <f t="shared" si="31"/>
        <v>#REF!</v>
      </c>
      <c r="B258" s="24" t="s">
        <v>52</v>
      </c>
      <c r="C258" s="25" t="s">
        <v>53</v>
      </c>
      <c r="D258" s="13" t="s">
        <v>576</v>
      </c>
      <c r="E258" s="13" t="s">
        <v>577</v>
      </c>
      <c r="F258" s="58" t="s">
        <v>1</v>
      </c>
      <c r="G258" s="12"/>
      <c r="H258" s="13"/>
      <c r="I258" s="13">
        <v>16</v>
      </c>
      <c r="J258" s="13"/>
      <c r="K258" s="13"/>
      <c r="L258" s="30">
        <f t="shared" si="40"/>
        <v>4</v>
      </c>
      <c r="M258" s="31">
        <f t="shared" si="33"/>
        <v>0.2</v>
      </c>
    </row>
    <row r="259" spans="1:13">
      <c r="A259" s="7" t="e">
        <f t="shared" si="31"/>
        <v>#REF!</v>
      </c>
      <c r="B259" s="24" t="s">
        <v>52</v>
      </c>
      <c r="C259" s="25" t="s">
        <v>53</v>
      </c>
      <c r="D259" s="13" t="s">
        <v>578</v>
      </c>
      <c r="E259" s="13" t="s">
        <v>579</v>
      </c>
      <c r="F259" s="58" t="s">
        <v>1</v>
      </c>
      <c r="G259" s="12"/>
      <c r="H259" s="13"/>
      <c r="I259" s="13">
        <v>10</v>
      </c>
      <c r="J259" s="13"/>
      <c r="K259" s="13"/>
      <c r="L259" s="30">
        <f t="shared" si="40"/>
        <v>10</v>
      </c>
      <c r="M259" s="31">
        <f t="shared" si="33"/>
        <v>0.5</v>
      </c>
    </row>
    <row r="260" spans="1:13">
      <c r="A260" s="7" t="e">
        <f t="shared" si="31"/>
        <v>#REF!</v>
      </c>
      <c r="B260" s="24" t="s">
        <v>52</v>
      </c>
      <c r="C260" s="25" t="s">
        <v>53</v>
      </c>
      <c r="D260" s="13" t="s">
        <v>580</v>
      </c>
      <c r="E260" s="13" t="s">
        <v>581</v>
      </c>
      <c r="F260" s="58" t="s">
        <v>1</v>
      </c>
      <c r="G260" s="12"/>
      <c r="H260" s="13"/>
      <c r="I260" s="13">
        <v>16</v>
      </c>
      <c r="J260" s="13"/>
      <c r="K260" s="13"/>
      <c r="L260" s="30">
        <f t="shared" si="40"/>
        <v>4</v>
      </c>
      <c r="M260" s="31">
        <f t="shared" si="33"/>
        <v>0.2</v>
      </c>
    </row>
    <row r="261" spans="1:13">
      <c r="A261" s="7" t="e">
        <f t="shared" si="31"/>
        <v>#REF!</v>
      </c>
      <c r="B261" s="24" t="s">
        <v>52</v>
      </c>
      <c r="C261" s="25" t="s">
        <v>53</v>
      </c>
      <c r="D261" s="13" t="s">
        <v>582</v>
      </c>
      <c r="E261" s="13" t="s">
        <v>583</v>
      </c>
      <c r="F261" s="58" t="s">
        <v>1</v>
      </c>
      <c r="G261" s="12"/>
      <c r="H261" s="13"/>
      <c r="I261" s="13"/>
      <c r="J261" s="13"/>
      <c r="K261" s="13"/>
      <c r="L261" s="30">
        <f t="shared" si="40"/>
        <v>20</v>
      </c>
      <c r="M261" s="31">
        <f t="shared" si="33"/>
        <v>1</v>
      </c>
    </row>
    <row r="262" spans="1:13">
      <c r="A262" s="7" t="e">
        <f t="shared" si="31"/>
        <v>#REF!</v>
      </c>
      <c r="B262" s="24" t="s">
        <v>52</v>
      </c>
      <c r="C262" s="25" t="s">
        <v>53</v>
      </c>
      <c r="D262" s="13" t="s">
        <v>584</v>
      </c>
      <c r="E262" s="13" t="s">
        <v>585</v>
      </c>
      <c r="F262" s="58" t="s">
        <v>1</v>
      </c>
      <c r="G262" s="12"/>
      <c r="H262" s="13"/>
      <c r="I262" s="13"/>
      <c r="J262" s="13"/>
      <c r="K262" s="13"/>
      <c r="L262" s="30">
        <f t="shared" si="40"/>
        <v>20</v>
      </c>
      <c r="M262" s="31">
        <f t="shared" si="33"/>
        <v>1</v>
      </c>
    </row>
    <row r="263" spans="1:13">
      <c r="A263" s="7" t="e">
        <f t="shared" si="31"/>
        <v>#REF!</v>
      </c>
      <c r="B263" s="24" t="s">
        <v>52</v>
      </c>
      <c r="C263" s="25" t="s">
        <v>53</v>
      </c>
      <c r="D263" s="13" t="s">
        <v>586</v>
      </c>
      <c r="E263" s="13" t="s">
        <v>587</v>
      </c>
      <c r="F263" s="58" t="s">
        <v>1</v>
      </c>
      <c r="G263" s="12"/>
      <c r="H263" s="13"/>
      <c r="I263" s="13"/>
      <c r="J263" s="13"/>
      <c r="K263" s="13"/>
      <c r="L263" s="30">
        <f t="shared" si="40"/>
        <v>20</v>
      </c>
      <c r="M263" s="31">
        <f t="shared" si="33"/>
        <v>1</v>
      </c>
    </row>
  </sheetData>
  <autoFilter ref="A1:I263" xr:uid="{A7C1A703-D247-49F3-8A04-094E4EA93684}"/>
  <pageMargins left="0" right="0" top="0.74803149606299213" bottom="0.74803149606299213" header="0.31496062992125984" footer="0.31496062992125984"/>
  <pageSetup paperSize="9" scale="10" orientation="landscape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B3338-1B1C-4308-9791-8CB82DC8691A}">
  <dimension ref="A1:AJ21"/>
  <sheetViews>
    <sheetView topLeftCell="C13" zoomScale="80" zoomScaleNormal="80" workbookViewId="0">
      <selection activeCell="L1" sqref="L1"/>
    </sheetView>
  </sheetViews>
  <sheetFormatPr defaultColWidth="11.42578125" defaultRowHeight="14.45"/>
  <cols>
    <col min="1" max="1" width="9" bestFit="1" customWidth="1"/>
    <col min="2" max="2" width="7.85546875" bestFit="1" customWidth="1"/>
    <col min="3" max="3" width="46.5703125" bestFit="1" customWidth="1"/>
    <col min="4" max="4" width="9.140625" bestFit="1" customWidth="1"/>
    <col min="5" max="5" width="36.140625" bestFit="1" customWidth="1"/>
    <col min="6" max="6" width="12.5703125" bestFit="1" customWidth="1"/>
    <col min="7" max="7" width="18.140625" bestFit="1" customWidth="1"/>
    <col min="8" max="8" width="11.42578125" bestFit="1" customWidth="1"/>
    <col min="9" max="9" width="17.140625" bestFit="1" customWidth="1"/>
    <col min="10" max="10" width="12" bestFit="1" customWidth="1"/>
    <col min="11" max="11" width="15.42578125" bestFit="1" customWidth="1"/>
    <col min="12" max="12" width="12.140625" bestFit="1" customWidth="1"/>
    <col min="13" max="13" width="9.42578125" bestFit="1" customWidth="1"/>
  </cols>
  <sheetData>
    <row r="1" spans="1:36" s="6" customFormat="1" ht="36.950000000000003">
      <c r="A1" s="1" t="s">
        <v>12</v>
      </c>
      <c r="B1" s="2" t="s">
        <v>13</v>
      </c>
      <c r="C1" s="3" t="s">
        <v>14</v>
      </c>
      <c r="D1" s="2" t="s">
        <v>15</v>
      </c>
      <c r="E1" s="2" t="s">
        <v>16</v>
      </c>
      <c r="F1" s="2" t="s">
        <v>0</v>
      </c>
      <c r="G1" s="4" t="s">
        <v>17</v>
      </c>
      <c r="H1" s="4" t="s">
        <v>18</v>
      </c>
      <c r="I1" s="4" t="s">
        <v>19</v>
      </c>
      <c r="J1" s="4" t="s">
        <v>20</v>
      </c>
      <c r="K1" s="4" t="s">
        <v>588</v>
      </c>
      <c r="L1" s="5" t="s">
        <v>22</v>
      </c>
      <c r="M1" s="5" t="s">
        <v>23</v>
      </c>
    </row>
    <row r="2" spans="1:36" s="18" customFormat="1" ht="15" customHeight="1">
      <c r="A2" s="7">
        <v>1</v>
      </c>
      <c r="B2" s="15" t="s">
        <v>98</v>
      </c>
      <c r="C2" s="16" t="s">
        <v>99</v>
      </c>
      <c r="D2" s="17" t="s">
        <v>100</v>
      </c>
      <c r="E2" s="15" t="s">
        <v>101</v>
      </c>
      <c r="F2" s="15" t="s">
        <v>8</v>
      </c>
      <c r="G2" s="12"/>
      <c r="H2" s="13"/>
      <c r="I2" s="13"/>
      <c r="J2" s="13"/>
      <c r="K2" s="13"/>
      <c r="L2" s="30"/>
      <c r="M2" s="31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</row>
    <row r="3" spans="1:36" s="23" customFormat="1" ht="15" customHeight="1">
      <c r="A3" s="7">
        <f t="shared" ref="A3:A12" si="0">1+A2</f>
        <v>2</v>
      </c>
      <c r="B3" s="19" t="s">
        <v>102</v>
      </c>
      <c r="C3" s="20" t="s">
        <v>103</v>
      </c>
      <c r="D3" s="21" t="s">
        <v>104</v>
      </c>
      <c r="E3" s="19" t="s">
        <v>105</v>
      </c>
      <c r="F3" s="19" t="s">
        <v>10</v>
      </c>
      <c r="G3" s="12"/>
      <c r="H3" s="43"/>
      <c r="I3" s="43"/>
      <c r="J3" s="43"/>
      <c r="K3" s="43"/>
      <c r="L3" s="30"/>
      <c r="M3" s="31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</row>
    <row r="4" spans="1:36" ht="15" customHeight="1">
      <c r="A4" s="7"/>
      <c r="B4" s="24"/>
      <c r="C4" s="25"/>
      <c r="D4" s="26"/>
      <c r="E4" s="24"/>
      <c r="F4" s="24"/>
      <c r="G4" s="12"/>
      <c r="H4" s="43"/>
      <c r="I4" s="43"/>
      <c r="J4" s="43"/>
      <c r="K4" s="43"/>
      <c r="L4" s="30">
        <f t="shared" ref="L4" si="1">SUM(H4:K4)</f>
        <v>0</v>
      </c>
      <c r="M4" s="31" t="e">
        <f t="shared" ref="M4" si="2">+J4/L4</f>
        <v>#DIV/0!</v>
      </c>
    </row>
    <row r="5" spans="1:36" ht="15" customHeight="1">
      <c r="A5" s="7"/>
      <c r="B5" s="24"/>
      <c r="C5" s="25"/>
      <c r="D5" s="26"/>
      <c r="E5" s="24"/>
      <c r="F5" s="24"/>
      <c r="G5" s="12"/>
      <c r="H5" s="43"/>
      <c r="I5" s="43"/>
      <c r="J5" s="43"/>
      <c r="K5" s="43"/>
      <c r="L5" s="30">
        <f t="shared" ref="L5:L12" si="3">SUM(H5:K5)</f>
        <v>0</v>
      </c>
      <c r="M5" s="31" t="e">
        <f t="shared" ref="M5:M12" si="4">+J5/L5</f>
        <v>#DIV/0!</v>
      </c>
    </row>
    <row r="6" spans="1:36" ht="15" customHeight="1">
      <c r="A6" s="7"/>
      <c r="B6" s="24"/>
      <c r="C6" s="25"/>
      <c r="D6" s="26"/>
      <c r="E6" s="24"/>
      <c r="F6" s="24"/>
      <c r="G6" s="12"/>
      <c r="H6" s="43"/>
      <c r="I6" s="43"/>
      <c r="J6" s="43"/>
      <c r="K6" s="43"/>
      <c r="L6" s="30">
        <f t="shared" si="3"/>
        <v>0</v>
      </c>
      <c r="M6" s="31" t="e">
        <f t="shared" si="4"/>
        <v>#DIV/0!</v>
      </c>
    </row>
    <row r="7" spans="1:36" ht="15" customHeight="1">
      <c r="A7" s="7"/>
      <c r="B7" s="24"/>
      <c r="C7" s="25"/>
      <c r="D7" s="26"/>
      <c r="E7" s="24"/>
      <c r="F7" s="24"/>
      <c r="G7" s="12"/>
      <c r="H7" s="43"/>
      <c r="I7" s="43"/>
      <c r="J7" s="43"/>
      <c r="K7" s="43"/>
      <c r="L7" s="30">
        <f t="shared" si="3"/>
        <v>0</v>
      </c>
      <c r="M7" s="31" t="e">
        <f t="shared" si="4"/>
        <v>#DIV/0!</v>
      </c>
    </row>
    <row r="8" spans="1:36" ht="15" customHeight="1">
      <c r="A8" s="7"/>
      <c r="B8" s="24"/>
      <c r="C8" s="25"/>
      <c r="D8" s="26"/>
      <c r="E8" s="24"/>
      <c r="F8" s="24"/>
      <c r="G8" s="12"/>
      <c r="H8" s="43"/>
      <c r="I8" s="43"/>
      <c r="J8" s="43"/>
      <c r="K8" s="43"/>
      <c r="L8" s="30">
        <f t="shared" si="3"/>
        <v>0</v>
      </c>
      <c r="M8" s="31" t="e">
        <f t="shared" si="4"/>
        <v>#DIV/0!</v>
      </c>
    </row>
    <row r="9" spans="1:36" ht="15" customHeight="1">
      <c r="A9" s="7"/>
      <c r="B9" s="24"/>
      <c r="C9" s="25"/>
      <c r="D9" s="26"/>
      <c r="E9" s="24"/>
      <c r="F9" s="24"/>
      <c r="G9" s="12"/>
      <c r="H9" s="43"/>
      <c r="I9" s="43"/>
      <c r="J9" s="43"/>
      <c r="K9" s="43"/>
      <c r="L9" s="30">
        <f t="shared" si="3"/>
        <v>0</v>
      </c>
      <c r="M9" s="31" t="e">
        <f t="shared" si="4"/>
        <v>#DIV/0!</v>
      </c>
    </row>
    <row r="10" spans="1:36" ht="15" customHeight="1">
      <c r="A10" s="7"/>
      <c r="B10" s="24"/>
      <c r="C10" s="25"/>
      <c r="D10" s="26"/>
      <c r="E10" s="24"/>
      <c r="F10" s="24"/>
      <c r="G10" s="12"/>
      <c r="H10" s="43"/>
      <c r="I10" s="43"/>
      <c r="J10" s="43"/>
      <c r="K10" s="43"/>
      <c r="L10" s="30">
        <f t="shared" si="3"/>
        <v>0</v>
      </c>
      <c r="M10" s="31" t="e">
        <f t="shared" si="4"/>
        <v>#DIV/0!</v>
      </c>
    </row>
    <row r="11" spans="1:36" ht="15" customHeight="1">
      <c r="A11" s="7"/>
      <c r="B11" s="24"/>
      <c r="C11" s="25"/>
      <c r="D11" s="26"/>
      <c r="E11" s="24"/>
      <c r="F11" s="24"/>
      <c r="G11" s="12"/>
      <c r="H11" s="43"/>
      <c r="I11" s="43"/>
      <c r="J11" s="43"/>
      <c r="K11" s="43"/>
      <c r="L11" s="30">
        <f t="shared" si="3"/>
        <v>0</v>
      </c>
      <c r="M11" s="31" t="e">
        <f t="shared" si="4"/>
        <v>#DIV/0!</v>
      </c>
    </row>
    <row r="12" spans="1:36" s="23" customFormat="1" ht="15" customHeight="1">
      <c r="A12" s="7">
        <f t="shared" si="0"/>
        <v>1</v>
      </c>
      <c r="B12" s="19" t="s">
        <v>90</v>
      </c>
      <c r="C12" s="20" t="s">
        <v>122</v>
      </c>
      <c r="D12" s="21" t="s">
        <v>123</v>
      </c>
      <c r="E12" s="19" t="s">
        <v>124</v>
      </c>
      <c r="F12" s="19" t="s">
        <v>10</v>
      </c>
      <c r="G12" s="12"/>
      <c r="H12" s="43"/>
      <c r="I12" s="43"/>
      <c r="J12" s="43"/>
      <c r="K12" s="43"/>
      <c r="L12" s="30">
        <f t="shared" si="3"/>
        <v>0</v>
      </c>
      <c r="M12" s="31" t="e">
        <f t="shared" si="4"/>
        <v>#DIV/0!</v>
      </c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</row>
    <row r="13" spans="1:36" ht="15" customHeight="1">
      <c r="A13" s="7"/>
      <c r="B13" s="24"/>
      <c r="C13" s="25"/>
      <c r="D13" s="26" t="s">
        <v>88</v>
      </c>
      <c r="E13" s="27" t="s">
        <v>89</v>
      </c>
      <c r="F13" s="24"/>
      <c r="G13" s="12"/>
      <c r="H13" s="44"/>
      <c r="I13" s="43"/>
      <c r="J13" s="95">
        <v>13</v>
      </c>
      <c r="K13" s="96"/>
      <c r="L13" s="35"/>
      <c r="M13" s="36"/>
    </row>
    <row r="14" spans="1:36" ht="15" customHeight="1">
      <c r="A14" s="7"/>
      <c r="B14" s="24"/>
      <c r="C14" s="25"/>
      <c r="D14" s="26"/>
      <c r="E14" s="24"/>
      <c r="F14" s="24"/>
      <c r="G14" s="12"/>
      <c r="H14" s="43"/>
      <c r="I14" s="43"/>
      <c r="J14" s="43"/>
      <c r="K14" s="43"/>
      <c r="L14" s="30">
        <f t="shared" ref="L14" si="5">SUM(H14:K14)</f>
        <v>0</v>
      </c>
      <c r="M14" s="31" t="e">
        <f t="shared" ref="M14" si="6">+J14/L14</f>
        <v>#DIV/0!</v>
      </c>
    </row>
    <row r="15" spans="1:36" s="47" customFormat="1" ht="15" customHeight="1">
      <c r="A15" s="7"/>
      <c r="B15" s="24"/>
      <c r="C15" s="25"/>
      <c r="D15" s="26"/>
      <c r="E15" s="24"/>
      <c r="F15" s="24"/>
      <c r="G15" s="46"/>
      <c r="H15" s="44"/>
      <c r="I15" s="44"/>
      <c r="J15" s="44"/>
      <c r="K15" s="44"/>
      <c r="L15" s="30">
        <f t="shared" ref="L15:L21" si="7">SUM(H15:K15)</f>
        <v>0</v>
      </c>
      <c r="M15" s="31" t="e">
        <f t="shared" ref="M15:M21" si="8">+J15/L15</f>
        <v>#DIV/0!</v>
      </c>
    </row>
    <row r="16" spans="1:36" ht="15" customHeight="1">
      <c r="A16" s="7"/>
      <c r="B16" s="24"/>
      <c r="C16" s="25"/>
      <c r="D16" s="26"/>
      <c r="E16" s="24"/>
      <c r="F16" s="24"/>
      <c r="G16" s="12"/>
      <c r="H16" s="43"/>
      <c r="I16" s="43"/>
      <c r="J16" s="43"/>
      <c r="K16" s="43"/>
      <c r="L16" s="30">
        <f t="shared" si="7"/>
        <v>0</v>
      </c>
      <c r="M16" s="31" t="e">
        <f t="shared" si="8"/>
        <v>#DIV/0!</v>
      </c>
    </row>
    <row r="17" spans="1:13" ht="15" customHeight="1">
      <c r="A17" s="7"/>
      <c r="B17" s="24"/>
      <c r="C17" s="25"/>
      <c r="D17" s="26"/>
      <c r="E17" s="24"/>
      <c r="F17" s="24"/>
      <c r="G17" s="12"/>
      <c r="H17" s="43"/>
      <c r="I17" s="43"/>
      <c r="J17" s="43"/>
      <c r="K17" s="43"/>
      <c r="L17" s="30">
        <f t="shared" si="7"/>
        <v>0</v>
      </c>
      <c r="M17" s="31" t="e">
        <f t="shared" si="8"/>
        <v>#DIV/0!</v>
      </c>
    </row>
    <row r="18" spans="1:13" ht="15" customHeight="1">
      <c r="A18" s="7"/>
      <c r="B18" s="24"/>
      <c r="C18" s="25"/>
      <c r="D18" s="26"/>
      <c r="E18" s="37"/>
      <c r="F18" s="24"/>
      <c r="G18" s="12"/>
      <c r="H18" s="43"/>
      <c r="I18" s="43"/>
      <c r="J18" s="43"/>
      <c r="K18" s="43"/>
      <c r="L18" s="30">
        <f t="shared" si="7"/>
        <v>0</v>
      </c>
      <c r="M18" s="31" t="e">
        <f t="shared" si="8"/>
        <v>#DIV/0!</v>
      </c>
    </row>
    <row r="19" spans="1:13" ht="15" customHeight="1">
      <c r="A19" s="7"/>
      <c r="B19" s="24"/>
      <c r="C19" s="25"/>
      <c r="D19" s="26"/>
      <c r="E19" s="24"/>
      <c r="F19" s="24"/>
      <c r="G19" s="12"/>
      <c r="H19" s="43"/>
      <c r="I19" s="43"/>
      <c r="J19" s="43"/>
      <c r="K19" s="43"/>
      <c r="L19" s="30">
        <f t="shared" si="7"/>
        <v>0</v>
      </c>
      <c r="M19" s="31" t="e">
        <f t="shared" si="8"/>
        <v>#DIV/0!</v>
      </c>
    </row>
    <row r="20" spans="1:13" ht="15" customHeight="1">
      <c r="A20" s="7"/>
      <c r="B20" s="40"/>
      <c r="C20" s="25"/>
      <c r="D20" s="39"/>
      <c r="E20" s="40"/>
      <c r="F20" s="41"/>
      <c r="G20" s="12"/>
      <c r="H20" s="43"/>
      <c r="I20" s="43"/>
      <c r="J20" s="43"/>
      <c r="K20" s="43"/>
      <c r="L20" s="30">
        <f t="shared" si="7"/>
        <v>0</v>
      </c>
      <c r="M20" s="31" t="e">
        <f t="shared" si="8"/>
        <v>#DIV/0!</v>
      </c>
    </row>
    <row r="21" spans="1:13">
      <c r="A21" s="7"/>
      <c r="B21" s="24"/>
      <c r="C21" s="25"/>
      <c r="D21" s="26"/>
      <c r="E21" s="24"/>
      <c r="F21" s="24"/>
      <c r="G21" s="12"/>
      <c r="H21" s="43"/>
      <c r="I21" s="13"/>
      <c r="J21" s="13"/>
      <c r="K21" s="13"/>
      <c r="L21" s="30">
        <f t="shared" si="7"/>
        <v>0</v>
      </c>
      <c r="M21" s="31" t="e">
        <f t="shared" si="8"/>
        <v>#DIV/0!</v>
      </c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5323A-305F-4413-891F-EDDDD4036620}">
  <dimension ref="A1:M17"/>
  <sheetViews>
    <sheetView zoomScale="70" zoomScaleNormal="70" workbookViewId="0">
      <selection activeCell="L4" sqref="L4"/>
    </sheetView>
  </sheetViews>
  <sheetFormatPr defaultColWidth="11.42578125" defaultRowHeight="14.45"/>
  <cols>
    <col min="1" max="1" width="9.140625" bestFit="1" customWidth="1"/>
    <col min="2" max="2" width="7.85546875" bestFit="1" customWidth="1"/>
    <col min="3" max="3" width="47.42578125" bestFit="1" customWidth="1"/>
    <col min="4" max="4" width="9.85546875" bestFit="1" customWidth="1"/>
    <col min="5" max="5" width="31.85546875" bestFit="1" customWidth="1"/>
    <col min="6" max="6" width="12.5703125" bestFit="1" customWidth="1"/>
    <col min="7" max="7" width="18.140625" bestFit="1" customWidth="1"/>
    <col min="8" max="8" width="11.5703125" bestFit="1" customWidth="1"/>
    <col min="9" max="9" width="17.5703125" bestFit="1" customWidth="1"/>
    <col min="10" max="10" width="12.140625" bestFit="1" customWidth="1"/>
    <col min="11" max="11" width="16.140625" bestFit="1" customWidth="1"/>
    <col min="12" max="12" width="12.85546875" bestFit="1" customWidth="1"/>
    <col min="13" max="13" width="9.85546875" bestFit="1" customWidth="1"/>
  </cols>
  <sheetData>
    <row r="1" spans="1:13" s="6" customFormat="1" ht="36.950000000000003">
      <c r="A1" s="1" t="s">
        <v>12</v>
      </c>
      <c r="B1" s="2" t="s">
        <v>13</v>
      </c>
      <c r="C1" s="3" t="s">
        <v>14</v>
      </c>
      <c r="D1" s="2" t="s">
        <v>15</v>
      </c>
      <c r="E1" s="2" t="s">
        <v>16</v>
      </c>
      <c r="F1" s="2" t="s">
        <v>0</v>
      </c>
      <c r="G1" s="4" t="s">
        <v>17</v>
      </c>
      <c r="H1" s="4" t="s">
        <v>18</v>
      </c>
      <c r="I1" s="4" t="s">
        <v>19</v>
      </c>
      <c r="J1" s="4" t="s">
        <v>20</v>
      </c>
      <c r="K1" s="4" t="s">
        <v>588</v>
      </c>
      <c r="L1" s="5" t="s">
        <v>22</v>
      </c>
      <c r="M1" s="5" t="s">
        <v>23</v>
      </c>
    </row>
    <row r="2" spans="1:13">
      <c r="A2" s="7">
        <v>1</v>
      </c>
      <c r="B2" s="15" t="s">
        <v>145</v>
      </c>
      <c r="C2" s="16" t="s">
        <v>146</v>
      </c>
      <c r="D2" s="17" t="s">
        <v>147</v>
      </c>
      <c r="E2" s="15" t="s">
        <v>148</v>
      </c>
      <c r="F2" s="15" t="s">
        <v>8</v>
      </c>
      <c r="G2" s="11"/>
      <c r="H2" s="12"/>
      <c r="I2" s="13"/>
      <c r="J2" s="13"/>
      <c r="K2" s="30"/>
      <c r="L2" s="31"/>
    </row>
    <row r="3" spans="1:13">
      <c r="A3" s="7"/>
      <c r="B3" s="24"/>
      <c r="C3" s="25"/>
      <c r="D3" s="26"/>
      <c r="E3" s="24"/>
      <c r="F3" s="24"/>
      <c r="G3" s="11"/>
      <c r="H3" s="12"/>
      <c r="I3" s="13"/>
      <c r="J3" s="13"/>
      <c r="K3" s="30"/>
      <c r="L3" s="30">
        <f t="shared" ref="L3" si="0">SUM(H3:K3)</f>
        <v>0</v>
      </c>
      <c r="M3" s="31" t="e">
        <f t="shared" ref="M3" si="1">+J3/L3</f>
        <v>#DIV/0!</v>
      </c>
    </row>
    <row r="4" spans="1:13">
      <c r="A4" s="7"/>
      <c r="B4" s="24"/>
      <c r="C4" s="25"/>
      <c r="D4" s="26"/>
      <c r="E4" s="24"/>
      <c r="F4" s="24"/>
      <c r="G4" s="11"/>
      <c r="H4" s="12"/>
      <c r="I4" s="13"/>
      <c r="J4" s="13"/>
      <c r="K4" s="30"/>
      <c r="L4" s="30">
        <f t="shared" ref="L4:L17" si="2">SUM(H4:K4)</f>
        <v>0</v>
      </c>
      <c r="M4" s="31" t="e">
        <f t="shared" ref="M4:M17" si="3">+J4/L4</f>
        <v>#DIV/0!</v>
      </c>
    </row>
    <row r="5" spans="1:13">
      <c r="A5" s="7"/>
      <c r="B5" s="24"/>
      <c r="C5" s="25"/>
      <c r="D5" s="26"/>
      <c r="E5" s="24"/>
      <c r="F5" s="24"/>
      <c r="G5" s="11"/>
      <c r="H5" s="12"/>
      <c r="I5" s="13"/>
      <c r="J5" s="13"/>
      <c r="K5" s="30"/>
      <c r="L5" s="30">
        <f t="shared" si="2"/>
        <v>0</v>
      </c>
      <c r="M5" s="31" t="e">
        <f t="shared" si="3"/>
        <v>#DIV/0!</v>
      </c>
    </row>
    <row r="6" spans="1:13">
      <c r="A6" s="7"/>
      <c r="B6" s="24"/>
      <c r="C6" s="25"/>
      <c r="D6" s="26"/>
      <c r="E6" s="24"/>
      <c r="F6" s="24"/>
      <c r="G6" s="11"/>
      <c r="H6" s="12"/>
      <c r="I6" s="13"/>
      <c r="J6" s="13"/>
      <c r="K6" s="30"/>
      <c r="L6" s="30">
        <f t="shared" si="2"/>
        <v>0</v>
      </c>
      <c r="M6" s="31" t="e">
        <f t="shared" si="3"/>
        <v>#DIV/0!</v>
      </c>
    </row>
    <row r="7" spans="1:13">
      <c r="A7" s="7"/>
      <c r="B7" s="48"/>
      <c r="C7" s="25"/>
      <c r="D7" s="26"/>
      <c r="E7" s="24"/>
      <c r="F7" s="24"/>
      <c r="G7" s="11"/>
      <c r="H7" s="12"/>
      <c r="I7" s="13"/>
      <c r="J7" s="13"/>
      <c r="K7" s="30"/>
      <c r="L7" s="30">
        <f t="shared" si="2"/>
        <v>0</v>
      </c>
      <c r="M7" s="31" t="e">
        <f t="shared" si="3"/>
        <v>#DIV/0!</v>
      </c>
    </row>
    <row r="8" spans="1:13">
      <c r="A8" s="7"/>
      <c r="B8" s="48"/>
      <c r="C8" s="25"/>
      <c r="D8" s="26"/>
      <c r="E8" s="24"/>
      <c r="F8" s="24"/>
      <c r="G8" s="11"/>
      <c r="H8" s="12"/>
      <c r="I8" s="13"/>
      <c r="J8" s="13"/>
      <c r="K8" s="30"/>
      <c r="L8" s="30">
        <f t="shared" si="2"/>
        <v>0</v>
      </c>
      <c r="M8" s="31" t="e">
        <f t="shared" si="3"/>
        <v>#DIV/0!</v>
      </c>
    </row>
    <row r="9" spans="1:13">
      <c r="A9" s="7"/>
      <c r="B9" s="48"/>
      <c r="C9" s="25"/>
      <c r="D9" s="26"/>
      <c r="E9" s="24"/>
      <c r="F9" s="24"/>
      <c r="G9" s="11"/>
      <c r="H9" s="12"/>
      <c r="I9" s="13"/>
      <c r="J9" s="13"/>
      <c r="K9" s="30"/>
      <c r="L9" s="30">
        <f t="shared" si="2"/>
        <v>0</v>
      </c>
      <c r="M9" s="31" t="e">
        <f t="shared" si="3"/>
        <v>#DIV/0!</v>
      </c>
    </row>
    <row r="10" spans="1:13">
      <c r="A10" s="7">
        <f t="shared" ref="A10" si="4">1+A9</f>
        <v>1</v>
      </c>
      <c r="B10" s="19" t="s">
        <v>165</v>
      </c>
      <c r="C10" s="20" t="s">
        <v>166</v>
      </c>
      <c r="D10" s="21" t="s">
        <v>167</v>
      </c>
      <c r="E10" s="19" t="s">
        <v>168</v>
      </c>
      <c r="F10" s="19" t="s">
        <v>10</v>
      </c>
      <c r="G10" s="11"/>
      <c r="H10" s="12"/>
      <c r="I10" s="13"/>
      <c r="J10" s="13"/>
      <c r="K10" s="30"/>
      <c r="L10" s="30"/>
      <c r="M10" s="31"/>
    </row>
    <row r="11" spans="1:13">
      <c r="A11" s="7"/>
      <c r="B11" s="24"/>
      <c r="C11" s="25"/>
      <c r="D11" s="26"/>
      <c r="E11" s="24"/>
      <c r="F11" s="24"/>
      <c r="G11" s="11"/>
      <c r="H11" s="12"/>
      <c r="I11" s="13"/>
      <c r="J11" s="13"/>
      <c r="K11" s="30"/>
      <c r="L11" s="30">
        <f t="shared" si="2"/>
        <v>0</v>
      </c>
      <c r="M11" s="31" t="e">
        <f t="shared" si="3"/>
        <v>#DIV/0!</v>
      </c>
    </row>
    <row r="12" spans="1:13">
      <c r="A12" s="7"/>
      <c r="B12" s="24"/>
      <c r="C12" s="25"/>
      <c r="D12" s="26"/>
      <c r="E12" s="24"/>
      <c r="F12" s="24"/>
      <c r="G12" s="11"/>
      <c r="H12" s="12"/>
      <c r="I12" s="13"/>
      <c r="J12" s="13"/>
      <c r="K12" s="30"/>
      <c r="L12" s="30">
        <f t="shared" si="2"/>
        <v>0</v>
      </c>
      <c r="M12" s="31" t="e">
        <f t="shared" si="3"/>
        <v>#DIV/0!</v>
      </c>
    </row>
    <row r="13" spans="1:13">
      <c r="A13" s="7"/>
      <c r="B13" s="24"/>
      <c r="C13" s="25"/>
      <c r="D13" s="26"/>
      <c r="E13" s="24"/>
      <c r="F13" s="24"/>
      <c r="G13" s="11"/>
      <c r="H13" s="12"/>
      <c r="I13" s="13"/>
      <c r="J13" s="13"/>
      <c r="K13" s="30"/>
      <c r="L13" s="30">
        <f t="shared" si="2"/>
        <v>0</v>
      </c>
      <c r="M13" s="31" t="e">
        <f t="shared" si="3"/>
        <v>#DIV/0!</v>
      </c>
    </row>
    <row r="14" spans="1:13">
      <c r="A14" s="7"/>
      <c r="B14" s="24"/>
      <c r="C14" s="25"/>
      <c r="D14" s="26"/>
      <c r="E14" s="24"/>
      <c r="F14" s="24"/>
      <c r="G14" s="11"/>
      <c r="H14" s="12"/>
      <c r="I14" s="13"/>
      <c r="J14" s="13"/>
      <c r="K14" s="30"/>
      <c r="L14" s="30">
        <f t="shared" si="2"/>
        <v>0</v>
      </c>
      <c r="M14" s="31" t="e">
        <f t="shared" si="3"/>
        <v>#DIV/0!</v>
      </c>
    </row>
    <row r="15" spans="1:13">
      <c r="A15" s="7"/>
      <c r="B15" s="24"/>
      <c r="C15" s="25"/>
      <c r="D15" s="26"/>
      <c r="E15" s="24"/>
      <c r="F15" s="24"/>
      <c r="G15" s="11"/>
      <c r="H15" s="12"/>
      <c r="I15" s="13"/>
      <c r="J15" s="13"/>
      <c r="K15" s="30"/>
      <c r="L15" s="30">
        <f t="shared" si="2"/>
        <v>0</v>
      </c>
      <c r="M15" s="31" t="e">
        <f t="shared" si="3"/>
        <v>#DIV/0!</v>
      </c>
    </row>
    <row r="16" spans="1:13">
      <c r="A16" s="7"/>
      <c r="B16" s="24"/>
      <c r="C16" s="25"/>
      <c r="D16" s="26"/>
      <c r="E16" s="37"/>
      <c r="F16" s="24"/>
      <c r="G16" s="11"/>
      <c r="H16" s="12"/>
      <c r="I16" s="13"/>
      <c r="J16" s="13"/>
      <c r="K16" s="30"/>
      <c r="L16" s="30">
        <f t="shared" si="2"/>
        <v>0</v>
      </c>
      <c r="M16" s="31" t="e">
        <f t="shared" si="3"/>
        <v>#DIV/0!</v>
      </c>
    </row>
    <row r="17" spans="1:13">
      <c r="A17" s="7"/>
      <c r="B17" s="24"/>
      <c r="C17" s="25"/>
      <c r="D17" s="26"/>
      <c r="E17" s="37"/>
      <c r="F17" s="24"/>
      <c r="G17" s="11"/>
      <c r="H17" s="12"/>
      <c r="I17" s="13"/>
      <c r="J17" s="13"/>
      <c r="K17" s="30"/>
      <c r="L17" s="30">
        <f t="shared" si="2"/>
        <v>0</v>
      </c>
      <c r="M17" s="31" t="e">
        <f t="shared" si="3"/>
        <v>#DIV/0!</v>
      </c>
    </row>
  </sheetData>
  <dataValidations count="2">
    <dataValidation type="list" allowBlank="1" showInputMessage="1" showErrorMessage="1" sqref="G11:G17 G3:G9" xr:uid="{4FF45C6A-A147-4052-807F-0B8C7D8EAC99}">
      <formula1>$N$3:$N$9</formula1>
    </dataValidation>
    <dataValidation type="list" allowBlank="1" showInputMessage="1" showErrorMessage="1" sqref="G10 G2:G3" xr:uid="{0F9C3822-848A-478F-B3C2-E94C5D9D0EF3}">
      <formula1>#REF!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8F3F5-F92E-4884-B2F8-6070F9149E42}">
  <dimension ref="A1:M25"/>
  <sheetViews>
    <sheetView zoomScale="70" zoomScaleNormal="70" workbookViewId="0">
      <selection activeCell="I8" sqref="I8"/>
    </sheetView>
  </sheetViews>
  <sheetFormatPr defaultColWidth="11.42578125" defaultRowHeight="14.45"/>
  <cols>
    <col min="1" max="1" width="9.140625" bestFit="1" customWidth="1"/>
    <col min="2" max="2" width="7.85546875" bestFit="1" customWidth="1"/>
    <col min="3" max="3" width="47.42578125" bestFit="1" customWidth="1"/>
    <col min="4" max="4" width="9.85546875" bestFit="1" customWidth="1"/>
    <col min="5" max="5" width="29.5703125" bestFit="1" customWidth="1"/>
    <col min="6" max="6" width="12.5703125" bestFit="1" customWidth="1"/>
    <col min="7" max="7" width="18.140625" bestFit="1" customWidth="1"/>
    <col min="8" max="8" width="11.5703125" bestFit="1" customWidth="1"/>
    <col min="9" max="9" width="17.5703125" bestFit="1" customWidth="1"/>
    <col min="10" max="10" width="12.140625" bestFit="1" customWidth="1"/>
    <col min="11" max="11" width="16.140625" bestFit="1" customWidth="1"/>
    <col min="12" max="12" width="12.85546875" bestFit="1" customWidth="1"/>
    <col min="13" max="13" width="9.85546875" bestFit="1" customWidth="1"/>
  </cols>
  <sheetData>
    <row r="1" spans="1:13" s="6" customFormat="1" ht="36.950000000000003">
      <c r="A1" s="1" t="s">
        <v>12</v>
      </c>
      <c r="B1" s="2" t="s">
        <v>13</v>
      </c>
      <c r="C1" s="3" t="s">
        <v>14</v>
      </c>
      <c r="D1" s="2" t="s">
        <v>15</v>
      </c>
      <c r="E1" s="2" t="s">
        <v>16</v>
      </c>
      <c r="F1" s="2" t="s">
        <v>0</v>
      </c>
      <c r="G1" s="4" t="s">
        <v>17</v>
      </c>
      <c r="H1" s="4" t="s">
        <v>18</v>
      </c>
      <c r="I1" s="4" t="s">
        <v>19</v>
      </c>
      <c r="J1" s="4" t="s">
        <v>20</v>
      </c>
      <c r="K1" s="4" t="s">
        <v>21</v>
      </c>
      <c r="L1" s="5" t="s">
        <v>22</v>
      </c>
      <c r="M1" s="5" t="s">
        <v>23</v>
      </c>
    </row>
    <row r="2" spans="1:13">
      <c r="A2" s="97"/>
      <c r="B2" s="98" t="s">
        <v>183</v>
      </c>
      <c r="C2" s="99" t="s">
        <v>184</v>
      </c>
      <c r="D2" s="100" t="s">
        <v>185</v>
      </c>
      <c r="E2" s="98" t="s">
        <v>186</v>
      </c>
      <c r="F2" s="98" t="s">
        <v>8</v>
      </c>
      <c r="G2" s="101"/>
      <c r="H2" s="102"/>
      <c r="I2" s="103"/>
      <c r="J2" s="103"/>
      <c r="K2" s="104"/>
      <c r="L2" s="105"/>
      <c r="M2" s="13"/>
    </row>
    <row r="3" spans="1:13">
      <c r="A3" s="97"/>
      <c r="B3" s="106" t="s">
        <v>187</v>
      </c>
      <c r="C3" s="107" t="s">
        <v>188</v>
      </c>
      <c r="D3" s="108" t="s">
        <v>189</v>
      </c>
      <c r="E3" s="106" t="s">
        <v>190</v>
      </c>
      <c r="F3" s="106" t="s">
        <v>10</v>
      </c>
      <c r="G3" s="101"/>
      <c r="H3" s="102"/>
      <c r="I3" s="103"/>
      <c r="J3" s="103"/>
      <c r="K3" s="104"/>
      <c r="L3" s="105"/>
      <c r="M3" s="13"/>
    </row>
    <row r="4" spans="1:13">
      <c r="A4" s="97"/>
      <c r="B4" s="109"/>
      <c r="C4" s="110"/>
      <c r="D4" s="111"/>
      <c r="E4" s="109"/>
      <c r="F4" s="109"/>
      <c r="G4" s="101"/>
      <c r="H4" s="102"/>
      <c r="I4" s="103"/>
      <c r="J4" s="103"/>
      <c r="K4" s="104"/>
      <c r="L4" s="30">
        <f t="shared" ref="L4" si="0">SUM(H4:K4)</f>
        <v>0</v>
      </c>
      <c r="M4" s="31" t="e">
        <f t="shared" ref="M4" si="1">+J4/L4</f>
        <v>#DIV/0!</v>
      </c>
    </row>
    <row r="5" spans="1:13">
      <c r="A5" s="97"/>
      <c r="B5" s="109"/>
      <c r="C5" s="110"/>
      <c r="D5" s="111"/>
      <c r="E5" s="109"/>
      <c r="F5" s="109"/>
      <c r="G5" s="101"/>
      <c r="H5" s="101"/>
      <c r="I5" s="103"/>
      <c r="J5" s="103"/>
      <c r="K5" s="104"/>
      <c r="L5" s="30">
        <f t="shared" ref="L5:L15" si="2">SUM(H5:K5)</f>
        <v>0</v>
      </c>
      <c r="M5" s="31" t="e">
        <f t="shared" ref="M5:M15" si="3">+J5/L5</f>
        <v>#DIV/0!</v>
      </c>
    </row>
    <row r="6" spans="1:13">
      <c r="A6" s="97"/>
      <c r="B6" s="109"/>
      <c r="C6" s="110"/>
      <c r="D6" s="111"/>
      <c r="E6" s="109"/>
      <c r="F6" s="109"/>
      <c r="G6" s="101"/>
      <c r="H6" s="101"/>
      <c r="I6" s="103"/>
      <c r="J6" s="103"/>
      <c r="K6" s="104"/>
      <c r="L6" s="30">
        <f t="shared" si="2"/>
        <v>0</v>
      </c>
      <c r="M6" s="31" t="e">
        <f t="shared" si="3"/>
        <v>#DIV/0!</v>
      </c>
    </row>
    <row r="7" spans="1:13">
      <c r="A7" s="97"/>
      <c r="B7" s="112"/>
      <c r="C7" s="110"/>
      <c r="D7" s="113"/>
      <c r="E7" s="114"/>
      <c r="F7" s="115"/>
      <c r="G7" s="101"/>
      <c r="H7" s="102"/>
      <c r="I7" s="103"/>
      <c r="J7" s="103"/>
      <c r="K7" s="104"/>
      <c r="L7" s="30">
        <f t="shared" si="2"/>
        <v>0</v>
      </c>
      <c r="M7" s="31" t="e">
        <f t="shared" si="3"/>
        <v>#DIV/0!</v>
      </c>
    </row>
    <row r="8" spans="1:13">
      <c r="A8" s="97"/>
      <c r="B8" s="109"/>
      <c r="C8" s="110"/>
      <c r="D8" s="111"/>
      <c r="E8" s="109"/>
      <c r="F8" s="109"/>
      <c r="G8" s="101"/>
      <c r="H8" s="102"/>
      <c r="I8" s="103"/>
      <c r="J8" s="103"/>
      <c r="K8" s="104"/>
      <c r="L8" s="30">
        <f t="shared" si="2"/>
        <v>0</v>
      </c>
      <c r="M8" s="31" t="e">
        <f t="shared" si="3"/>
        <v>#DIV/0!</v>
      </c>
    </row>
    <row r="9" spans="1:13">
      <c r="A9" s="97"/>
      <c r="B9" s="109"/>
      <c r="C9" s="110"/>
      <c r="D9" s="111"/>
      <c r="E9" s="109"/>
      <c r="F9" s="109"/>
      <c r="G9" s="101"/>
      <c r="H9" s="102"/>
      <c r="I9" s="103"/>
      <c r="J9" s="103"/>
      <c r="K9" s="104"/>
      <c r="L9" s="30">
        <f t="shared" si="2"/>
        <v>0</v>
      </c>
      <c r="M9" s="31" t="e">
        <f t="shared" si="3"/>
        <v>#DIV/0!</v>
      </c>
    </row>
    <row r="10" spans="1:13">
      <c r="A10" s="97"/>
      <c r="B10" s="109"/>
      <c r="C10" s="110"/>
      <c r="D10" s="111"/>
      <c r="E10" s="109"/>
      <c r="F10" s="109"/>
      <c r="G10" s="101"/>
      <c r="H10" s="102"/>
      <c r="I10" s="103"/>
      <c r="J10" s="103"/>
      <c r="K10" s="104"/>
      <c r="L10" s="30">
        <f t="shared" si="2"/>
        <v>0</v>
      </c>
      <c r="M10" s="31" t="e">
        <f t="shared" si="3"/>
        <v>#DIV/0!</v>
      </c>
    </row>
    <row r="11" spans="1:13">
      <c r="A11" s="97"/>
      <c r="B11" s="109"/>
      <c r="C11" s="110"/>
      <c r="D11" s="111"/>
      <c r="E11" s="109"/>
      <c r="F11" s="109"/>
      <c r="G11" s="101"/>
      <c r="H11" s="102"/>
      <c r="I11" s="103"/>
      <c r="J11" s="103"/>
      <c r="K11" s="104"/>
      <c r="L11" s="30">
        <f t="shared" si="2"/>
        <v>0</v>
      </c>
      <c r="M11" s="31" t="e">
        <f t="shared" si="3"/>
        <v>#DIV/0!</v>
      </c>
    </row>
    <row r="12" spans="1:13">
      <c r="A12" s="97"/>
      <c r="B12" s="109"/>
      <c r="C12" s="110"/>
      <c r="D12" s="111"/>
      <c r="E12" s="109"/>
      <c r="F12" s="109"/>
      <c r="G12" s="101"/>
      <c r="H12" s="102"/>
      <c r="I12" s="103"/>
      <c r="J12" s="103"/>
      <c r="K12" s="104"/>
      <c r="L12" s="30">
        <f t="shared" si="2"/>
        <v>0</v>
      </c>
      <c r="M12" s="31" t="e">
        <f t="shared" si="3"/>
        <v>#DIV/0!</v>
      </c>
    </row>
    <row r="13" spans="1:13">
      <c r="A13" s="97"/>
      <c r="B13" s="109"/>
      <c r="C13" s="110"/>
      <c r="D13" s="111"/>
      <c r="E13" s="109"/>
      <c r="F13" s="109"/>
      <c r="G13" s="101"/>
      <c r="H13" s="102"/>
      <c r="I13" s="103"/>
      <c r="J13" s="103"/>
      <c r="K13" s="104"/>
      <c r="L13" s="30">
        <f t="shared" si="2"/>
        <v>0</v>
      </c>
      <c r="M13" s="31" t="e">
        <f t="shared" si="3"/>
        <v>#DIV/0!</v>
      </c>
    </row>
    <row r="14" spans="1:13">
      <c r="A14" s="97"/>
      <c r="B14" s="109"/>
      <c r="C14" s="110"/>
      <c r="D14" s="111"/>
      <c r="E14" s="109"/>
      <c r="F14" s="109"/>
      <c r="G14" s="101"/>
      <c r="H14" s="102"/>
      <c r="I14" s="103"/>
      <c r="J14" s="103"/>
      <c r="K14" s="104"/>
      <c r="L14" s="30">
        <f t="shared" si="2"/>
        <v>0</v>
      </c>
      <c r="M14" s="31" t="e">
        <f t="shared" si="3"/>
        <v>#DIV/0!</v>
      </c>
    </row>
    <row r="15" spans="1:13">
      <c r="A15" s="97"/>
      <c r="B15" s="109"/>
      <c r="C15" s="110"/>
      <c r="D15" s="111"/>
      <c r="E15" s="109"/>
      <c r="F15" s="109"/>
      <c r="G15" s="101"/>
      <c r="H15" s="102"/>
      <c r="I15" s="103"/>
      <c r="J15" s="103"/>
      <c r="K15" s="104"/>
      <c r="L15" s="30">
        <f t="shared" si="2"/>
        <v>0</v>
      </c>
      <c r="M15" s="31" t="e">
        <f t="shared" si="3"/>
        <v>#DIV/0!</v>
      </c>
    </row>
    <row r="16" spans="1:13">
      <c r="A16" s="97"/>
      <c r="B16" s="106" t="s">
        <v>217</v>
      </c>
      <c r="C16" s="107" t="s">
        <v>218</v>
      </c>
      <c r="D16" s="108" t="s">
        <v>219</v>
      </c>
      <c r="E16" s="106" t="s">
        <v>220</v>
      </c>
      <c r="F16" s="106" t="s">
        <v>10</v>
      </c>
      <c r="G16" s="101"/>
      <c r="H16" s="102"/>
      <c r="I16" s="103"/>
      <c r="J16" s="103"/>
      <c r="K16" s="104"/>
      <c r="L16" s="105"/>
      <c r="M16" s="13"/>
    </row>
    <row r="17" spans="1:13">
      <c r="A17" s="97"/>
      <c r="B17" s="109"/>
      <c r="C17" s="110"/>
      <c r="D17" s="111"/>
      <c r="E17" s="109"/>
      <c r="F17" s="109"/>
      <c r="G17" s="101"/>
      <c r="H17" s="102"/>
      <c r="I17" s="103"/>
      <c r="J17" s="103"/>
      <c r="K17" s="104"/>
      <c r="L17" s="30">
        <f t="shared" ref="L17:L25" si="4">SUM(H17:K17)</f>
        <v>0</v>
      </c>
      <c r="M17" s="31" t="e">
        <f t="shared" ref="M17:M25" si="5">+J17/L17</f>
        <v>#DIV/0!</v>
      </c>
    </row>
    <row r="18" spans="1:13">
      <c r="A18" s="97"/>
      <c r="B18" s="109"/>
      <c r="C18" s="110"/>
      <c r="D18" s="111"/>
      <c r="E18" s="109"/>
      <c r="F18" s="109"/>
      <c r="G18" s="101"/>
      <c r="H18" s="102"/>
      <c r="I18" s="103"/>
      <c r="J18" s="103"/>
      <c r="K18" s="104"/>
      <c r="L18" s="30">
        <f t="shared" si="4"/>
        <v>0</v>
      </c>
      <c r="M18" s="31" t="e">
        <f t="shared" si="5"/>
        <v>#DIV/0!</v>
      </c>
    </row>
    <row r="19" spans="1:13">
      <c r="A19" s="97"/>
      <c r="B19" s="109"/>
      <c r="C19" s="110"/>
      <c r="D19" s="111"/>
      <c r="E19" s="109"/>
      <c r="F19" s="109"/>
      <c r="G19" s="101"/>
      <c r="H19" s="102"/>
      <c r="I19" s="103"/>
      <c r="J19" s="103"/>
      <c r="K19" s="104"/>
      <c r="L19" s="30">
        <f t="shared" si="4"/>
        <v>0</v>
      </c>
      <c r="M19" s="31" t="e">
        <f t="shared" si="5"/>
        <v>#DIV/0!</v>
      </c>
    </row>
    <row r="20" spans="1:13">
      <c r="A20" s="97"/>
      <c r="B20" s="109"/>
      <c r="C20" s="110"/>
      <c r="D20" s="111"/>
      <c r="E20" s="109"/>
      <c r="F20" s="109"/>
      <c r="G20" s="101"/>
      <c r="H20" s="102"/>
      <c r="I20" s="103"/>
      <c r="J20" s="103"/>
      <c r="K20" s="104"/>
      <c r="L20" s="30">
        <f t="shared" si="4"/>
        <v>0</v>
      </c>
      <c r="M20" s="31" t="e">
        <f t="shared" si="5"/>
        <v>#DIV/0!</v>
      </c>
    </row>
    <row r="21" spans="1:13">
      <c r="A21" s="97"/>
      <c r="B21" s="109"/>
      <c r="C21" s="110"/>
      <c r="D21" s="111"/>
      <c r="E21" s="109"/>
      <c r="F21" s="109"/>
      <c r="G21" s="101"/>
      <c r="H21" s="102"/>
      <c r="I21" s="103"/>
      <c r="J21" s="103"/>
      <c r="K21" s="104"/>
      <c r="L21" s="30">
        <f t="shared" si="4"/>
        <v>0</v>
      </c>
      <c r="M21" s="31" t="e">
        <f t="shared" si="5"/>
        <v>#DIV/0!</v>
      </c>
    </row>
    <row r="22" spans="1:13">
      <c r="A22" s="97"/>
      <c r="B22" s="109"/>
      <c r="C22" s="110"/>
      <c r="D22" s="111"/>
      <c r="E22" s="109"/>
      <c r="F22" s="109"/>
      <c r="G22" s="101"/>
      <c r="H22" s="102"/>
      <c r="I22" s="103"/>
      <c r="J22" s="103"/>
      <c r="K22" s="104"/>
      <c r="L22" s="30">
        <f t="shared" si="4"/>
        <v>0</v>
      </c>
      <c r="M22" s="31" t="e">
        <f t="shared" si="5"/>
        <v>#DIV/0!</v>
      </c>
    </row>
    <row r="23" spans="1:13">
      <c r="A23" s="97"/>
      <c r="B23" s="109"/>
      <c r="C23" s="110"/>
      <c r="D23" s="111"/>
      <c r="E23" s="109"/>
      <c r="F23" s="109"/>
      <c r="G23" s="101"/>
      <c r="H23" s="102"/>
      <c r="I23" s="103"/>
      <c r="J23" s="103"/>
      <c r="K23" s="104"/>
      <c r="L23" s="30">
        <f t="shared" si="4"/>
        <v>0</v>
      </c>
      <c r="M23" s="31" t="e">
        <f t="shared" si="5"/>
        <v>#DIV/0!</v>
      </c>
    </row>
    <row r="24" spans="1:13">
      <c r="A24" s="97"/>
      <c r="B24" s="109"/>
      <c r="C24" s="110"/>
      <c r="D24" s="111"/>
      <c r="E24" s="116"/>
      <c r="F24" s="109"/>
      <c r="G24" s="101"/>
      <c r="H24" s="102"/>
      <c r="I24" s="103"/>
      <c r="J24" s="103"/>
      <c r="K24" s="104"/>
      <c r="L24" s="30">
        <f t="shared" si="4"/>
        <v>0</v>
      </c>
      <c r="M24" s="31" t="e">
        <f t="shared" si="5"/>
        <v>#DIV/0!</v>
      </c>
    </row>
    <row r="25" spans="1:13">
      <c r="A25" s="97"/>
      <c r="B25" s="109"/>
      <c r="C25" s="110"/>
      <c r="D25" s="111"/>
      <c r="E25" s="109"/>
      <c r="F25" s="109"/>
      <c r="G25" s="101"/>
      <c r="H25" s="102"/>
      <c r="I25" s="103"/>
      <c r="J25" s="103"/>
      <c r="K25" s="104"/>
      <c r="L25" s="30">
        <f t="shared" si="4"/>
        <v>0</v>
      </c>
      <c r="M25" s="31" t="e">
        <f t="shared" si="5"/>
        <v>#DIV/0!</v>
      </c>
    </row>
  </sheetData>
  <dataValidations disablePrompts="1" count="2">
    <dataValidation type="list" allowBlank="1" showInputMessage="1" showErrorMessage="1" sqref="G4:G25" xr:uid="{3D51EFEA-E73F-4AC6-919A-A1645B25DBFC}">
      <formula1>$N$2:$N$8</formula1>
    </dataValidation>
    <dataValidation type="list" allowBlank="1" showInputMessage="1" showErrorMessage="1" sqref="G2:G3" xr:uid="{89148B64-7DB5-4772-8366-E15172A44198}">
      <formula1>#REF!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1ECC1-ACD6-4B5E-9FE2-60E7D1CCAEDF}">
  <dimension ref="A1:M34"/>
  <sheetViews>
    <sheetView zoomScale="70" zoomScaleNormal="70" workbookViewId="0">
      <selection activeCell="L11" sqref="L11"/>
    </sheetView>
  </sheetViews>
  <sheetFormatPr defaultColWidth="11.42578125" defaultRowHeight="14.45"/>
  <cols>
    <col min="1" max="1" width="9.140625" bestFit="1" customWidth="1"/>
    <col min="2" max="2" width="7.85546875" bestFit="1" customWidth="1"/>
    <col min="3" max="3" width="46.85546875" bestFit="1" customWidth="1"/>
    <col min="4" max="4" width="9.85546875" bestFit="1" customWidth="1"/>
    <col min="5" max="5" width="41.42578125" bestFit="1" customWidth="1"/>
    <col min="6" max="6" width="12.5703125" bestFit="1" customWidth="1"/>
    <col min="7" max="7" width="18.140625" bestFit="1" customWidth="1"/>
    <col min="8" max="8" width="11.5703125" bestFit="1" customWidth="1"/>
    <col min="9" max="9" width="17.5703125" bestFit="1" customWidth="1"/>
    <col min="10" max="10" width="12.140625" bestFit="1" customWidth="1"/>
    <col min="11" max="11" width="15.140625" bestFit="1" customWidth="1"/>
    <col min="12" max="12" width="11.85546875" bestFit="1" customWidth="1"/>
    <col min="13" max="13" width="9.5703125" bestFit="1" customWidth="1"/>
  </cols>
  <sheetData>
    <row r="1" spans="1:13" s="6" customFormat="1" ht="36.950000000000003">
      <c r="A1" s="1" t="s">
        <v>12</v>
      </c>
      <c r="B1" s="2" t="s">
        <v>13</v>
      </c>
      <c r="C1" s="3" t="s">
        <v>14</v>
      </c>
      <c r="D1" s="2" t="s">
        <v>15</v>
      </c>
      <c r="E1" s="2" t="s">
        <v>16</v>
      </c>
      <c r="F1" s="2" t="s">
        <v>0</v>
      </c>
      <c r="G1" s="4" t="s">
        <v>17</v>
      </c>
      <c r="H1" s="4" t="s">
        <v>18</v>
      </c>
      <c r="I1" s="4" t="s">
        <v>19</v>
      </c>
      <c r="J1" s="4" t="s">
        <v>20</v>
      </c>
      <c r="K1" s="4" t="s">
        <v>21</v>
      </c>
      <c r="L1" s="5" t="s">
        <v>22</v>
      </c>
      <c r="M1" s="5" t="s">
        <v>23</v>
      </c>
    </row>
    <row r="2" spans="1:13" s="121" customFormat="1">
      <c r="A2" s="97"/>
      <c r="B2" s="120" t="s">
        <v>142</v>
      </c>
      <c r="C2" s="117" t="s">
        <v>238</v>
      </c>
      <c r="D2" s="118" t="s">
        <v>239</v>
      </c>
      <c r="E2" s="120" t="s">
        <v>240</v>
      </c>
      <c r="F2" s="120" t="s">
        <v>7</v>
      </c>
      <c r="G2" s="101"/>
      <c r="H2" s="102"/>
      <c r="I2" s="103"/>
      <c r="J2" s="103"/>
      <c r="K2" s="103"/>
      <c r="L2" s="103"/>
      <c r="M2" s="104"/>
    </row>
    <row r="3" spans="1:13" s="121" customFormat="1">
      <c r="A3" s="97"/>
      <c r="B3" s="98" t="s">
        <v>241</v>
      </c>
      <c r="C3" s="99" t="s">
        <v>81</v>
      </c>
      <c r="D3" s="100" t="s">
        <v>242</v>
      </c>
      <c r="E3" s="98" t="s">
        <v>243</v>
      </c>
      <c r="F3" s="98" t="s">
        <v>8</v>
      </c>
      <c r="G3" s="101"/>
      <c r="H3" s="102"/>
      <c r="I3" s="103"/>
      <c r="J3" s="103"/>
      <c r="K3" s="103"/>
      <c r="L3" s="103"/>
      <c r="M3" s="104"/>
    </row>
    <row r="4" spans="1:13" s="121" customFormat="1">
      <c r="A4" s="97"/>
      <c r="B4" s="106" t="s">
        <v>249</v>
      </c>
      <c r="C4" s="107" t="s">
        <v>85</v>
      </c>
      <c r="D4" s="108" t="s">
        <v>250</v>
      </c>
      <c r="E4" s="106" t="s">
        <v>251</v>
      </c>
      <c r="F4" s="106" t="s">
        <v>10</v>
      </c>
      <c r="G4" s="101"/>
      <c r="H4" s="102"/>
      <c r="I4" s="103"/>
      <c r="J4" s="103"/>
      <c r="K4" s="103"/>
      <c r="L4" s="103"/>
      <c r="M4" s="104"/>
    </row>
    <row r="5" spans="1:13" s="121" customFormat="1">
      <c r="A5" s="97"/>
      <c r="B5" s="110"/>
      <c r="C5" s="110"/>
      <c r="D5" s="111"/>
      <c r="E5" s="142"/>
      <c r="F5" s="109"/>
      <c r="G5" s="101"/>
      <c r="H5" s="102"/>
      <c r="I5" s="103"/>
      <c r="J5" s="103"/>
      <c r="K5" s="103"/>
      <c r="L5" s="30">
        <f t="shared" ref="L5" si="0">SUM(H5:K5)</f>
        <v>0</v>
      </c>
      <c r="M5" s="31" t="e">
        <f t="shared" ref="M5" si="1">+J5/L5</f>
        <v>#DIV/0!</v>
      </c>
    </row>
    <row r="6" spans="1:13" s="121" customFormat="1">
      <c r="A6" s="97"/>
      <c r="B6" s="109"/>
      <c r="C6" s="110"/>
      <c r="D6" s="111"/>
      <c r="E6" s="142"/>
      <c r="F6" s="109"/>
      <c r="G6" s="101"/>
      <c r="H6" s="102"/>
      <c r="I6" s="103"/>
      <c r="J6" s="103"/>
      <c r="K6" s="103"/>
      <c r="L6" s="30">
        <f t="shared" ref="L6:L12" si="2">SUM(H6:K6)</f>
        <v>0</v>
      </c>
      <c r="M6" s="31" t="e">
        <f t="shared" ref="M6:M12" si="3">+J6/L6</f>
        <v>#DIV/0!</v>
      </c>
    </row>
    <row r="7" spans="1:13" s="121" customFormat="1">
      <c r="A7" s="97"/>
      <c r="B7" s="109"/>
      <c r="C7" s="110"/>
      <c r="D7" s="111"/>
      <c r="E7" s="142"/>
      <c r="F7" s="109"/>
      <c r="G7" s="101"/>
      <c r="H7" s="102"/>
      <c r="I7" s="103"/>
      <c r="J7" s="103"/>
      <c r="K7" s="103"/>
      <c r="L7" s="30">
        <f t="shared" si="2"/>
        <v>0</v>
      </c>
      <c r="M7" s="31" t="e">
        <f t="shared" si="3"/>
        <v>#DIV/0!</v>
      </c>
    </row>
    <row r="8" spans="1:13" s="121" customFormat="1">
      <c r="A8" s="97"/>
      <c r="B8" s="109"/>
      <c r="C8" s="110"/>
      <c r="D8" s="111"/>
      <c r="E8" s="142"/>
      <c r="F8" s="109"/>
      <c r="G8" s="101"/>
      <c r="H8" s="102"/>
      <c r="I8" s="103"/>
      <c r="J8" s="103"/>
      <c r="K8" s="103"/>
      <c r="L8" s="30">
        <f t="shared" si="2"/>
        <v>0</v>
      </c>
      <c r="M8" s="31" t="e">
        <f t="shared" si="3"/>
        <v>#DIV/0!</v>
      </c>
    </row>
    <row r="9" spans="1:13" s="121" customFormat="1">
      <c r="A9" s="97"/>
      <c r="B9" s="109"/>
      <c r="C9" s="110"/>
      <c r="D9" s="111"/>
      <c r="E9" s="142"/>
      <c r="F9" s="109"/>
      <c r="G9" s="101"/>
      <c r="H9" s="102"/>
      <c r="I9" s="103"/>
      <c r="J9" s="103"/>
      <c r="K9" s="103"/>
      <c r="L9" s="30">
        <f t="shared" si="2"/>
        <v>0</v>
      </c>
      <c r="M9" s="31" t="e">
        <f t="shared" si="3"/>
        <v>#DIV/0!</v>
      </c>
    </row>
    <row r="10" spans="1:13" s="121" customFormat="1">
      <c r="A10" s="97"/>
      <c r="B10" s="109"/>
      <c r="C10" s="110"/>
      <c r="D10" s="111"/>
      <c r="E10" s="143"/>
      <c r="F10" s="109"/>
      <c r="G10" s="101"/>
      <c r="H10" s="102"/>
      <c r="I10" s="103"/>
      <c r="J10" s="103"/>
      <c r="K10" s="103"/>
      <c r="L10" s="30">
        <f t="shared" si="2"/>
        <v>0</v>
      </c>
      <c r="M10" s="31" t="e">
        <f t="shared" si="3"/>
        <v>#DIV/0!</v>
      </c>
    </row>
    <row r="11" spans="1:13" s="121" customFormat="1">
      <c r="A11" s="97"/>
      <c r="B11" s="109"/>
      <c r="C11" s="110"/>
      <c r="D11" s="111"/>
      <c r="E11" s="142"/>
      <c r="F11" s="109"/>
      <c r="G11" s="101"/>
      <c r="H11" s="102"/>
      <c r="I11" s="103"/>
      <c r="J11" s="103"/>
      <c r="K11" s="103"/>
      <c r="L11" s="30">
        <f t="shared" si="2"/>
        <v>0</v>
      </c>
      <c r="M11" s="31" t="e">
        <f t="shared" si="3"/>
        <v>#DIV/0!</v>
      </c>
    </row>
    <row r="12" spans="1:13" s="121" customFormat="1">
      <c r="A12" s="97"/>
      <c r="B12" s="109"/>
      <c r="C12" s="110"/>
      <c r="D12" s="111"/>
      <c r="E12" s="142"/>
      <c r="F12" s="109"/>
      <c r="G12" s="101"/>
      <c r="H12" s="102"/>
      <c r="I12" s="103"/>
      <c r="J12" s="103"/>
      <c r="K12" s="103"/>
      <c r="L12" s="30">
        <f t="shared" si="2"/>
        <v>0</v>
      </c>
      <c r="M12" s="31" t="e">
        <f t="shared" si="3"/>
        <v>#DIV/0!</v>
      </c>
    </row>
    <row r="13" spans="1:13" s="121" customFormat="1">
      <c r="A13" s="97"/>
      <c r="B13" s="109"/>
      <c r="C13" s="110"/>
      <c r="D13" s="144"/>
      <c r="E13" s="145"/>
      <c r="F13" s="109"/>
      <c r="G13" s="101"/>
      <c r="H13" s="102"/>
      <c r="I13" s="103"/>
      <c r="J13" s="103"/>
      <c r="K13" s="103"/>
      <c r="L13" s="103"/>
      <c r="M13" s="104"/>
    </row>
    <row r="14" spans="1:13" s="121" customFormat="1">
      <c r="A14" s="97"/>
      <c r="B14" s="146" t="s">
        <v>272</v>
      </c>
      <c r="C14" s="147" t="s">
        <v>92</v>
      </c>
      <c r="D14" s="108" t="s">
        <v>273</v>
      </c>
      <c r="E14" s="106" t="s">
        <v>274</v>
      </c>
      <c r="F14" s="106" t="s">
        <v>10</v>
      </c>
      <c r="G14" s="101"/>
      <c r="H14" s="148"/>
      <c r="I14" s="133"/>
      <c r="J14" s="133"/>
      <c r="K14" s="133"/>
      <c r="L14" s="133"/>
      <c r="M14" s="104"/>
    </row>
    <row r="15" spans="1:13" s="121" customFormat="1">
      <c r="A15" s="97"/>
      <c r="B15" s="109"/>
      <c r="C15" s="110"/>
      <c r="D15" s="111"/>
      <c r="E15" s="142"/>
      <c r="F15" s="109"/>
      <c r="G15" s="101"/>
      <c r="H15" s="102"/>
      <c r="I15" s="103"/>
      <c r="J15" s="103"/>
      <c r="K15" s="103"/>
      <c r="L15" s="30">
        <f t="shared" ref="L15" si="4">SUM(H15:K15)</f>
        <v>0</v>
      </c>
      <c r="M15" s="31" t="e">
        <f t="shared" ref="M15" si="5">+J15/L15</f>
        <v>#DIV/0!</v>
      </c>
    </row>
    <row r="16" spans="1:13" s="121" customFormat="1">
      <c r="A16" s="97"/>
      <c r="B16" s="109"/>
      <c r="C16" s="110"/>
      <c r="D16" s="111"/>
      <c r="E16" s="142"/>
      <c r="F16" s="109"/>
      <c r="G16" s="101"/>
      <c r="H16" s="102"/>
      <c r="I16" s="103"/>
      <c r="J16" s="103"/>
      <c r="K16" s="103"/>
      <c r="L16" s="30">
        <f t="shared" ref="L16:L24" si="6">SUM(H16:K16)</f>
        <v>0</v>
      </c>
      <c r="M16" s="31" t="e">
        <f t="shared" ref="M16:M24" si="7">+J16/L16</f>
        <v>#DIV/0!</v>
      </c>
    </row>
    <row r="17" spans="1:13" s="121" customFormat="1">
      <c r="A17" s="97"/>
      <c r="B17" s="109"/>
      <c r="C17" s="110"/>
      <c r="D17" s="111"/>
      <c r="E17" s="142"/>
      <c r="F17" s="109"/>
      <c r="G17" s="101"/>
      <c r="H17" s="102"/>
      <c r="I17" s="103"/>
      <c r="J17" s="103"/>
      <c r="K17" s="103"/>
      <c r="L17" s="30">
        <f t="shared" si="6"/>
        <v>0</v>
      </c>
      <c r="M17" s="31" t="e">
        <f t="shared" si="7"/>
        <v>#DIV/0!</v>
      </c>
    </row>
    <row r="18" spans="1:13" s="121" customFormat="1">
      <c r="A18" s="97"/>
      <c r="B18" s="109"/>
      <c r="C18" s="110"/>
      <c r="D18" s="111"/>
      <c r="E18" s="142"/>
      <c r="F18" s="109"/>
      <c r="G18" s="101"/>
      <c r="H18" s="102"/>
      <c r="I18" s="103"/>
      <c r="J18" s="103"/>
      <c r="K18" s="103"/>
      <c r="L18" s="30">
        <f t="shared" si="6"/>
        <v>0</v>
      </c>
      <c r="M18" s="31" t="e">
        <f t="shared" si="7"/>
        <v>#DIV/0!</v>
      </c>
    </row>
    <row r="19" spans="1:13" s="121" customFormat="1">
      <c r="A19" s="97"/>
      <c r="B19" s="109"/>
      <c r="C19" s="110"/>
      <c r="D19" s="111"/>
      <c r="E19" s="142"/>
      <c r="F19" s="109"/>
      <c r="G19" s="101"/>
      <c r="H19" s="102"/>
      <c r="I19" s="103"/>
      <c r="J19" s="103"/>
      <c r="K19" s="103"/>
      <c r="L19" s="30">
        <f t="shared" si="6"/>
        <v>0</v>
      </c>
      <c r="M19" s="31" t="e">
        <f t="shared" si="7"/>
        <v>#DIV/0!</v>
      </c>
    </row>
    <row r="20" spans="1:13" s="121" customFormat="1">
      <c r="A20" s="97"/>
      <c r="B20" s="109"/>
      <c r="C20" s="110"/>
      <c r="D20" s="111"/>
      <c r="E20" s="142"/>
      <c r="F20" s="109"/>
      <c r="G20" s="101"/>
      <c r="H20" s="102"/>
      <c r="I20" s="103"/>
      <c r="J20" s="103"/>
      <c r="K20" s="103"/>
      <c r="L20" s="30">
        <f t="shared" si="6"/>
        <v>0</v>
      </c>
      <c r="M20" s="31" t="e">
        <f t="shared" si="7"/>
        <v>#DIV/0!</v>
      </c>
    </row>
    <row r="21" spans="1:13" s="121" customFormat="1">
      <c r="A21" s="97"/>
      <c r="B21" s="109"/>
      <c r="C21" s="110"/>
      <c r="D21" s="111"/>
      <c r="E21" s="142"/>
      <c r="F21" s="109"/>
      <c r="G21" s="101"/>
      <c r="H21" s="102"/>
      <c r="I21" s="103"/>
      <c r="J21" s="103"/>
      <c r="K21" s="103"/>
      <c r="L21" s="30">
        <f t="shared" si="6"/>
        <v>0</v>
      </c>
      <c r="M21" s="31" t="e">
        <f t="shared" si="7"/>
        <v>#DIV/0!</v>
      </c>
    </row>
    <row r="22" spans="1:13" s="121" customFormat="1">
      <c r="A22" s="97"/>
      <c r="B22" s="109"/>
      <c r="C22" s="110"/>
      <c r="D22" s="144"/>
      <c r="E22" s="145"/>
      <c r="F22" s="109"/>
      <c r="G22" s="101"/>
      <c r="H22" s="102"/>
      <c r="I22" s="103"/>
      <c r="J22" s="103"/>
      <c r="K22" s="103"/>
      <c r="L22" s="30">
        <f t="shared" si="6"/>
        <v>0</v>
      </c>
      <c r="M22" s="31" t="e">
        <f t="shared" si="7"/>
        <v>#DIV/0!</v>
      </c>
    </row>
    <row r="23" spans="1:13" s="121" customFormat="1">
      <c r="A23" s="97"/>
      <c r="B23" s="114"/>
      <c r="C23" s="110"/>
      <c r="D23" s="113"/>
      <c r="E23" s="59"/>
      <c r="F23" s="115"/>
      <c r="G23" s="101"/>
      <c r="H23" s="102"/>
      <c r="I23" s="103"/>
      <c r="J23" s="103"/>
      <c r="K23" s="103"/>
      <c r="L23" s="30">
        <f t="shared" si="6"/>
        <v>0</v>
      </c>
      <c r="M23" s="31" t="e">
        <f t="shared" si="7"/>
        <v>#DIV/0!</v>
      </c>
    </row>
    <row r="24" spans="1:13" s="121" customFormat="1">
      <c r="A24" s="97"/>
      <c r="B24" s="115"/>
      <c r="C24" s="110"/>
      <c r="D24" s="113"/>
      <c r="E24" s="59"/>
      <c r="F24" s="115"/>
      <c r="G24" s="101"/>
      <c r="H24" s="102"/>
      <c r="I24" s="103"/>
      <c r="J24" s="103"/>
      <c r="K24" s="103"/>
      <c r="L24" s="30">
        <f t="shared" si="6"/>
        <v>0</v>
      </c>
      <c r="M24" s="31" t="e">
        <f t="shared" si="7"/>
        <v>#DIV/0!</v>
      </c>
    </row>
    <row r="25" spans="1:13" s="121" customFormat="1">
      <c r="A25" s="97"/>
      <c r="B25" s="106" t="s">
        <v>297</v>
      </c>
      <c r="C25" s="107" t="s">
        <v>122</v>
      </c>
      <c r="D25" s="108" t="s">
        <v>298</v>
      </c>
      <c r="E25" s="106" t="s">
        <v>299</v>
      </c>
      <c r="F25" s="106" t="s">
        <v>10</v>
      </c>
      <c r="G25" s="101"/>
      <c r="H25" s="102"/>
      <c r="I25" s="103"/>
      <c r="J25" s="103"/>
      <c r="K25" s="103"/>
      <c r="L25" s="103"/>
      <c r="M25" s="104"/>
    </row>
    <row r="26" spans="1:13" s="121" customFormat="1">
      <c r="A26" s="97"/>
      <c r="B26" s="109"/>
      <c r="C26" s="110"/>
      <c r="D26" s="111"/>
      <c r="E26" s="142"/>
      <c r="F26" s="109"/>
      <c r="G26" s="101"/>
      <c r="H26" s="102"/>
      <c r="I26" s="103"/>
      <c r="J26" s="103"/>
      <c r="K26" s="103"/>
      <c r="L26" s="30">
        <f t="shared" ref="L26" si="8">SUM(H26:K26)</f>
        <v>0</v>
      </c>
      <c r="M26" s="31" t="e">
        <f t="shared" ref="M26" si="9">+J26/L26</f>
        <v>#DIV/0!</v>
      </c>
    </row>
    <row r="27" spans="1:13" s="121" customFormat="1">
      <c r="A27" s="97"/>
      <c r="B27" s="109"/>
      <c r="C27" s="110"/>
      <c r="D27" s="111"/>
      <c r="E27" s="142"/>
      <c r="F27" s="109"/>
      <c r="G27" s="101"/>
      <c r="H27" s="102"/>
      <c r="I27" s="103"/>
      <c r="J27" s="103"/>
      <c r="K27" s="103"/>
      <c r="L27" s="30">
        <f t="shared" ref="L27:L34" si="10">SUM(H27:K27)</f>
        <v>0</v>
      </c>
      <c r="M27" s="31" t="e">
        <f t="shared" ref="M27:M34" si="11">+J27/L27</f>
        <v>#DIV/0!</v>
      </c>
    </row>
    <row r="28" spans="1:13" s="121" customFormat="1">
      <c r="A28" s="97"/>
      <c r="B28" s="109"/>
      <c r="C28" s="110"/>
      <c r="D28" s="111"/>
      <c r="E28" s="142"/>
      <c r="F28" s="109"/>
      <c r="G28" s="101"/>
      <c r="H28" s="102"/>
      <c r="I28" s="103"/>
      <c r="J28" s="103"/>
      <c r="K28" s="103"/>
      <c r="L28" s="30">
        <f t="shared" si="10"/>
        <v>0</v>
      </c>
      <c r="M28" s="31" t="e">
        <f t="shared" si="11"/>
        <v>#DIV/0!</v>
      </c>
    </row>
    <row r="29" spans="1:13" s="121" customFormat="1">
      <c r="A29" s="97"/>
      <c r="B29" s="109"/>
      <c r="C29" s="110"/>
      <c r="D29" s="111"/>
      <c r="E29" s="142"/>
      <c r="F29" s="109"/>
      <c r="G29" s="101"/>
      <c r="H29" s="102"/>
      <c r="I29" s="103"/>
      <c r="J29" s="103"/>
      <c r="K29" s="103"/>
      <c r="L29" s="30">
        <f t="shared" si="10"/>
        <v>0</v>
      </c>
      <c r="M29" s="31" t="e">
        <f t="shared" si="11"/>
        <v>#DIV/0!</v>
      </c>
    </row>
    <row r="30" spans="1:13" s="121" customFormat="1">
      <c r="A30" s="97"/>
      <c r="B30" s="109"/>
      <c r="C30" s="110"/>
      <c r="D30" s="111"/>
      <c r="E30" s="142"/>
      <c r="F30" s="109"/>
      <c r="G30" s="101"/>
      <c r="H30" s="102"/>
      <c r="I30" s="103"/>
      <c r="J30" s="103"/>
      <c r="K30" s="103"/>
      <c r="L30" s="30">
        <f t="shared" si="10"/>
        <v>0</v>
      </c>
      <c r="M30" s="31" t="e">
        <f t="shared" si="11"/>
        <v>#DIV/0!</v>
      </c>
    </row>
    <row r="31" spans="1:13" s="121" customFormat="1">
      <c r="A31" s="97"/>
      <c r="B31" s="109"/>
      <c r="C31" s="110"/>
      <c r="D31" s="111"/>
      <c r="E31" s="142"/>
      <c r="F31" s="109"/>
      <c r="G31" s="101"/>
      <c r="H31" s="102"/>
      <c r="I31" s="103"/>
      <c r="J31" s="103"/>
      <c r="K31" s="103"/>
      <c r="L31" s="30">
        <f t="shared" si="10"/>
        <v>0</v>
      </c>
      <c r="M31" s="31" t="e">
        <f t="shared" si="11"/>
        <v>#DIV/0!</v>
      </c>
    </row>
    <row r="32" spans="1:13" s="121" customFormat="1">
      <c r="A32" s="97"/>
      <c r="B32" s="109"/>
      <c r="C32" s="110"/>
      <c r="D32" s="111"/>
      <c r="E32" s="149"/>
      <c r="F32" s="109"/>
      <c r="G32" s="101"/>
      <c r="H32" s="102"/>
      <c r="I32" s="103"/>
      <c r="J32" s="103"/>
      <c r="K32" s="103"/>
      <c r="L32" s="30">
        <f t="shared" si="10"/>
        <v>0</v>
      </c>
      <c r="M32" s="31" t="e">
        <f t="shared" si="11"/>
        <v>#DIV/0!</v>
      </c>
    </row>
    <row r="33" spans="1:13" s="121" customFormat="1">
      <c r="A33" s="97"/>
      <c r="B33" s="109"/>
      <c r="C33" s="110"/>
      <c r="D33" s="111"/>
      <c r="E33" s="143"/>
      <c r="F33" s="109"/>
      <c r="G33" s="101"/>
      <c r="H33" s="102"/>
      <c r="I33" s="103"/>
      <c r="J33" s="103"/>
      <c r="K33" s="103"/>
      <c r="L33" s="30">
        <f t="shared" si="10"/>
        <v>0</v>
      </c>
      <c r="M33" s="31" t="e">
        <f t="shared" si="11"/>
        <v>#DIV/0!</v>
      </c>
    </row>
    <row r="34" spans="1:13" s="121" customFormat="1">
      <c r="A34" s="97"/>
      <c r="B34" s="109"/>
      <c r="C34" s="110"/>
      <c r="D34" s="111"/>
      <c r="E34" s="143"/>
      <c r="F34" s="109"/>
      <c r="G34" s="101"/>
      <c r="H34" s="126"/>
      <c r="I34" s="103"/>
      <c r="J34" s="103"/>
      <c r="K34" s="103"/>
      <c r="L34" s="30">
        <f t="shared" si="10"/>
        <v>0</v>
      </c>
      <c r="M34" s="31" t="e">
        <f t="shared" si="11"/>
        <v>#DIV/0!</v>
      </c>
    </row>
  </sheetData>
  <dataValidations count="2">
    <dataValidation type="list" allowBlank="1" showInputMessage="1" showErrorMessage="1" sqref="G14:G15 G25 G2:G4" xr:uid="{5EA24EB8-0ACA-4214-82F0-B9C5EC5253F0}">
      <formula1>#REF!</formula1>
    </dataValidation>
    <dataValidation type="list" allowBlank="1" showInputMessage="1" showErrorMessage="1" sqref="G5:G13 G26:G34 G15:G24" xr:uid="{E7ED550E-762E-4181-BF80-AB13CB9F722A}">
      <formula1>$O$2:$O$5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7B1C6-F914-4F1C-8B0B-C55F5798158E}">
  <dimension ref="A1:N43"/>
  <sheetViews>
    <sheetView topLeftCell="A7" zoomScale="70" zoomScaleNormal="70" workbookViewId="0">
      <selection activeCell="L4" sqref="L4:M4"/>
    </sheetView>
  </sheetViews>
  <sheetFormatPr defaultColWidth="11.42578125" defaultRowHeight="14.45"/>
  <cols>
    <col min="1" max="1" width="9.140625" bestFit="1" customWidth="1"/>
    <col min="2" max="2" width="7.85546875" bestFit="1" customWidth="1"/>
    <col min="3" max="3" width="46.85546875" bestFit="1" customWidth="1"/>
    <col min="4" max="4" width="9.85546875" bestFit="1" customWidth="1"/>
    <col min="5" max="5" width="37.42578125" bestFit="1" customWidth="1"/>
    <col min="6" max="6" width="12.5703125" bestFit="1" customWidth="1"/>
    <col min="7" max="7" width="18.140625" bestFit="1" customWidth="1"/>
    <col min="8" max="8" width="11.5703125" bestFit="1" customWidth="1"/>
    <col min="9" max="9" width="17.5703125" bestFit="1" customWidth="1"/>
    <col min="10" max="10" width="12.140625" bestFit="1" customWidth="1"/>
    <col min="11" max="11" width="15.140625" bestFit="1" customWidth="1"/>
    <col min="12" max="12" width="11.85546875" bestFit="1" customWidth="1"/>
    <col min="13" max="13" width="9.5703125" bestFit="1" customWidth="1"/>
    <col min="14" max="14" width="3.42578125" bestFit="1" customWidth="1"/>
  </cols>
  <sheetData>
    <row r="1" spans="1:14" s="6" customFormat="1" ht="36.950000000000003">
      <c r="A1" s="1" t="s">
        <v>12</v>
      </c>
      <c r="B1" s="2" t="s">
        <v>13</v>
      </c>
      <c r="C1" s="3" t="s">
        <v>14</v>
      </c>
      <c r="D1" s="2" t="s">
        <v>15</v>
      </c>
      <c r="E1" s="2" t="s">
        <v>16</v>
      </c>
      <c r="F1" s="2" t="s">
        <v>0</v>
      </c>
      <c r="G1" s="4" t="s">
        <v>17</v>
      </c>
      <c r="H1" s="4" t="s">
        <v>18</v>
      </c>
      <c r="I1" s="4" t="s">
        <v>19</v>
      </c>
      <c r="J1" s="4" t="s">
        <v>20</v>
      </c>
      <c r="K1" s="4" t="s">
        <v>21</v>
      </c>
      <c r="L1" s="5" t="s">
        <v>22</v>
      </c>
      <c r="M1" s="5" t="s">
        <v>23</v>
      </c>
    </row>
    <row r="2" spans="1:14" s="121" customFormat="1" ht="18.600000000000001">
      <c r="A2" s="97"/>
      <c r="B2" s="98" t="s">
        <v>318</v>
      </c>
      <c r="C2" s="99" t="s">
        <v>99</v>
      </c>
      <c r="D2" s="100" t="s">
        <v>319</v>
      </c>
      <c r="E2" s="98" t="s">
        <v>320</v>
      </c>
      <c r="F2" s="98" t="s">
        <v>8</v>
      </c>
      <c r="G2" s="101"/>
      <c r="H2" s="102"/>
      <c r="I2" s="103"/>
      <c r="J2" s="103"/>
      <c r="K2" s="103"/>
      <c r="L2" s="103"/>
      <c r="M2" s="104"/>
      <c r="N2" s="6"/>
    </row>
    <row r="3" spans="1:14" s="121" customFormat="1" ht="18.600000000000001">
      <c r="A3" s="97"/>
      <c r="B3" s="106" t="s">
        <v>325</v>
      </c>
      <c r="C3" s="107" t="s">
        <v>103</v>
      </c>
      <c r="D3" s="108" t="s">
        <v>326</v>
      </c>
      <c r="E3" s="150" t="s">
        <v>327</v>
      </c>
      <c r="F3" s="106" t="s">
        <v>10</v>
      </c>
      <c r="G3" s="101"/>
      <c r="H3" s="148"/>
      <c r="I3" s="133"/>
      <c r="J3" s="133"/>
      <c r="K3" s="133"/>
      <c r="L3" s="30"/>
      <c r="M3" s="31"/>
      <c r="N3" s="6"/>
    </row>
    <row r="4" spans="1:14" s="121" customFormat="1" ht="18.600000000000001">
      <c r="A4" s="97"/>
      <c r="B4" s="109"/>
      <c r="C4" s="110"/>
      <c r="D4" s="111"/>
      <c r="E4" s="109"/>
      <c r="F4" s="109"/>
      <c r="G4" s="101"/>
      <c r="H4" s="102"/>
      <c r="I4" s="103"/>
      <c r="J4" s="103"/>
      <c r="K4" s="103"/>
      <c r="L4" s="30">
        <f t="shared" ref="L4:L41" si="0">SUM(H4:K4)</f>
        <v>0</v>
      </c>
      <c r="M4" s="31" t="e">
        <f t="shared" ref="M4:M41" si="1">+J4/L4</f>
        <v>#DIV/0!</v>
      </c>
      <c r="N4" s="6"/>
    </row>
    <row r="5" spans="1:14" s="121" customFormat="1" ht="18.600000000000001">
      <c r="A5" s="97"/>
      <c r="B5" s="127"/>
      <c r="C5" s="110"/>
      <c r="D5" s="111"/>
      <c r="E5" s="109"/>
      <c r="F5" s="109"/>
      <c r="G5" s="101"/>
      <c r="H5" s="102"/>
      <c r="I5" s="103"/>
      <c r="J5" s="103"/>
      <c r="K5" s="103"/>
      <c r="L5" s="30">
        <f t="shared" si="0"/>
        <v>0</v>
      </c>
      <c r="M5" s="31" t="e">
        <f t="shared" si="1"/>
        <v>#DIV/0!</v>
      </c>
      <c r="N5" s="6"/>
    </row>
    <row r="6" spans="1:14" s="121" customFormat="1" ht="18.600000000000001">
      <c r="A6" s="97"/>
      <c r="B6" s="109"/>
      <c r="C6" s="110"/>
      <c r="D6" s="111"/>
      <c r="E6" s="109"/>
      <c r="F6" s="109"/>
      <c r="G6" s="101"/>
      <c r="H6" s="102"/>
      <c r="I6" s="103"/>
      <c r="J6" s="103"/>
      <c r="K6" s="103"/>
      <c r="L6" s="30">
        <f t="shared" si="0"/>
        <v>0</v>
      </c>
      <c r="M6" s="31" t="e">
        <f t="shared" si="1"/>
        <v>#DIV/0!</v>
      </c>
      <c r="N6" s="6"/>
    </row>
    <row r="7" spans="1:14" s="121" customFormat="1" ht="18.600000000000001">
      <c r="A7" s="97"/>
      <c r="B7" s="109"/>
      <c r="C7" s="110"/>
      <c r="D7" s="111"/>
      <c r="E7" s="109"/>
      <c r="F7" s="109"/>
      <c r="G7" s="101"/>
      <c r="H7" s="102"/>
      <c r="I7" s="103"/>
      <c r="J7" s="103"/>
      <c r="K7" s="103"/>
      <c r="L7" s="30">
        <f t="shared" si="0"/>
        <v>0</v>
      </c>
      <c r="M7" s="31" t="e">
        <f t="shared" si="1"/>
        <v>#DIV/0!</v>
      </c>
      <c r="N7" s="6"/>
    </row>
    <row r="8" spans="1:14" s="121" customFormat="1" ht="18.600000000000001">
      <c r="A8" s="97"/>
      <c r="B8" s="109"/>
      <c r="C8" s="110"/>
      <c r="D8" s="111"/>
      <c r="E8" s="109"/>
      <c r="F8" s="109"/>
      <c r="G8" s="101"/>
      <c r="H8" s="102"/>
      <c r="I8" s="103"/>
      <c r="J8" s="103"/>
      <c r="K8" s="103"/>
      <c r="L8" s="30">
        <f t="shared" si="0"/>
        <v>0</v>
      </c>
      <c r="M8" s="31" t="e">
        <f t="shared" si="1"/>
        <v>#DIV/0!</v>
      </c>
      <c r="N8" s="6"/>
    </row>
    <row r="9" spans="1:14" s="121" customFormat="1" ht="18.600000000000001">
      <c r="A9" s="97"/>
      <c r="B9" s="109"/>
      <c r="C9" s="110"/>
      <c r="D9" s="111"/>
      <c r="E9" s="109"/>
      <c r="F9" s="109"/>
      <c r="G9" s="101"/>
      <c r="H9" s="102"/>
      <c r="I9" s="103"/>
      <c r="J9" s="103"/>
      <c r="K9" s="103"/>
      <c r="L9" s="30">
        <f t="shared" si="0"/>
        <v>0</v>
      </c>
      <c r="M9" s="31" t="e">
        <f t="shared" si="1"/>
        <v>#DIV/0!</v>
      </c>
      <c r="N9" s="6"/>
    </row>
    <row r="10" spans="1:14" s="121" customFormat="1" ht="18.600000000000001">
      <c r="A10" s="97"/>
      <c r="B10" s="109"/>
      <c r="C10" s="110"/>
      <c r="D10" s="111"/>
      <c r="E10" s="109"/>
      <c r="F10" s="109"/>
      <c r="G10" s="101"/>
      <c r="H10" s="102"/>
      <c r="I10" s="103"/>
      <c r="J10" s="103"/>
      <c r="K10" s="103"/>
      <c r="L10" s="30">
        <f t="shared" si="0"/>
        <v>0</v>
      </c>
      <c r="M10" s="31" t="e">
        <f t="shared" si="1"/>
        <v>#DIV/0!</v>
      </c>
      <c r="N10" s="6"/>
    </row>
    <row r="11" spans="1:14" s="121" customFormat="1" ht="18.600000000000001">
      <c r="A11" s="97"/>
      <c r="B11" s="109"/>
      <c r="C11" s="110"/>
      <c r="D11" s="111"/>
      <c r="E11" s="109"/>
      <c r="F11" s="109"/>
      <c r="G11" s="101"/>
      <c r="H11" s="102"/>
      <c r="I11" s="103"/>
      <c r="J11" s="103"/>
      <c r="K11" s="103"/>
      <c r="L11" s="30">
        <f t="shared" si="0"/>
        <v>0</v>
      </c>
      <c r="M11" s="31" t="e">
        <f t="shared" si="1"/>
        <v>#DIV/0!</v>
      </c>
      <c r="N11" s="6"/>
    </row>
    <row r="12" spans="1:14" s="151" customFormat="1" ht="18.600000000000001">
      <c r="A12" s="97"/>
      <c r="B12" s="109"/>
      <c r="C12" s="110"/>
      <c r="D12" s="111"/>
      <c r="E12" s="109"/>
      <c r="F12" s="109"/>
      <c r="G12" s="134"/>
      <c r="H12" s="148"/>
      <c r="I12" s="133"/>
      <c r="J12" s="133"/>
      <c r="K12" s="133"/>
      <c r="L12" s="30">
        <f t="shared" si="0"/>
        <v>0</v>
      </c>
      <c r="M12" s="31" t="e">
        <f t="shared" si="1"/>
        <v>#DIV/0!</v>
      </c>
      <c r="N12" s="6"/>
    </row>
    <row r="13" spans="1:14" s="121" customFormat="1" ht="18.600000000000001">
      <c r="A13" s="97"/>
      <c r="B13" s="109"/>
      <c r="C13" s="110"/>
      <c r="D13" s="144"/>
      <c r="E13" s="112"/>
      <c r="F13" s="109"/>
      <c r="G13" s="101"/>
      <c r="H13" s="126"/>
      <c r="I13" s="103"/>
      <c r="J13" s="103"/>
      <c r="K13" s="103"/>
      <c r="L13" s="30">
        <f t="shared" si="0"/>
        <v>0</v>
      </c>
      <c r="M13" s="31" t="e">
        <f t="shared" si="1"/>
        <v>#DIV/0!</v>
      </c>
      <c r="N13" s="6"/>
    </row>
    <row r="14" spans="1:14" s="121" customFormat="1" ht="18.600000000000001">
      <c r="A14" s="97"/>
      <c r="B14" s="106" t="s">
        <v>349</v>
      </c>
      <c r="C14" s="107" t="s">
        <v>350</v>
      </c>
      <c r="D14" s="108" t="s">
        <v>351</v>
      </c>
      <c r="E14" s="106" t="s">
        <v>352</v>
      </c>
      <c r="F14" s="106" t="s">
        <v>10</v>
      </c>
      <c r="G14" s="101"/>
      <c r="H14" s="102"/>
      <c r="I14" s="103"/>
      <c r="J14" s="103"/>
      <c r="K14" s="103"/>
      <c r="L14" s="30"/>
      <c r="M14" s="31"/>
      <c r="N14" s="6"/>
    </row>
    <row r="15" spans="1:14" s="121" customFormat="1" ht="18.600000000000001">
      <c r="A15" s="97"/>
      <c r="B15" s="109"/>
      <c r="C15" s="110"/>
      <c r="D15" s="111"/>
      <c r="E15" s="109"/>
      <c r="F15" s="109"/>
      <c r="G15" s="101"/>
      <c r="H15" s="102"/>
      <c r="I15" s="103"/>
      <c r="J15" s="103"/>
      <c r="K15" s="103"/>
      <c r="L15" s="30">
        <f t="shared" si="0"/>
        <v>0</v>
      </c>
      <c r="M15" s="31" t="e">
        <f t="shared" si="1"/>
        <v>#DIV/0!</v>
      </c>
      <c r="N15" s="6"/>
    </row>
    <row r="16" spans="1:14" s="121" customFormat="1" ht="18.600000000000001">
      <c r="A16" s="97"/>
      <c r="B16" s="109"/>
      <c r="C16" s="110"/>
      <c r="D16" s="111"/>
      <c r="E16" s="109"/>
      <c r="F16" s="109"/>
      <c r="G16" s="101"/>
      <c r="H16" s="102"/>
      <c r="I16" s="103"/>
      <c r="J16" s="103"/>
      <c r="K16" s="103"/>
      <c r="L16" s="30">
        <f t="shared" si="0"/>
        <v>0</v>
      </c>
      <c r="M16" s="31" t="e">
        <f t="shared" si="1"/>
        <v>#DIV/0!</v>
      </c>
      <c r="N16" s="6"/>
    </row>
    <row r="17" spans="1:14" s="121" customFormat="1" ht="18.600000000000001">
      <c r="A17" s="97"/>
      <c r="B17" s="109"/>
      <c r="C17" s="110"/>
      <c r="D17" s="111"/>
      <c r="E17" s="109"/>
      <c r="F17" s="109"/>
      <c r="G17" s="101"/>
      <c r="H17" s="102"/>
      <c r="I17" s="103"/>
      <c r="J17" s="103"/>
      <c r="K17" s="103"/>
      <c r="L17" s="30">
        <f t="shared" si="0"/>
        <v>0</v>
      </c>
      <c r="M17" s="31" t="e">
        <f t="shared" si="1"/>
        <v>#DIV/0!</v>
      </c>
      <c r="N17" s="6"/>
    </row>
    <row r="18" spans="1:14" s="121" customFormat="1" ht="18.600000000000001">
      <c r="A18" s="97"/>
      <c r="B18" s="109"/>
      <c r="C18" s="110"/>
      <c r="D18" s="111"/>
      <c r="E18" s="109"/>
      <c r="F18" s="109"/>
      <c r="G18" s="101"/>
      <c r="H18" s="102"/>
      <c r="I18" s="103"/>
      <c r="J18" s="103"/>
      <c r="K18" s="103"/>
      <c r="L18" s="30">
        <f t="shared" si="0"/>
        <v>0</v>
      </c>
      <c r="M18" s="31" t="e">
        <f t="shared" si="1"/>
        <v>#DIV/0!</v>
      </c>
      <c r="N18" s="6"/>
    </row>
    <row r="19" spans="1:14" s="121" customFormat="1" ht="18.600000000000001">
      <c r="A19" s="97"/>
      <c r="B19" s="109"/>
      <c r="C19" s="110"/>
      <c r="D19" s="111"/>
      <c r="E19" s="109"/>
      <c r="F19" s="109"/>
      <c r="G19" s="101"/>
      <c r="H19" s="102"/>
      <c r="I19" s="103"/>
      <c r="J19" s="103"/>
      <c r="K19" s="103"/>
      <c r="L19" s="30">
        <f t="shared" si="0"/>
        <v>0</v>
      </c>
      <c r="M19" s="31" t="e">
        <f t="shared" si="1"/>
        <v>#DIV/0!</v>
      </c>
      <c r="N19" s="6"/>
    </row>
    <row r="20" spans="1:14" s="121" customFormat="1" ht="18.600000000000001">
      <c r="A20" s="97"/>
      <c r="B20" s="109"/>
      <c r="C20" s="110"/>
      <c r="D20" s="111"/>
      <c r="E20" s="109"/>
      <c r="F20" s="109"/>
      <c r="G20" s="101"/>
      <c r="H20" s="102"/>
      <c r="I20" s="103"/>
      <c r="J20" s="103"/>
      <c r="K20" s="103"/>
      <c r="L20" s="30">
        <f t="shared" si="0"/>
        <v>0</v>
      </c>
      <c r="M20" s="31" t="e">
        <f t="shared" si="1"/>
        <v>#DIV/0!</v>
      </c>
      <c r="N20" s="6"/>
    </row>
    <row r="21" spans="1:14" s="121" customFormat="1" ht="18.600000000000001">
      <c r="A21" s="97"/>
      <c r="B21" s="109"/>
      <c r="C21" s="110"/>
      <c r="D21" s="111"/>
      <c r="E21" s="109"/>
      <c r="F21" s="109"/>
      <c r="G21" s="101"/>
      <c r="H21" s="102"/>
      <c r="I21" s="103"/>
      <c r="J21" s="103"/>
      <c r="K21" s="103"/>
      <c r="L21" s="30">
        <f t="shared" si="0"/>
        <v>0</v>
      </c>
      <c r="M21" s="31" t="e">
        <f t="shared" si="1"/>
        <v>#DIV/0!</v>
      </c>
      <c r="N21" s="6"/>
    </row>
    <row r="22" spans="1:14" s="121" customFormat="1" ht="18.600000000000001">
      <c r="A22" s="97"/>
      <c r="B22" s="109"/>
      <c r="C22" s="110"/>
      <c r="D22" s="111"/>
      <c r="E22" s="125"/>
      <c r="F22" s="109"/>
      <c r="G22" s="101"/>
      <c r="H22" s="102"/>
      <c r="I22" s="103"/>
      <c r="J22" s="103"/>
      <c r="K22" s="103"/>
      <c r="L22" s="30">
        <f t="shared" si="0"/>
        <v>0</v>
      </c>
      <c r="M22" s="31" t="e">
        <f t="shared" si="1"/>
        <v>#DIV/0!</v>
      </c>
      <c r="N22" s="6"/>
    </row>
    <row r="23" spans="1:14" s="121" customFormat="1" ht="18.600000000000001">
      <c r="A23" s="97"/>
      <c r="B23" s="106" t="s">
        <v>369</v>
      </c>
      <c r="C23" s="107" t="s">
        <v>370</v>
      </c>
      <c r="D23" s="108" t="s">
        <v>371</v>
      </c>
      <c r="E23" s="152" t="s">
        <v>372</v>
      </c>
      <c r="F23" s="106" t="s">
        <v>10</v>
      </c>
      <c r="G23" s="101"/>
      <c r="H23" s="102"/>
      <c r="I23" s="103"/>
      <c r="J23" s="103"/>
      <c r="K23" s="103"/>
      <c r="L23" s="30"/>
      <c r="M23" s="31"/>
      <c r="N23" s="6"/>
    </row>
    <row r="24" spans="1:14" s="121" customFormat="1" ht="18.600000000000001">
      <c r="A24" s="97"/>
      <c r="B24" s="109"/>
      <c r="C24" s="110"/>
      <c r="D24" s="111"/>
      <c r="E24" s="109"/>
      <c r="F24" s="109"/>
      <c r="G24" s="101"/>
      <c r="H24" s="102"/>
      <c r="I24" s="103"/>
      <c r="J24" s="103"/>
      <c r="K24" s="103"/>
      <c r="L24" s="30">
        <f t="shared" si="0"/>
        <v>0</v>
      </c>
      <c r="M24" s="31" t="e">
        <f t="shared" si="1"/>
        <v>#DIV/0!</v>
      </c>
      <c r="N24" s="6"/>
    </row>
    <row r="25" spans="1:14" s="121" customFormat="1" ht="18.600000000000001">
      <c r="A25" s="97"/>
      <c r="B25" s="109"/>
      <c r="C25" s="110"/>
      <c r="D25" s="111"/>
      <c r="E25" s="109"/>
      <c r="F25" s="109"/>
      <c r="G25" s="101"/>
      <c r="H25" s="102"/>
      <c r="I25" s="103"/>
      <c r="J25" s="103"/>
      <c r="K25" s="103"/>
      <c r="L25" s="30">
        <f t="shared" si="0"/>
        <v>0</v>
      </c>
      <c r="M25" s="31" t="e">
        <f t="shared" si="1"/>
        <v>#DIV/0!</v>
      </c>
      <c r="N25" s="6"/>
    </row>
    <row r="26" spans="1:14" s="121" customFormat="1" ht="18.600000000000001">
      <c r="A26" s="97"/>
      <c r="B26" s="109"/>
      <c r="C26" s="110"/>
      <c r="D26" s="111"/>
      <c r="E26" s="109"/>
      <c r="F26" s="109"/>
      <c r="G26" s="101"/>
      <c r="H26" s="102"/>
      <c r="I26" s="103"/>
      <c r="J26" s="103"/>
      <c r="K26" s="103"/>
      <c r="L26" s="30">
        <f t="shared" si="0"/>
        <v>0</v>
      </c>
      <c r="M26" s="31" t="e">
        <f t="shared" si="1"/>
        <v>#DIV/0!</v>
      </c>
      <c r="N26" s="6"/>
    </row>
    <row r="27" spans="1:14" s="121" customFormat="1" ht="18.600000000000001">
      <c r="A27" s="97"/>
      <c r="B27" s="109"/>
      <c r="C27" s="110"/>
      <c r="D27" s="111"/>
      <c r="E27" s="109"/>
      <c r="F27" s="109"/>
      <c r="G27" s="101"/>
      <c r="H27" s="102"/>
      <c r="I27" s="103"/>
      <c r="J27" s="103"/>
      <c r="K27" s="103"/>
      <c r="L27" s="30">
        <f t="shared" si="0"/>
        <v>0</v>
      </c>
      <c r="M27" s="31" t="e">
        <f t="shared" si="1"/>
        <v>#DIV/0!</v>
      </c>
      <c r="N27" s="6"/>
    </row>
    <row r="28" spans="1:14" s="121" customFormat="1" ht="18.600000000000001">
      <c r="A28" s="97"/>
      <c r="B28" s="109"/>
      <c r="C28" s="110"/>
      <c r="D28" s="111"/>
      <c r="E28" s="109"/>
      <c r="F28" s="109"/>
      <c r="G28" s="101"/>
      <c r="H28" s="102"/>
      <c r="I28" s="103"/>
      <c r="J28" s="103"/>
      <c r="K28" s="103"/>
      <c r="L28" s="30">
        <f t="shared" si="0"/>
        <v>0</v>
      </c>
      <c r="M28" s="31" t="e">
        <f t="shared" si="1"/>
        <v>#DIV/0!</v>
      </c>
      <c r="N28" s="6"/>
    </row>
    <row r="29" spans="1:14" s="121" customFormat="1" ht="18.600000000000001">
      <c r="A29" s="97"/>
      <c r="B29" s="109"/>
      <c r="C29" s="110"/>
      <c r="D29" s="111"/>
      <c r="E29" s="125"/>
      <c r="F29" s="109"/>
      <c r="G29" s="101"/>
      <c r="H29" s="102"/>
      <c r="I29" s="103"/>
      <c r="J29" s="103"/>
      <c r="K29" s="103"/>
      <c r="L29" s="30">
        <f t="shared" si="0"/>
        <v>0</v>
      </c>
      <c r="M29" s="31" t="e">
        <f t="shared" si="1"/>
        <v>#DIV/0!</v>
      </c>
      <c r="N29" s="6"/>
    </row>
    <row r="30" spans="1:14" s="121" customFormat="1" ht="18.600000000000001">
      <c r="A30" s="97"/>
      <c r="B30" s="109"/>
      <c r="C30" s="110"/>
      <c r="D30" s="111"/>
      <c r="E30" s="125"/>
      <c r="F30" s="109"/>
      <c r="G30" s="101"/>
      <c r="H30" s="102"/>
      <c r="I30" s="103"/>
      <c r="J30" s="103"/>
      <c r="K30" s="103"/>
      <c r="L30" s="30">
        <f t="shared" si="0"/>
        <v>0</v>
      </c>
      <c r="M30" s="31" t="e">
        <f t="shared" si="1"/>
        <v>#DIV/0!</v>
      </c>
      <c r="N30" s="6"/>
    </row>
    <row r="31" spans="1:14" s="121" customFormat="1" ht="18.600000000000001">
      <c r="A31" s="97"/>
      <c r="B31" s="109"/>
      <c r="C31" s="110"/>
      <c r="D31" s="144"/>
      <c r="E31" s="112"/>
      <c r="F31" s="109"/>
      <c r="G31" s="101"/>
      <c r="H31" s="102"/>
      <c r="I31" s="103"/>
      <c r="J31" s="103"/>
      <c r="K31" s="103"/>
      <c r="L31" s="30">
        <f t="shared" si="0"/>
        <v>0</v>
      </c>
      <c r="M31" s="31" t="e">
        <f t="shared" si="1"/>
        <v>#DIV/0!</v>
      </c>
      <c r="N31" s="6"/>
    </row>
    <row r="32" spans="1:14" s="121" customFormat="1" ht="18.600000000000001">
      <c r="A32" s="97"/>
      <c r="B32" s="106" t="s">
        <v>389</v>
      </c>
      <c r="C32" s="107" t="s">
        <v>162</v>
      </c>
      <c r="D32" s="108" t="s">
        <v>390</v>
      </c>
      <c r="E32" s="106" t="s">
        <v>391</v>
      </c>
      <c r="F32" s="106" t="s">
        <v>10</v>
      </c>
      <c r="G32" s="101"/>
      <c r="H32" s="102"/>
      <c r="I32" s="103"/>
      <c r="J32" s="103"/>
      <c r="K32" s="103"/>
      <c r="L32" s="30"/>
      <c r="M32" s="31"/>
      <c r="N32" s="6"/>
    </row>
    <row r="33" spans="1:14" s="121" customFormat="1" ht="18.600000000000001">
      <c r="A33" s="97"/>
      <c r="B33" s="67"/>
      <c r="C33" s="110"/>
      <c r="D33" s="111"/>
      <c r="E33" s="109"/>
      <c r="F33" s="109"/>
      <c r="G33" s="101"/>
      <c r="H33" s="102"/>
      <c r="I33" s="103"/>
      <c r="J33" s="103"/>
      <c r="K33" s="103"/>
      <c r="L33" s="30">
        <f t="shared" si="0"/>
        <v>0</v>
      </c>
      <c r="M33" s="31" t="e">
        <f t="shared" si="1"/>
        <v>#DIV/0!</v>
      </c>
      <c r="N33" s="6"/>
    </row>
    <row r="34" spans="1:14" s="121" customFormat="1" ht="18.600000000000001">
      <c r="A34" s="97"/>
      <c r="B34" s="109"/>
      <c r="C34" s="110"/>
      <c r="D34" s="111"/>
      <c r="E34" s="109"/>
      <c r="F34" s="109"/>
      <c r="G34" s="101"/>
      <c r="H34" s="102"/>
      <c r="I34" s="103"/>
      <c r="J34" s="103"/>
      <c r="K34" s="103"/>
      <c r="L34" s="30">
        <f t="shared" si="0"/>
        <v>0</v>
      </c>
      <c r="M34" s="31" t="e">
        <f t="shared" si="1"/>
        <v>#DIV/0!</v>
      </c>
      <c r="N34" s="6"/>
    </row>
    <row r="35" spans="1:14" s="121" customFormat="1" ht="18.600000000000001">
      <c r="A35" s="97"/>
      <c r="B35" s="109"/>
      <c r="C35" s="110"/>
      <c r="D35" s="111"/>
      <c r="E35" s="109"/>
      <c r="F35" s="109"/>
      <c r="G35" s="101"/>
      <c r="H35" s="102"/>
      <c r="I35" s="103"/>
      <c r="J35" s="103"/>
      <c r="K35" s="103"/>
      <c r="L35" s="30">
        <f t="shared" si="0"/>
        <v>0</v>
      </c>
      <c r="M35" s="31" t="e">
        <f t="shared" si="1"/>
        <v>#DIV/0!</v>
      </c>
      <c r="N35" s="6"/>
    </row>
    <row r="36" spans="1:14" s="121" customFormat="1" ht="18.600000000000001">
      <c r="A36" s="97"/>
      <c r="B36" s="109"/>
      <c r="C36" s="110"/>
      <c r="D36" s="111"/>
      <c r="E36" s="109"/>
      <c r="F36" s="109"/>
      <c r="G36" s="101"/>
      <c r="H36" s="102"/>
      <c r="I36" s="103"/>
      <c r="J36" s="103"/>
      <c r="K36" s="103"/>
      <c r="L36" s="30">
        <f t="shared" si="0"/>
        <v>0</v>
      </c>
      <c r="M36" s="31" t="e">
        <f t="shared" si="1"/>
        <v>#DIV/0!</v>
      </c>
      <c r="N36" s="6"/>
    </row>
    <row r="37" spans="1:14" s="121" customFormat="1" ht="18.600000000000001">
      <c r="A37" s="97"/>
      <c r="B37" s="109"/>
      <c r="C37" s="110"/>
      <c r="D37" s="111"/>
      <c r="E37" s="109"/>
      <c r="F37" s="109"/>
      <c r="G37" s="101"/>
      <c r="H37" s="102"/>
      <c r="I37" s="103"/>
      <c r="J37" s="103"/>
      <c r="K37" s="103"/>
      <c r="L37" s="30">
        <f t="shared" si="0"/>
        <v>0</v>
      </c>
      <c r="M37" s="31" t="e">
        <f t="shared" si="1"/>
        <v>#DIV/0!</v>
      </c>
      <c r="N37" s="6"/>
    </row>
    <row r="38" spans="1:14" s="121" customFormat="1" ht="18.600000000000001">
      <c r="A38" s="97"/>
      <c r="B38" s="109"/>
      <c r="C38" s="110"/>
      <c r="D38" s="111"/>
      <c r="E38" s="125"/>
      <c r="F38" s="109"/>
      <c r="G38" s="101"/>
      <c r="H38" s="102"/>
      <c r="I38" s="103"/>
      <c r="J38" s="103"/>
      <c r="K38" s="103"/>
      <c r="L38" s="30">
        <f t="shared" si="0"/>
        <v>0</v>
      </c>
      <c r="M38" s="31" t="e">
        <f t="shared" si="1"/>
        <v>#DIV/0!</v>
      </c>
      <c r="N38" s="6"/>
    </row>
    <row r="39" spans="1:14" s="121" customFormat="1" ht="18.600000000000001">
      <c r="A39" s="97"/>
      <c r="B39" s="109"/>
      <c r="C39" s="110"/>
      <c r="D39" s="144"/>
      <c r="E39" s="112"/>
      <c r="F39" s="109"/>
      <c r="G39" s="101"/>
      <c r="H39" s="102"/>
      <c r="I39" s="103"/>
      <c r="J39" s="103"/>
      <c r="K39" s="103"/>
      <c r="L39" s="30">
        <f t="shared" si="0"/>
        <v>0</v>
      </c>
      <c r="M39" s="31" t="e">
        <f t="shared" si="1"/>
        <v>#DIV/0!</v>
      </c>
      <c r="N39" s="6"/>
    </row>
    <row r="40" spans="1:14" s="121" customFormat="1" ht="18.600000000000001">
      <c r="A40" s="97"/>
      <c r="B40" s="109"/>
      <c r="C40" s="110"/>
      <c r="D40" s="111"/>
      <c r="E40" s="109"/>
      <c r="F40" s="109"/>
      <c r="G40" s="101"/>
      <c r="H40" s="102"/>
      <c r="I40" s="103"/>
      <c r="J40" s="103"/>
      <c r="K40" s="103"/>
      <c r="L40" s="30">
        <f t="shared" si="0"/>
        <v>0</v>
      </c>
      <c r="M40" s="31" t="e">
        <f t="shared" si="1"/>
        <v>#DIV/0!</v>
      </c>
      <c r="N40" s="6"/>
    </row>
    <row r="41" spans="1:14" s="121" customFormat="1" ht="18.600000000000001">
      <c r="A41" s="97"/>
      <c r="B41" s="109"/>
      <c r="C41" s="110"/>
      <c r="D41" s="111"/>
      <c r="E41" s="109"/>
      <c r="F41" s="109"/>
      <c r="G41" s="101"/>
      <c r="H41" s="126"/>
      <c r="I41" s="124"/>
      <c r="J41" s="124"/>
      <c r="K41" s="124"/>
      <c r="L41" s="30">
        <f t="shared" si="0"/>
        <v>0</v>
      </c>
      <c r="M41" s="31" t="e">
        <f t="shared" si="1"/>
        <v>#DIV/0!</v>
      </c>
      <c r="N41" s="6"/>
    </row>
    <row r="42" spans="1:14" ht="18.600000000000001">
      <c r="N42" s="6"/>
    </row>
    <row r="43" spans="1:14" ht="18.600000000000001">
      <c r="N43" s="6"/>
    </row>
  </sheetData>
  <dataValidations count="2">
    <dataValidation type="list" allowBlank="1" showInputMessage="1" showErrorMessage="1" sqref="G14 G2:G3" xr:uid="{7C986077-F406-4C15-ABC2-54A13D71E471}">
      <formula1>#REF!</formula1>
    </dataValidation>
    <dataValidation type="list" allowBlank="1" showInputMessage="1" showErrorMessage="1" sqref="G4:G13 G15:G41" xr:uid="{EE4DE919-5B80-4629-A596-44A28DB84848}">
      <formula1>$P$2:$P$6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FFEE7-1F53-4003-86D6-14B4A4DAE5A4}">
  <sheetPr>
    <tabColor theme="5" tint="-0.249977111117893"/>
  </sheetPr>
  <dimension ref="A1:X61"/>
  <sheetViews>
    <sheetView tabSelected="1" topLeftCell="F1" zoomScale="92" zoomScaleNormal="92" workbookViewId="0">
      <selection activeCell="N56" sqref="N56"/>
    </sheetView>
  </sheetViews>
  <sheetFormatPr defaultColWidth="11.42578125" defaultRowHeight="14.45"/>
  <cols>
    <col min="1" max="1" width="9.140625" bestFit="1" customWidth="1"/>
    <col min="2" max="2" width="7.85546875" bestFit="1" customWidth="1"/>
    <col min="3" max="3" width="37.85546875" customWidth="1"/>
    <col min="4" max="4" width="9.85546875" bestFit="1" customWidth="1"/>
    <col min="5" max="5" width="40.42578125" bestFit="1" customWidth="1"/>
    <col min="6" max="6" width="12.5703125" bestFit="1" customWidth="1"/>
    <col min="7" max="7" width="17.42578125" customWidth="1"/>
    <col min="8" max="8" width="14.5703125" customWidth="1"/>
    <col min="9" max="9" width="11.85546875" bestFit="1" customWidth="1"/>
    <col min="10" max="10" width="16.140625" customWidth="1"/>
    <col min="11" max="11" width="13.28515625" customWidth="1"/>
    <col min="12" max="12" width="13.5703125" bestFit="1" customWidth="1"/>
    <col min="13" max="13" width="21" customWidth="1"/>
    <col min="14" max="14" width="17.85546875" bestFit="1" customWidth="1"/>
    <col min="15" max="15" width="13.28515625" customWidth="1"/>
    <col min="16" max="16" width="3.42578125" bestFit="1" customWidth="1"/>
  </cols>
  <sheetData>
    <row r="1" spans="1:24" ht="43.5">
      <c r="A1" s="183" t="s">
        <v>12</v>
      </c>
      <c r="B1" s="184" t="s">
        <v>13</v>
      </c>
      <c r="C1" s="185" t="s">
        <v>14</v>
      </c>
      <c r="D1" s="184" t="s">
        <v>15</v>
      </c>
      <c r="E1" s="184" t="s">
        <v>16</v>
      </c>
      <c r="F1" s="184" t="s">
        <v>0</v>
      </c>
      <c r="G1" s="184"/>
      <c r="H1" s="186" t="s">
        <v>17</v>
      </c>
      <c r="I1" s="186" t="s">
        <v>18</v>
      </c>
      <c r="J1" s="186" t="s">
        <v>19</v>
      </c>
      <c r="K1" s="186" t="s">
        <v>20</v>
      </c>
      <c r="L1" s="186" t="s">
        <v>21</v>
      </c>
      <c r="M1" s="186" t="s">
        <v>589</v>
      </c>
      <c r="N1" s="187" t="s">
        <v>22</v>
      </c>
      <c r="O1" s="187" t="s">
        <v>23</v>
      </c>
      <c r="Q1" s="218"/>
      <c r="R1" s="218"/>
      <c r="S1" s="218"/>
      <c r="T1" s="218"/>
      <c r="U1" s="218"/>
      <c r="V1" s="218"/>
      <c r="W1" s="218"/>
      <c r="X1" s="218"/>
    </row>
    <row r="2" spans="1:24" s="121" customFormat="1" hidden="1">
      <c r="A2" s="44"/>
      <c r="B2" s="197" t="s">
        <v>590</v>
      </c>
      <c r="C2" s="198" t="s">
        <v>591</v>
      </c>
      <c r="D2" s="199" t="s">
        <v>592</v>
      </c>
      <c r="E2" s="197" t="s">
        <v>593</v>
      </c>
      <c r="F2" s="197" t="s">
        <v>8</v>
      </c>
      <c r="G2" s="197"/>
      <c r="H2" s="11"/>
      <c r="I2" s="12"/>
      <c r="J2" s="13"/>
      <c r="K2" s="13"/>
      <c r="L2" s="13"/>
      <c r="M2" s="13"/>
      <c r="N2" s="13"/>
      <c r="O2" s="30"/>
      <c r="P2"/>
      <c r="Q2" s="179"/>
      <c r="R2" s="179"/>
      <c r="S2" s="179"/>
      <c r="T2" s="179"/>
      <c r="U2" s="179"/>
      <c r="V2" s="179"/>
      <c r="W2" s="179"/>
      <c r="X2" s="179"/>
    </row>
    <row r="3" spans="1:24" s="121" customFormat="1" hidden="1">
      <c r="A3" s="44"/>
      <c r="B3" s="200" t="s">
        <v>594</v>
      </c>
      <c r="C3" s="201" t="s">
        <v>595</v>
      </c>
      <c r="D3" s="202" t="s">
        <v>596</v>
      </c>
      <c r="E3" s="200" t="s">
        <v>597</v>
      </c>
      <c r="F3" s="200" t="s">
        <v>10</v>
      </c>
      <c r="G3" s="200"/>
      <c r="H3" s="11"/>
      <c r="I3" s="12"/>
      <c r="J3" s="13"/>
      <c r="K3" s="13"/>
      <c r="L3" s="13"/>
      <c r="M3" s="13"/>
      <c r="N3" s="30"/>
      <c r="O3" s="31"/>
      <c r="P3"/>
      <c r="Q3" s="179"/>
      <c r="R3" s="179"/>
      <c r="S3" s="179"/>
      <c r="T3" s="179"/>
      <c r="U3" s="179"/>
      <c r="V3" s="179"/>
      <c r="W3" s="179"/>
      <c r="X3" s="179"/>
    </row>
    <row r="4" spans="1:24" s="121" customFormat="1" hidden="1">
      <c r="A4" s="44"/>
      <c r="B4" s="58" t="s">
        <v>594</v>
      </c>
      <c r="C4" s="13"/>
      <c r="D4" s="188" t="s">
        <v>598</v>
      </c>
      <c r="E4" s="219" t="s">
        <v>599</v>
      </c>
      <c r="F4" s="220" t="s">
        <v>600</v>
      </c>
      <c r="G4" s="220"/>
      <c r="H4" s="11"/>
      <c r="I4" s="12"/>
      <c r="J4" s="13"/>
      <c r="K4" s="12"/>
      <c r="L4" s="12"/>
      <c r="M4" s="12"/>
      <c r="N4" s="30">
        <f t="shared" ref="N4:N10" si="0">SUM(I4:L4)</f>
        <v>0</v>
      </c>
      <c r="O4" s="31" t="e">
        <f t="shared" ref="O4:O36" si="1">+K4/N4</f>
        <v>#DIV/0!</v>
      </c>
      <c r="P4"/>
      <c r="Q4" s="179"/>
      <c r="R4" s="179"/>
      <c r="S4" s="179"/>
      <c r="T4" s="179"/>
      <c r="U4" s="179"/>
      <c r="V4" s="179"/>
      <c r="W4" s="179"/>
      <c r="X4" s="179"/>
    </row>
    <row r="5" spans="1:24" s="121" customFormat="1" hidden="1">
      <c r="A5" s="44"/>
      <c r="B5" s="58" t="s">
        <v>594</v>
      </c>
      <c r="C5" s="13"/>
      <c r="D5" s="188" t="s">
        <v>601</v>
      </c>
      <c r="E5" s="219" t="s">
        <v>602</v>
      </c>
      <c r="F5" s="220" t="s">
        <v>600</v>
      </c>
      <c r="G5" s="220"/>
      <c r="H5" s="11"/>
      <c r="I5" s="12"/>
      <c r="J5" s="13"/>
      <c r="K5" s="12"/>
      <c r="L5" s="12"/>
      <c r="M5" s="12"/>
      <c r="N5" s="30">
        <f t="shared" si="0"/>
        <v>0</v>
      </c>
      <c r="O5" s="31" t="e">
        <f t="shared" si="1"/>
        <v>#DIV/0!</v>
      </c>
      <c r="P5"/>
      <c r="Q5" s="179"/>
      <c r="R5" s="179"/>
      <c r="S5" s="179"/>
      <c r="T5" s="179"/>
      <c r="U5" s="179"/>
      <c r="V5" s="179"/>
      <c r="W5" s="179"/>
      <c r="X5" s="179"/>
    </row>
    <row r="6" spans="1:24" s="121" customFormat="1" ht="15" hidden="1" customHeight="1">
      <c r="A6" s="44"/>
      <c r="B6" s="58" t="s">
        <v>594</v>
      </c>
      <c r="C6" s="13"/>
      <c r="D6" s="188" t="s">
        <v>603</v>
      </c>
      <c r="E6" s="219" t="s">
        <v>604</v>
      </c>
      <c r="F6" s="220" t="s">
        <v>600</v>
      </c>
      <c r="G6" s="220"/>
      <c r="H6" s="11"/>
      <c r="I6" s="12"/>
      <c r="J6" s="13"/>
      <c r="K6" s="12"/>
      <c r="L6" s="12"/>
      <c r="M6" s="12"/>
      <c r="N6" s="30">
        <f t="shared" si="0"/>
        <v>0</v>
      </c>
      <c r="O6" s="31" t="e">
        <f t="shared" si="1"/>
        <v>#DIV/0!</v>
      </c>
      <c r="P6"/>
      <c r="Q6" s="179"/>
      <c r="R6" s="179"/>
      <c r="S6" s="179"/>
      <c r="T6" s="179"/>
      <c r="U6" s="179"/>
      <c r="V6" s="179"/>
      <c r="W6" s="179"/>
      <c r="X6" s="179"/>
    </row>
    <row r="7" spans="1:24" s="121" customFormat="1" hidden="1">
      <c r="A7" s="44"/>
      <c r="B7" s="58" t="s">
        <v>594</v>
      </c>
      <c r="C7" s="13"/>
      <c r="D7" s="188" t="s">
        <v>605</v>
      </c>
      <c r="E7" s="219" t="s">
        <v>606</v>
      </c>
      <c r="F7" s="220" t="s">
        <v>607</v>
      </c>
      <c r="G7" s="220"/>
      <c r="H7" s="11"/>
      <c r="I7" s="12"/>
      <c r="J7" s="13"/>
      <c r="K7" s="12"/>
      <c r="L7" s="12"/>
      <c r="M7" s="12"/>
      <c r="N7" s="30">
        <f t="shared" si="0"/>
        <v>0</v>
      </c>
      <c r="O7" s="31" t="e">
        <f t="shared" si="1"/>
        <v>#DIV/0!</v>
      </c>
      <c r="P7"/>
      <c r="Q7" s="179"/>
      <c r="R7" s="179"/>
      <c r="S7" s="179"/>
      <c r="T7" s="179"/>
      <c r="U7" s="179"/>
      <c r="V7" s="179"/>
      <c r="W7" s="179"/>
      <c r="X7" s="179"/>
    </row>
    <row r="8" spans="1:24" s="121" customFormat="1" hidden="1">
      <c r="A8" s="44"/>
      <c r="B8" s="58" t="s">
        <v>594</v>
      </c>
      <c r="C8" s="13"/>
      <c r="D8" s="188" t="s">
        <v>608</v>
      </c>
      <c r="E8" s="219" t="s">
        <v>609</v>
      </c>
      <c r="F8" s="220" t="s">
        <v>607</v>
      </c>
      <c r="G8" s="220"/>
      <c r="H8" s="11"/>
      <c r="I8" s="12"/>
      <c r="J8" s="13"/>
      <c r="K8" s="12"/>
      <c r="L8" s="12"/>
      <c r="M8" s="12"/>
      <c r="N8" s="30">
        <f t="shared" si="0"/>
        <v>0</v>
      </c>
      <c r="O8" s="31" t="e">
        <f t="shared" si="1"/>
        <v>#DIV/0!</v>
      </c>
      <c r="P8"/>
      <c r="Q8" s="179"/>
      <c r="R8" s="179"/>
      <c r="S8" s="179"/>
      <c r="T8" s="179"/>
      <c r="U8" s="179"/>
      <c r="V8" s="179"/>
      <c r="W8" s="179"/>
      <c r="X8" s="179"/>
    </row>
    <row r="9" spans="1:24" s="121" customFormat="1" hidden="1">
      <c r="A9" s="44"/>
      <c r="B9" s="58" t="s">
        <v>594</v>
      </c>
      <c r="C9" s="13"/>
      <c r="D9" s="188" t="s">
        <v>610</v>
      </c>
      <c r="E9" s="219" t="s">
        <v>611</v>
      </c>
      <c r="F9" s="220" t="s">
        <v>600</v>
      </c>
      <c r="G9" s="220"/>
      <c r="H9" s="11"/>
      <c r="I9" s="12"/>
      <c r="J9" s="13"/>
      <c r="K9" s="12"/>
      <c r="L9" s="12"/>
      <c r="M9" s="12"/>
      <c r="N9" s="30">
        <f t="shared" si="0"/>
        <v>0</v>
      </c>
      <c r="O9" s="31" t="e">
        <f t="shared" si="1"/>
        <v>#DIV/0!</v>
      </c>
      <c r="P9"/>
      <c r="Q9" s="179"/>
      <c r="R9" s="179"/>
      <c r="S9" s="179"/>
      <c r="T9" s="179"/>
      <c r="U9" s="179"/>
      <c r="V9" s="179"/>
      <c r="W9" s="179"/>
      <c r="X9" s="179"/>
    </row>
    <row r="10" spans="1:24" s="121" customFormat="1" ht="15" hidden="1" customHeight="1">
      <c r="A10" s="44"/>
      <c r="B10" s="58" t="s">
        <v>594</v>
      </c>
      <c r="C10" s="13"/>
      <c r="D10" s="188" t="s">
        <v>612</v>
      </c>
      <c r="E10" s="219" t="s">
        <v>613</v>
      </c>
      <c r="F10" s="220" t="s">
        <v>200</v>
      </c>
      <c r="G10" s="220"/>
      <c r="H10" s="11"/>
      <c r="I10" s="12"/>
      <c r="J10" s="13"/>
      <c r="K10" s="12"/>
      <c r="L10" s="12"/>
      <c r="M10" s="12"/>
      <c r="N10" s="30">
        <f t="shared" si="0"/>
        <v>0</v>
      </c>
      <c r="O10" s="31" t="e">
        <f t="shared" si="1"/>
        <v>#DIV/0!</v>
      </c>
      <c r="P10"/>
      <c r="Q10" s="179"/>
      <c r="R10" s="179"/>
      <c r="S10" s="179"/>
      <c r="T10" s="179"/>
      <c r="U10" s="179"/>
      <c r="V10" s="179"/>
      <c r="W10" s="179"/>
      <c r="X10" s="179"/>
    </row>
    <row r="11" spans="1:24" s="121" customFormat="1" ht="15" hidden="1" customHeight="1">
      <c r="A11" s="44"/>
      <c r="B11" s="58" t="s">
        <v>594</v>
      </c>
      <c r="C11" s="13"/>
      <c r="D11" s="188" t="s">
        <v>614</v>
      </c>
      <c r="E11" s="219" t="s">
        <v>615</v>
      </c>
      <c r="F11" s="220" t="s">
        <v>607</v>
      </c>
      <c r="G11" s="220"/>
      <c r="H11" s="11"/>
      <c r="I11" s="12"/>
      <c r="J11" s="13"/>
      <c r="K11" s="12"/>
      <c r="L11" s="12"/>
      <c r="M11" s="12"/>
      <c r="N11" s="30"/>
      <c r="O11" s="31"/>
      <c r="P11"/>
      <c r="Q11" s="179"/>
      <c r="R11" s="179"/>
      <c r="S11" s="179"/>
      <c r="T11" s="179"/>
      <c r="U11" s="179"/>
      <c r="V11" s="179"/>
      <c r="W11" s="179"/>
      <c r="X11" s="179"/>
    </row>
    <row r="12" spans="1:24" s="121" customFormat="1" ht="15" hidden="1" customHeight="1">
      <c r="A12" s="44"/>
      <c r="B12" s="58" t="s">
        <v>594</v>
      </c>
      <c r="C12" s="13"/>
      <c r="D12" s="188" t="s">
        <v>616</v>
      </c>
      <c r="E12" s="219" t="s">
        <v>617</v>
      </c>
      <c r="F12" s="220" t="s">
        <v>607</v>
      </c>
      <c r="G12" s="220"/>
      <c r="H12" s="11"/>
      <c r="I12" s="12"/>
      <c r="J12" s="13"/>
      <c r="K12" s="12"/>
      <c r="L12" s="12"/>
      <c r="M12" s="12"/>
      <c r="N12" s="30"/>
      <c r="O12" s="31"/>
      <c r="P12"/>
      <c r="Q12" s="179"/>
      <c r="R12" s="179"/>
      <c r="S12" s="179"/>
      <c r="T12" s="179"/>
      <c r="U12" s="179"/>
      <c r="V12" s="179"/>
      <c r="W12" s="179"/>
      <c r="X12" s="179"/>
    </row>
    <row r="13" spans="1:24" s="121" customFormat="1" ht="15" hidden="1" customHeight="1">
      <c r="A13" s="44"/>
      <c r="B13" s="58" t="s">
        <v>594</v>
      </c>
      <c r="C13" s="13"/>
      <c r="D13" s="188" t="s">
        <v>618</v>
      </c>
      <c r="E13" s="219" t="s">
        <v>619</v>
      </c>
      <c r="F13" s="220" t="s">
        <v>200</v>
      </c>
      <c r="G13" s="220"/>
      <c r="H13" s="11"/>
      <c r="I13" s="12"/>
      <c r="J13" s="13"/>
      <c r="K13" s="12"/>
      <c r="L13" s="12"/>
      <c r="M13" s="12"/>
      <c r="N13" s="30"/>
      <c r="O13" s="31"/>
      <c r="P13"/>
      <c r="Q13" s="179"/>
      <c r="R13" s="179"/>
      <c r="S13" s="179"/>
      <c r="T13" s="179"/>
      <c r="U13" s="179"/>
      <c r="V13" s="179"/>
      <c r="W13" s="179"/>
      <c r="X13" s="179"/>
    </row>
    <row r="14" spans="1:24" s="121" customFormat="1" ht="15" hidden="1" customHeight="1">
      <c r="A14" s="44"/>
      <c r="B14" s="203" t="s">
        <v>620</v>
      </c>
      <c r="C14" s="204"/>
      <c r="D14" s="189" t="s">
        <v>621</v>
      </c>
      <c r="E14" s="190" t="s">
        <v>622</v>
      </c>
      <c r="F14" s="191" t="s">
        <v>600</v>
      </c>
      <c r="G14" s="191"/>
      <c r="H14" s="204"/>
      <c r="I14" s="205"/>
      <c r="J14" s="203"/>
      <c r="K14" s="203"/>
      <c r="L14" s="203"/>
      <c r="M14" s="203"/>
      <c r="N14" s="173">
        <f>SUM(I14:L14)</f>
        <v>0</v>
      </c>
      <c r="O14" s="174" t="e">
        <f t="shared" ref="O14" si="2">+K14/N14</f>
        <v>#DIV/0!</v>
      </c>
      <c r="P14"/>
      <c r="Q14" s="179"/>
      <c r="R14" s="179"/>
      <c r="S14" s="179"/>
      <c r="T14" s="179"/>
      <c r="U14" s="179"/>
      <c r="V14" s="179"/>
      <c r="W14" s="179"/>
      <c r="X14" s="179"/>
    </row>
    <row r="15" spans="1:24" s="121" customFormat="1" hidden="1">
      <c r="A15" s="44"/>
      <c r="B15" s="200" t="s">
        <v>623</v>
      </c>
      <c r="C15" s="201" t="s">
        <v>624</v>
      </c>
      <c r="D15" s="202" t="s">
        <v>625</v>
      </c>
      <c r="E15" s="200" t="s">
        <v>626</v>
      </c>
      <c r="F15" s="200" t="s">
        <v>10</v>
      </c>
      <c r="G15" s="200"/>
      <c r="H15" s="11"/>
      <c r="I15" s="12"/>
      <c r="J15" s="13"/>
      <c r="K15" s="69"/>
      <c r="L15" s="69"/>
      <c r="M15" s="69"/>
      <c r="N15" s="30"/>
      <c r="O15" s="31"/>
      <c r="P15"/>
      <c r="Q15" s="179"/>
      <c r="R15" s="179"/>
      <c r="S15" s="179"/>
      <c r="T15" s="179"/>
      <c r="U15" s="179"/>
      <c r="V15" s="179"/>
      <c r="W15" s="179"/>
      <c r="X15" s="179"/>
    </row>
    <row r="16" spans="1:24" s="121" customFormat="1" hidden="1">
      <c r="A16" s="44"/>
      <c r="B16" s="58" t="s">
        <v>623</v>
      </c>
      <c r="C16" s="45"/>
      <c r="D16" s="188" t="s">
        <v>627</v>
      </c>
      <c r="E16" s="219" t="s">
        <v>628</v>
      </c>
      <c r="F16" s="220" t="s">
        <v>600</v>
      </c>
      <c r="G16" s="220"/>
      <c r="H16" s="11"/>
      <c r="I16" s="12"/>
      <c r="J16" s="13"/>
      <c r="K16" s="69"/>
      <c r="L16" s="69"/>
      <c r="M16" s="69"/>
      <c r="N16" s="30">
        <f t="shared" ref="N16:N25" si="3">SUM(I16:L16)</f>
        <v>0</v>
      </c>
      <c r="O16" s="31" t="e">
        <f t="shared" si="1"/>
        <v>#DIV/0!</v>
      </c>
      <c r="P16"/>
      <c r="Q16" s="179"/>
      <c r="R16" s="179"/>
      <c r="S16" s="179"/>
      <c r="T16" s="179"/>
      <c r="U16" s="179"/>
      <c r="V16" s="179"/>
      <c r="W16" s="179"/>
      <c r="X16" s="179"/>
    </row>
    <row r="17" spans="1:24" s="121" customFormat="1" hidden="1">
      <c r="A17" s="44"/>
      <c r="B17" s="58" t="s">
        <v>623</v>
      </c>
      <c r="C17" s="45"/>
      <c r="D17" s="188" t="s">
        <v>629</v>
      </c>
      <c r="E17" s="219" t="s">
        <v>630</v>
      </c>
      <c r="F17" s="220" t="s">
        <v>141</v>
      </c>
      <c r="G17" s="220"/>
      <c r="H17" s="11"/>
      <c r="I17" s="12"/>
      <c r="J17" s="13"/>
      <c r="K17" s="69"/>
      <c r="L17" s="69"/>
      <c r="M17" s="69"/>
      <c r="N17" s="30">
        <f t="shared" si="3"/>
        <v>0</v>
      </c>
      <c r="O17" s="31" t="e">
        <f t="shared" si="1"/>
        <v>#DIV/0!</v>
      </c>
      <c r="P17"/>
      <c r="Q17" s="179"/>
      <c r="R17" s="179"/>
      <c r="S17" s="179"/>
      <c r="T17" s="179"/>
      <c r="U17" s="179"/>
      <c r="V17" s="179"/>
      <c r="W17" s="179"/>
      <c r="X17" s="179"/>
    </row>
    <row r="18" spans="1:24" s="121" customFormat="1" hidden="1">
      <c r="A18" s="44"/>
      <c r="B18" s="58" t="s">
        <v>623</v>
      </c>
      <c r="C18" s="45"/>
      <c r="D18" s="188" t="s">
        <v>631</v>
      </c>
      <c r="E18" s="219" t="s">
        <v>632</v>
      </c>
      <c r="F18" s="220" t="s">
        <v>141</v>
      </c>
      <c r="G18" s="220"/>
      <c r="H18" s="11"/>
      <c r="I18" s="12"/>
      <c r="J18" s="13"/>
      <c r="K18" s="69"/>
      <c r="L18" s="69"/>
      <c r="M18" s="69"/>
      <c r="N18" s="30">
        <f t="shared" si="3"/>
        <v>0</v>
      </c>
      <c r="O18" s="31" t="e">
        <f t="shared" si="1"/>
        <v>#DIV/0!</v>
      </c>
      <c r="P18"/>
      <c r="Q18" s="179"/>
      <c r="R18" s="179"/>
      <c r="S18" s="179"/>
      <c r="T18" s="179"/>
      <c r="U18" s="179"/>
      <c r="V18" s="179"/>
      <c r="W18" s="179"/>
      <c r="X18" s="179"/>
    </row>
    <row r="19" spans="1:24" s="121" customFormat="1" hidden="1">
      <c r="A19" s="44"/>
      <c r="B19" s="58" t="s">
        <v>623</v>
      </c>
      <c r="C19" s="45"/>
      <c r="D19" s="188" t="s">
        <v>633</v>
      </c>
      <c r="E19" s="219" t="s">
        <v>634</v>
      </c>
      <c r="F19" s="220" t="s">
        <v>200</v>
      </c>
      <c r="G19" s="220"/>
      <c r="H19" s="11"/>
      <c r="I19" s="12"/>
      <c r="J19" s="13"/>
      <c r="K19" s="69"/>
      <c r="L19" s="69"/>
      <c r="M19" s="69"/>
      <c r="N19" s="30">
        <f t="shared" si="3"/>
        <v>0</v>
      </c>
      <c r="O19" s="31" t="e">
        <f t="shared" si="1"/>
        <v>#DIV/0!</v>
      </c>
      <c r="P19"/>
      <c r="Q19" s="179"/>
      <c r="R19" s="179"/>
      <c r="S19" s="179"/>
      <c r="T19" s="179"/>
      <c r="U19" s="179"/>
      <c r="V19" s="179"/>
      <c r="W19" s="179"/>
      <c r="X19" s="179"/>
    </row>
    <row r="20" spans="1:24" s="121" customFormat="1" hidden="1">
      <c r="A20" s="44"/>
      <c r="B20" s="58" t="s">
        <v>623</v>
      </c>
      <c r="C20" s="45"/>
      <c r="D20" s="188" t="s">
        <v>635</v>
      </c>
      <c r="E20" s="219" t="s">
        <v>636</v>
      </c>
      <c r="F20" s="220" t="s">
        <v>600</v>
      </c>
      <c r="G20" s="220"/>
      <c r="H20" s="11"/>
      <c r="I20" s="12"/>
      <c r="J20" s="13"/>
      <c r="K20" s="12"/>
      <c r="L20" s="12"/>
      <c r="M20" s="12"/>
      <c r="N20" s="30">
        <f t="shared" si="3"/>
        <v>0</v>
      </c>
      <c r="O20" s="31" t="e">
        <f t="shared" si="1"/>
        <v>#DIV/0!</v>
      </c>
      <c r="P20"/>
      <c r="Q20" s="179"/>
      <c r="R20" s="179"/>
      <c r="S20" s="179"/>
      <c r="T20" s="179"/>
      <c r="U20" s="179"/>
      <c r="V20" s="179"/>
      <c r="W20" s="179"/>
      <c r="X20" s="179"/>
    </row>
    <row r="21" spans="1:24" s="121" customFormat="1" hidden="1">
      <c r="A21" s="44"/>
      <c r="B21" s="58" t="s">
        <v>623</v>
      </c>
      <c r="C21" s="45"/>
      <c r="D21" s="188" t="s">
        <v>637</v>
      </c>
      <c r="E21" s="219" t="s">
        <v>638</v>
      </c>
      <c r="F21" s="220" t="s">
        <v>141</v>
      </c>
      <c r="G21" s="220"/>
      <c r="H21" s="11"/>
      <c r="I21" s="12"/>
      <c r="J21" s="13"/>
      <c r="K21" s="69"/>
      <c r="L21" s="69"/>
      <c r="M21" s="69"/>
      <c r="N21" s="30">
        <f t="shared" si="3"/>
        <v>0</v>
      </c>
      <c r="O21" s="31" t="e">
        <f t="shared" si="1"/>
        <v>#DIV/0!</v>
      </c>
      <c r="P21"/>
      <c r="Q21" s="179"/>
      <c r="R21" s="179"/>
      <c r="S21" s="179"/>
      <c r="T21" s="179"/>
      <c r="U21" s="179"/>
      <c r="V21" s="179"/>
      <c r="W21" s="179"/>
      <c r="X21" s="179"/>
    </row>
    <row r="22" spans="1:24" s="121" customFormat="1" hidden="1">
      <c r="A22" s="44"/>
      <c r="B22" s="58" t="s">
        <v>623</v>
      </c>
      <c r="C22" s="45"/>
      <c r="D22" s="188" t="s">
        <v>639</v>
      </c>
      <c r="E22" s="219" t="s">
        <v>640</v>
      </c>
      <c r="F22" s="220" t="s">
        <v>200</v>
      </c>
      <c r="G22" s="220"/>
      <c r="H22" s="11"/>
      <c r="I22" s="12"/>
      <c r="J22" s="13"/>
      <c r="K22" s="12"/>
      <c r="L22" s="12"/>
      <c r="M22" s="12"/>
      <c r="N22" s="30">
        <f t="shared" si="3"/>
        <v>0</v>
      </c>
      <c r="O22" s="31" t="e">
        <f t="shared" si="1"/>
        <v>#DIV/0!</v>
      </c>
      <c r="P22"/>
      <c r="Q22" s="179"/>
      <c r="R22" s="179"/>
      <c r="S22" s="179"/>
      <c r="T22" s="179"/>
      <c r="U22" s="179"/>
      <c r="V22" s="179"/>
      <c r="W22" s="179"/>
      <c r="X22" s="179"/>
    </row>
    <row r="23" spans="1:24" s="121" customFormat="1" hidden="1">
      <c r="A23" s="44"/>
      <c r="B23" s="58" t="s">
        <v>623</v>
      </c>
      <c r="C23" s="45"/>
      <c r="D23" s="188" t="s">
        <v>641</v>
      </c>
      <c r="E23" s="219" t="s">
        <v>642</v>
      </c>
      <c r="F23" s="220" t="s">
        <v>141</v>
      </c>
      <c r="G23" s="220"/>
      <c r="H23" s="11"/>
      <c r="I23" s="12"/>
      <c r="J23" s="13"/>
      <c r="K23" s="12"/>
      <c r="L23" s="12"/>
      <c r="M23" s="12"/>
      <c r="N23" s="30">
        <f t="shared" si="3"/>
        <v>0</v>
      </c>
      <c r="O23" s="31" t="e">
        <f t="shared" si="1"/>
        <v>#DIV/0!</v>
      </c>
      <c r="P23"/>
      <c r="Q23" s="179"/>
      <c r="R23" s="179"/>
      <c r="S23" s="179"/>
      <c r="T23" s="179"/>
      <c r="U23" s="179"/>
      <c r="V23" s="179"/>
      <c r="W23" s="179"/>
      <c r="X23" s="179"/>
    </row>
    <row r="24" spans="1:24" s="121" customFormat="1" hidden="1">
      <c r="A24" s="44"/>
      <c r="B24" s="58" t="s">
        <v>623</v>
      </c>
      <c r="C24" s="45"/>
      <c r="D24" s="188" t="s">
        <v>643</v>
      </c>
      <c r="E24" s="219" t="s">
        <v>644</v>
      </c>
      <c r="F24" s="220" t="s">
        <v>600</v>
      </c>
      <c r="G24" s="220"/>
      <c r="H24" s="11"/>
      <c r="I24" s="12"/>
      <c r="J24" s="13"/>
      <c r="K24" s="12"/>
      <c r="L24" s="12"/>
      <c r="M24" s="12"/>
      <c r="N24" s="30">
        <f t="shared" si="3"/>
        <v>0</v>
      </c>
      <c r="O24" s="31" t="e">
        <f t="shared" si="1"/>
        <v>#DIV/0!</v>
      </c>
      <c r="P24"/>
      <c r="Q24" s="179"/>
      <c r="R24" s="179"/>
      <c r="S24" s="179"/>
      <c r="T24" s="179"/>
      <c r="U24" s="179"/>
      <c r="V24" s="179"/>
      <c r="W24" s="179"/>
      <c r="X24" s="179"/>
    </row>
    <row r="25" spans="1:24" s="121" customFormat="1" hidden="1">
      <c r="A25" s="44"/>
      <c r="B25" s="203" t="s">
        <v>620</v>
      </c>
      <c r="C25" s="204"/>
      <c r="D25" s="189" t="s">
        <v>645</v>
      </c>
      <c r="E25" s="190" t="s">
        <v>646</v>
      </c>
      <c r="F25" s="191" t="s">
        <v>600</v>
      </c>
      <c r="G25" s="191"/>
      <c r="H25" s="204"/>
      <c r="I25" s="205"/>
      <c r="J25" s="203"/>
      <c r="K25" s="203"/>
      <c r="L25" s="203"/>
      <c r="M25" s="203"/>
      <c r="N25" s="173">
        <f t="shared" si="3"/>
        <v>0</v>
      </c>
      <c r="O25" s="174" t="e">
        <f>+K25/N25</f>
        <v>#DIV/0!</v>
      </c>
      <c r="P25"/>
      <c r="Q25" s="179"/>
      <c r="R25" s="179"/>
      <c r="S25" s="179"/>
      <c r="T25" s="179"/>
      <c r="U25" s="179"/>
      <c r="V25" s="179"/>
      <c r="W25" s="179"/>
      <c r="X25" s="179"/>
    </row>
    <row r="26" spans="1:24" s="121" customFormat="1" hidden="1">
      <c r="A26" s="44"/>
      <c r="B26" s="197" t="s">
        <v>647</v>
      </c>
      <c r="C26" s="198" t="s">
        <v>648</v>
      </c>
      <c r="D26" s="199" t="s">
        <v>649</v>
      </c>
      <c r="E26" s="197" t="s">
        <v>650</v>
      </c>
      <c r="F26" s="197" t="s">
        <v>8</v>
      </c>
      <c r="G26" s="197"/>
      <c r="H26" s="11"/>
      <c r="I26" s="12"/>
      <c r="J26" s="13"/>
      <c r="K26" s="13"/>
      <c r="L26" s="13"/>
      <c r="M26" s="13"/>
      <c r="N26" s="30"/>
      <c r="O26" s="31"/>
      <c r="P26"/>
      <c r="Q26" s="179"/>
      <c r="R26" s="179"/>
      <c r="S26" s="179"/>
      <c r="T26" s="179"/>
      <c r="U26" s="179"/>
      <c r="V26" s="179"/>
      <c r="W26" s="179"/>
      <c r="X26" s="179"/>
    </row>
    <row r="27" spans="1:24" s="121" customFormat="1" hidden="1">
      <c r="A27" s="44"/>
      <c r="B27" s="200" t="s">
        <v>651</v>
      </c>
      <c r="C27" s="201" t="s">
        <v>652</v>
      </c>
      <c r="D27" s="202" t="s">
        <v>653</v>
      </c>
      <c r="E27" s="201" t="s">
        <v>654</v>
      </c>
      <c r="F27" s="200" t="s">
        <v>10</v>
      </c>
      <c r="G27" s="200"/>
      <c r="H27" s="11"/>
      <c r="I27" s="12"/>
      <c r="J27" s="13"/>
      <c r="K27" s="13"/>
      <c r="L27" s="13"/>
      <c r="M27" s="13"/>
      <c r="N27" s="30">
        <f t="shared" ref="N27:N44" si="4">SUM(I27:L27)</f>
        <v>0</v>
      </c>
      <c r="O27" s="31" t="e">
        <f t="shared" si="1"/>
        <v>#DIV/0!</v>
      </c>
      <c r="P27"/>
      <c r="Q27" s="179"/>
      <c r="R27" s="179"/>
      <c r="S27" s="179"/>
      <c r="T27" s="179"/>
      <c r="U27" s="179"/>
      <c r="V27" s="179"/>
      <c r="W27" s="179"/>
      <c r="X27" s="179"/>
    </row>
    <row r="28" spans="1:24" s="121" customFormat="1" hidden="1">
      <c r="A28" s="44"/>
      <c r="B28" s="58"/>
      <c r="C28" s="45"/>
      <c r="D28" s="192" t="s">
        <v>655</v>
      </c>
      <c r="E28" s="219" t="s">
        <v>656</v>
      </c>
      <c r="F28" s="220" t="s">
        <v>200</v>
      </c>
      <c r="G28" s="220"/>
      <c r="H28" s="11"/>
      <c r="I28" s="12"/>
      <c r="J28" s="13"/>
      <c r="K28" s="13"/>
      <c r="L28" s="13"/>
      <c r="M28" s="13"/>
      <c r="N28" s="30">
        <f t="shared" si="4"/>
        <v>0</v>
      </c>
      <c r="O28" s="31" t="e">
        <f t="shared" si="1"/>
        <v>#DIV/0!</v>
      </c>
      <c r="P28"/>
      <c r="Q28" s="179"/>
      <c r="R28" s="179"/>
      <c r="S28" s="179"/>
      <c r="T28" s="179"/>
      <c r="U28" s="179"/>
      <c r="V28" s="179"/>
      <c r="W28" s="179"/>
      <c r="X28" s="179"/>
    </row>
    <row r="29" spans="1:24" s="121" customFormat="1" hidden="1">
      <c r="A29" s="44"/>
      <c r="B29" s="58"/>
      <c r="C29" s="45"/>
      <c r="D29" s="192" t="s">
        <v>657</v>
      </c>
      <c r="E29" s="219" t="s">
        <v>658</v>
      </c>
      <c r="F29" s="220" t="s">
        <v>200</v>
      </c>
      <c r="G29" s="220"/>
      <c r="H29" s="11"/>
      <c r="I29" s="12"/>
      <c r="J29" s="13"/>
      <c r="K29" s="13"/>
      <c r="L29" s="13"/>
      <c r="M29" s="13"/>
      <c r="N29" s="30">
        <f t="shared" si="4"/>
        <v>0</v>
      </c>
      <c r="O29" s="31" t="e">
        <f t="shared" si="1"/>
        <v>#DIV/0!</v>
      </c>
      <c r="P29"/>
      <c r="Q29" s="179"/>
      <c r="R29" s="179"/>
      <c r="S29" s="179"/>
      <c r="T29" s="179"/>
      <c r="U29" s="179"/>
      <c r="V29" s="179"/>
      <c r="W29" s="179"/>
      <c r="X29" s="179"/>
    </row>
    <row r="30" spans="1:24" s="121" customFormat="1" hidden="1">
      <c r="A30" s="44"/>
      <c r="B30" s="58"/>
      <c r="C30" s="45"/>
      <c r="D30" s="192" t="s">
        <v>659</v>
      </c>
      <c r="E30" s="219" t="s">
        <v>660</v>
      </c>
      <c r="F30" s="220" t="s">
        <v>200</v>
      </c>
      <c r="G30" s="220"/>
      <c r="H30" s="11"/>
      <c r="I30" s="12"/>
      <c r="J30" s="13"/>
      <c r="K30" s="13"/>
      <c r="L30" s="13"/>
      <c r="M30" s="13"/>
      <c r="N30" s="30">
        <f t="shared" si="4"/>
        <v>0</v>
      </c>
      <c r="O30" s="31" t="e">
        <f t="shared" si="1"/>
        <v>#DIV/0!</v>
      </c>
      <c r="P30"/>
      <c r="Q30" s="179"/>
      <c r="R30" s="179"/>
      <c r="S30" s="179"/>
      <c r="T30" s="179"/>
      <c r="U30" s="179"/>
      <c r="V30" s="179"/>
      <c r="W30" s="179"/>
      <c r="X30" s="179"/>
    </row>
    <row r="31" spans="1:24" s="121" customFormat="1" hidden="1">
      <c r="A31" s="44"/>
      <c r="B31" s="58"/>
      <c r="C31" s="45"/>
      <c r="D31" s="192" t="s">
        <v>661</v>
      </c>
      <c r="E31" s="219" t="s">
        <v>662</v>
      </c>
      <c r="F31" s="220" t="s">
        <v>200</v>
      </c>
      <c r="G31" s="220"/>
      <c r="H31" s="11"/>
      <c r="I31" s="12"/>
      <c r="J31" s="13"/>
      <c r="K31" s="13"/>
      <c r="L31" s="13"/>
      <c r="M31" s="13"/>
      <c r="N31" s="30">
        <f t="shared" si="4"/>
        <v>0</v>
      </c>
      <c r="O31" s="31" t="e">
        <f t="shared" si="1"/>
        <v>#DIV/0!</v>
      </c>
      <c r="P31"/>
      <c r="Q31" s="179"/>
      <c r="R31" s="179"/>
      <c r="S31" s="179"/>
      <c r="T31" s="179"/>
      <c r="U31" s="179"/>
      <c r="V31" s="179"/>
      <c r="W31" s="179"/>
      <c r="X31" s="179"/>
    </row>
    <row r="32" spans="1:24" s="121" customFormat="1" hidden="1">
      <c r="A32" s="44"/>
      <c r="B32" s="58"/>
      <c r="C32" s="45"/>
      <c r="D32" s="192" t="s">
        <v>663</v>
      </c>
      <c r="E32" s="219" t="s">
        <v>664</v>
      </c>
      <c r="F32" s="220" t="s">
        <v>1</v>
      </c>
      <c r="G32" s="220"/>
      <c r="H32" s="11"/>
      <c r="I32" s="12"/>
      <c r="J32" s="13"/>
      <c r="K32" s="13"/>
      <c r="L32" s="13"/>
      <c r="M32" s="13"/>
      <c r="N32" s="30">
        <f t="shared" si="4"/>
        <v>0</v>
      </c>
      <c r="O32" s="31" t="e">
        <f t="shared" si="1"/>
        <v>#DIV/0!</v>
      </c>
      <c r="P32"/>
      <c r="Q32" s="179"/>
      <c r="R32" s="179"/>
      <c r="S32" s="179"/>
      <c r="T32" s="179"/>
      <c r="U32" s="179"/>
      <c r="V32" s="179"/>
      <c r="W32" s="179"/>
      <c r="X32" s="179"/>
    </row>
    <row r="33" spans="1:24" s="121" customFormat="1" hidden="1">
      <c r="A33" s="44"/>
      <c r="B33" s="206"/>
      <c r="C33" s="45"/>
      <c r="D33" s="192" t="s">
        <v>665</v>
      </c>
      <c r="E33" s="219" t="s">
        <v>666</v>
      </c>
      <c r="F33" s="220" t="s">
        <v>600</v>
      </c>
      <c r="G33" s="220"/>
      <c r="H33" s="11"/>
      <c r="I33" s="12"/>
      <c r="J33" s="13"/>
      <c r="K33" s="13"/>
      <c r="L33" s="13"/>
      <c r="M33" s="13"/>
      <c r="N33" s="30">
        <f t="shared" si="4"/>
        <v>0</v>
      </c>
      <c r="O33" s="31" t="e">
        <f t="shared" si="1"/>
        <v>#DIV/0!</v>
      </c>
      <c r="P33"/>
      <c r="Q33" s="179"/>
      <c r="R33" s="179"/>
      <c r="S33" s="179"/>
      <c r="T33" s="179"/>
      <c r="U33" s="179"/>
      <c r="V33" s="179"/>
      <c r="W33" s="179"/>
      <c r="X33" s="179"/>
    </row>
    <row r="34" spans="1:24" s="121" customFormat="1" hidden="1">
      <c r="A34" s="44"/>
      <c r="B34" s="58"/>
      <c r="C34" s="45"/>
      <c r="D34" s="192" t="s">
        <v>667</v>
      </c>
      <c r="E34" s="219" t="s">
        <v>668</v>
      </c>
      <c r="F34" s="220" t="s">
        <v>600</v>
      </c>
      <c r="G34" s="220"/>
      <c r="H34" s="11"/>
      <c r="I34" s="12"/>
      <c r="J34" s="13"/>
      <c r="K34" s="13"/>
      <c r="L34" s="13"/>
      <c r="M34" s="13"/>
      <c r="N34" s="30">
        <f t="shared" si="4"/>
        <v>0</v>
      </c>
      <c r="O34" s="31" t="e">
        <f t="shared" si="1"/>
        <v>#DIV/0!</v>
      </c>
      <c r="P34"/>
      <c r="Q34" s="179"/>
      <c r="R34" s="179"/>
      <c r="S34" s="179"/>
      <c r="T34" s="179"/>
      <c r="U34" s="179"/>
      <c r="V34" s="179"/>
      <c r="W34" s="179"/>
      <c r="X34" s="179"/>
    </row>
    <row r="35" spans="1:24" s="121" customFormat="1" hidden="1">
      <c r="A35" s="44"/>
      <c r="B35" s="58"/>
      <c r="C35" s="45"/>
      <c r="D35" s="192" t="s">
        <v>669</v>
      </c>
      <c r="E35" s="219" t="s">
        <v>670</v>
      </c>
      <c r="F35" s="220" t="s">
        <v>200</v>
      </c>
      <c r="G35" s="220"/>
      <c r="H35" s="11"/>
      <c r="I35" s="12"/>
      <c r="J35" s="13"/>
      <c r="K35" s="13"/>
      <c r="L35" s="13"/>
      <c r="M35" s="13"/>
      <c r="N35" s="30">
        <f t="shared" si="4"/>
        <v>0</v>
      </c>
      <c r="O35" s="31" t="e">
        <f t="shared" si="1"/>
        <v>#DIV/0!</v>
      </c>
      <c r="P35"/>
      <c r="Q35" s="179"/>
      <c r="R35" s="179"/>
      <c r="S35" s="179"/>
      <c r="T35" s="179"/>
      <c r="U35" s="179"/>
      <c r="V35" s="179"/>
      <c r="W35" s="179"/>
      <c r="X35" s="179"/>
    </row>
    <row r="36" spans="1:24" s="121" customFormat="1" hidden="1">
      <c r="A36" s="44"/>
      <c r="B36" s="58"/>
      <c r="C36" s="45"/>
      <c r="D36" s="192" t="s">
        <v>671</v>
      </c>
      <c r="E36" s="219" t="s">
        <v>672</v>
      </c>
      <c r="F36" s="220" t="s">
        <v>294</v>
      </c>
      <c r="G36" s="220"/>
      <c r="H36" s="11"/>
      <c r="I36" s="12"/>
      <c r="J36" s="13"/>
      <c r="K36" s="13"/>
      <c r="L36" s="13"/>
      <c r="M36" s="13"/>
      <c r="N36" s="30">
        <f t="shared" si="4"/>
        <v>0</v>
      </c>
      <c r="O36" s="31" t="e">
        <f t="shared" si="1"/>
        <v>#DIV/0!</v>
      </c>
      <c r="P36"/>
      <c r="Q36" s="179"/>
      <c r="R36" s="179"/>
      <c r="S36" s="179"/>
      <c r="T36" s="179"/>
      <c r="U36" s="179"/>
      <c r="V36" s="179"/>
      <c r="W36" s="179"/>
      <c r="X36" s="179"/>
    </row>
    <row r="37" spans="1:24" hidden="1">
      <c r="A37" s="44"/>
      <c r="B37" s="200" t="s">
        <v>673</v>
      </c>
      <c r="C37" s="201" t="s">
        <v>674</v>
      </c>
      <c r="D37" s="202" t="s">
        <v>675</v>
      </c>
      <c r="E37" s="201" t="s">
        <v>676</v>
      </c>
      <c r="F37" s="200" t="s">
        <v>10</v>
      </c>
      <c r="G37" s="200"/>
      <c r="H37" s="11"/>
      <c r="I37" s="12"/>
      <c r="J37" s="13"/>
      <c r="K37" s="13"/>
      <c r="L37" s="13"/>
      <c r="M37" s="13"/>
      <c r="N37" s="30">
        <f t="shared" si="4"/>
        <v>0</v>
      </c>
      <c r="O37" s="31" t="e">
        <f t="shared" ref="O37:O50" si="5">+K37/N37</f>
        <v>#DIV/0!</v>
      </c>
      <c r="Q37" s="218"/>
      <c r="R37" s="218"/>
      <c r="S37" s="218"/>
      <c r="T37" s="218"/>
      <c r="U37" s="218"/>
      <c r="V37" s="218"/>
      <c r="W37" s="218"/>
      <c r="X37" s="218"/>
    </row>
    <row r="38" spans="1:24" hidden="1">
      <c r="A38" s="44"/>
      <c r="B38" s="58"/>
      <c r="C38" s="45"/>
      <c r="D38" s="192" t="s">
        <v>677</v>
      </c>
      <c r="E38" s="219" t="s">
        <v>678</v>
      </c>
      <c r="F38" s="220" t="s">
        <v>141</v>
      </c>
      <c r="G38" s="220"/>
      <c r="H38" s="11"/>
      <c r="I38" s="12"/>
      <c r="J38" s="13"/>
      <c r="K38" s="13"/>
      <c r="L38" s="13"/>
      <c r="M38" s="13"/>
      <c r="N38" s="30">
        <f t="shared" si="4"/>
        <v>0</v>
      </c>
      <c r="O38" s="31" t="e">
        <f t="shared" si="5"/>
        <v>#DIV/0!</v>
      </c>
      <c r="Q38" s="218"/>
      <c r="R38" s="218"/>
      <c r="S38" s="218"/>
      <c r="T38" s="218"/>
      <c r="U38" s="218"/>
      <c r="V38" s="218"/>
      <c r="W38" s="218"/>
      <c r="X38" s="218"/>
    </row>
    <row r="39" spans="1:24" hidden="1">
      <c r="A39" s="44"/>
      <c r="B39" s="58"/>
      <c r="C39" s="45"/>
      <c r="D39" s="192" t="s">
        <v>679</v>
      </c>
      <c r="E39" s="219" t="s">
        <v>680</v>
      </c>
      <c r="F39" s="220" t="s">
        <v>200</v>
      </c>
      <c r="G39" s="220"/>
      <c r="H39" s="11"/>
      <c r="I39" s="12"/>
      <c r="J39" s="13"/>
      <c r="K39" s="13"/>
      <c r="L39" s="13"/>
      <c r="M39" s="13"/>
      <c r="N39" s="30">
        <f t="shared" si="4"/>
        <v>0</v>
      </c>
      <c r="O39" s="31" t="e">
        <f t="shared" si="5"/>
        <v>#DIV/0!</v>
      </c>
      <c r="Q39" s="218"/>
      <c r="R39" s="218"/>
      <c r="S39" s="218"/>
      <c r="T39" s="218"/>
      <c r="U39" s="218"/>
      <c r="V39" s="218"/>
      <c r="W39" s="218"/>
      <c r="X39" s="218"/>
    </row>
    <row r="40" spans="1:24" hidden="1">
      <c r="A40" s="44"/>
      <c r="B40" s="58"/>
      <c r="C40" s="45"/>
      <c r="D40" s="192" t="s">
        <v>681</v>
      </c>
      <c r="E40" s="219" t="s">
        <v>682</v>
      </c>
      <c r="F40" s="220" t="s">
        <v>141</v>
      </c>
      <c r="G40" s="220"/>
      <c r="H40" s="11"/>
      <c r="I40" s="12"/>
      <c r="J40" s="13"/>
      <c r="K40" s="13"/>
      <c r="L40" s="13"/>
      <c r="M40" s="13"/>
      <c r="N40" s="30">
        <f t="shared" si="4"/>
        <v>0</v>
      </c>
      <c r="O40" s="31" t="e">
        <f t="shared" si="5"/>
        <v>#DIV/0!</v>
      </c>
      <c r="Q40" s="218"/>
      <c r="R40" s="218"/>
      <c r="S40" s="218"/>
      <c r="T40" s="218"/>
      <c r="U40" s="218"/>
      <c r="V40" s="218"/>
      <c r="W40" s="218"/>
      <c r="X40" s="218"/>
    </row>
    <row r="41" spans="1:24" hidden="1">
      <c r="A41" s="44"/>
      <c r="B41" s="58"/>
      <c r="C41" s="45"/>
      <c r="D41" s="192" t="s">
        <v>683</v>
      </c>
      <c r="E41" s="219" t="s">
        <v>684</v>
      </c>
      <c r="F41" s="220" t="s">
        <v>1</v>
      </c>
      <c r="G41" s="220"/>
      <c r="H41" s="11"/>
      <c r="I41" s="12"/>
      <c r="J41" s="13"/>
      <c r="K41" s="13"/>
      <c r="L41" s="13"/>
      <c r="M41" s="13"/>
      <c r="N41" s="30">
        <f t="shared" si="4"/>
        <v>0</v>
      </c>
      <c r="O41" s="31" t="e">
        <f t="shared" si="5"/>
        <v>#DIV/0!</v>
      </c>
      <c r="Q41" s="218"/>
      <c r="R41" s="218"/>
      <c r="S41" s="218"/>
      <c r="T41" s="218"/>
      <c r="U41" s="218"/>
      <c r="V41" s="218"/>
      <c r="W41" s="218"/>
      <c r="X41" s="218"/>
    </row>
    <row r="42" spans="1:24" hidden="1">
      <c r="A42" s="44"/>
      <c r="B42" s="58"/>
      <c r="C42" s="45"/>
      <c r="D42" s="192" t="s">
        <v>685</v>
      </c>
      <c r="E42" s="219" t="s">
        <v>686</v>
      </c>
      <c r="F42" s="220" t="s">
        <v>200</v>
      </c>
      <c r="G42" s="220"/>
      <c r="H42" s="11"/>
      <c r="I42" s="12"/>
      <c r="J42" s="13"/>
      <c r="K42" s="13"/>
      <c r="L42" s="13"/>
      <c r="M42" s="13"/>
      <c r="N42" s="30">
        <f t="shared" si="4"/>
        <v>0</v>
      </c>
      <c r="O42" s="31" t="e">
        <f t="shared" si="5"/>
        <v>#DIV/0!</v>
      </c>
      <c r="Q42" s="218"/>
      <c r="R42" s="218"/>
      <c r="S42" s="218"/>
      <c r="T42" s="218"/>
      <c r="U42" s="218"/>
      <c r="V42" s="218"/>
      <c r="W42" s="218"/>
      <c r="X42" s="218"/>
    </row>
    <row r="43" spans="1:24" hidden="1">
      <c r="A43" s="44"/>
      <c r="B43" s="58"/>
      <c r="C43" s="45"/>
      <c r="D43" s="192" t="s">
        <v>687</v>
      </c>
      <c r="E43" s="219" t="s">
        <v>688</v>
      </c>
      <c r="F43" s="220" t="s">
        <v>607</v>
      </c>
      <c r="G43" s="220"/>
      <c r="H43" s="11"/>
      <c r="I43" s="12"/>
      <c r="J43" s="13"/>
      <c r="K43" s="13"/>
      <c r="L43" s="13"/>
      <c r="M43" s="13"/>
      <c r="N43" s="30">
        <f t="shared" si="4"/>
        <v>0</v>
      </c>
      <c r="O43" s="31" t="e">
        <f t="shared" si="5"/>
        <v>#DIV/0!</v>
      </c>
      <c r="Q43" s="218"/>
      <c r="R43" s="218"/>
      <c r="S43" s="218"/>
      <c r="T43" s="218"/>
      <c r="U43" s="218"/>
      <c r="V43" s="218"/>
      <c r="W43" s="218"/>
      <c r="X43" s="218"/>
    </row>
    <row r="44" spans="1:24" hidden="1">
      <c r="A44" s="44"/>
      <c r="B44" s="58"/>
      <c r="C44" s="45"/>
      <c r="D44" s="192" t="s">
        <v>689</v>
      </c>
      <c r="E44" s="219" t="s">
        <v>690</v>
      </c>
      <c r="F44" s="220" t="s">
        <v>1</v>
      </c>
      <c r="G44" s="220"/>
      <c r="H44" s="11"/>
      <c r="I44" s="12"/>
      <c r="J44" s="13"/>
      <c r="K44" s="13"/>
      <c r="L44" s="13"/>
      <c r="M44" s="13"/>
      <c r="N44" s="30">
        <f t="shared" si="4"/>
        <v>0</v>
      </c>
      <c r="O44" s="31" t="e">
        <f t="shared" si="5"/>
        <v>#DIV/0!</v>
      </c>
      <c r="Q44" s="218"/>
      <c r="R44" s="218"/>
      <c r="S44" s="218"/>
      <c r="T44" s="218"/>
      <c r="U44" s="218"/>
      <c r="V44" s="218"/>
      <c r="W44" s="218"/>
      <c r="X44" s="218"/>
    </row>
    <row r="45" spans="1:24" hidden="1">
      <c r="A45" s="44"/>
      <c r="B45" s="58"/>
      <c r="C45" s="45"/>
      <c r="D45" s="192"/>
      <c r="E45" s="219"/>
      <c r="F45" s="220"/>
      <c r="G45" s="220"/>
      <c r="H45" s="11"/>
      <c r="I45" s="12"/>
      <c r="J45" s="13"/>
      <c r="K45" s="13"/>
      <c r="L45" s="13"/>
      <c r="M45" s="13"/>
      <c r="N45" s="30"/>
      <c r="O45" s="31"/>
      <c r="Q45" s="218"/>
      <c r="R45" s="218"/>
      <c r="S45" s="218"/>
      <c r="T45" s="218"/>
      <c r="U45" s="218"/>
      <c r="V45" s="218"/>
      <c r="W45" s="218"/>
      <c r="X45" s="218"/>
    </row>
    <row r="46" spans="1:24">
      <c r="A46" s="44"/>
      <c r="B46" s="197" t="s">
        <v>691</v>
      </c>
      <c r="C46" s="198" t="s">
        <v>692</v>
      </c>
      <c r="D46" s="199" t="s">
        <v>693</v>
      </c>
      <c r="E46" s="207" t="s">
        <v>694</v>
      </c>
      <c r="F46" s="197" t="s">
        <v>8</v>
      </c>
      <c r="G46" s="208">
        <v>21</v>
      </c>
      <c r="H46" s="11"/>
      <c r="I46" s="12"/>
      <c r="J46" s="209">
        <v>1</v>
      </c>
      <c r="K46" s="241">
        <v>19.5</v>
      </c>
      <c r="L46" s="209"/>
      <c r="M46" s="209">
        <v>0.5</v>
      </c>
      <c r="N46" s="176">
        <v>21</v>
      </c>
      <c r="O46" s="175">
        <f t="shared" si="5"/>
        <v>0.9285714285714286</v>
      </c>
      <c r="Q46" s="218"/>
      <c r="R46" s="218"/>
      <c r="S46" s="218"/>
      <c r="T46" s="218"/>
      <c r="U46" s="218"/>
      <c r="V46" s="218"/>
      <c r="W46" s="218"/>
      <c r="X46" s="218"/>
    </row>
    <row r="47" spans="1:24">
      <c r="A47" s="44"/>
      <c r="B47" s="200" t="s">
        <v>695</v>
      </c>
      <c r="C47" s="201" t="s">
        <v>696</v>
      </c>
      <c r="D47" s="202" t="s">
        <v>649</v>
      </c>
      <c r="E47" s="210" t="s">
        <v>697</v>
      </c>
      <c r="F47" s="211" t="s">
        <v>10</v>
      </c>
      <c r="G47" s="211">
        <v>21</v>
      </c>
      <c r="H47" s="212"/>
      <c r="I47" s="213"/>
      <c r="J47" s="209">
        <v>2</v>
      </c>
      <c r="K47" s="176">
        <v>18</v>
      </c>
      <c r="L47" s="209">
        <v>1</v>
      </c>
      <c r="M47" s="209"/>
      <c r="N47" s="176">
        <v>21</v>
      </c>
      <c r="O47" s="175">
        <f t="shared" si="5"/>
        <v>0.8571428571428571</v>
      </c>
      <c r="Q47" s="218"/>
      <c r="R47" s="218"/>
      <c r="S47" s="218"/>
      <c r="T47" s="218"/>
      <c r="U47" s="218"/>
      <c r="V47" s="218"/>
      <c r="W47" s="218"/>
      <c r="X47" s="218"/>
    </row>
    <row r="48" spans="1:24">
      <c r="A48" s="44"/>
      <c r="B48" s="58"/>
      <c r="C48" s="45"/>
      <c r="D48" s="196" t="s">
        <v>698</v>
      </c>
      <c r="E48" s="193" t="s">
        <v>699</v>
      </c>
      <c r="F48" s="194" t="s">
        <v>607</v>
      </c>
      <c r="G48" s="211">
        <v>21</v>
      </c>
      <c r="H48" s="214"/>
      <c r="I48" s="215"/>
      <c r="J48" s="209">
        <v>7</v>
      </c>
      <c r="K48" s="241">
        <v>13.5</v>
      </c>
      <c r="L48" s="58"/>
      <c r="M48" s="209">
        <v>0.5</v>
      </c>
      <c r="N48" s="176">
        <v>21</v>
      </c>
      <c r="O48" s="239">
        <f t="shared" si="5"/>
        <v>0.6428571428571429</v>
      </c>
      <c r="Q48" s="218"/>
      <c r="R48" s="218"/>
      <c r="S48" s="218"/>
      <c r="T48" s="218"/>
      <c r="U48" s="180"/>
      <c r="V48" s="180"/>
      <c r="W48" s="181"/>
      <c r="X48" s="180"/>
    </row>
    <row r="49" spans="1:24">
      <c r="A49" s="44"/>
      <c r="B49" s="58"/>
      <c r="C49" s="45"/>
      <c r="D49" s="196" t="s">
        <v>700</v>
      </c>
      <c r="E49" s="193" t="s">
        <v>701</v>
      </c>
      <c r="F49" s="194" t="s">
        <v>141</v>
      </c>
      <c r="G49" s="211">
        <v>21</v>
      </c>
      <c r="H49" s="214"/>
      <c r="I49" s="215"/>
      <c r="J49" s="221">
        <v>1</v>
      </c>
      <c r="K49" s="241">
        <v>19.5</v>
      </c>
      <c r="L49" s="58"/>
      <c r="M49" s="209">
        <v>0.5</v>
      </c>
      <c r="N49" s="176">
        <v>21</v>
      </c>
      <c r="O49" s="239">
        <f t="shared" si="5"/>
        <v>0.9285714285714286</v>
      </c>
      <c r="Q49" s="218"/>
      <c r="R49" s="218"/>
      <c r="S49" s="218"/>
      <c r="T49" s="222"/>
      <c r="U49" s="180"/>
      <c r="V49" s="180"/>
      <c r="W49" s="181"/>
      <c r="X49" s="180"/>
    </row>
    <row r="50" spans="1:24">
      <c r="A50" s="44"/>
      <c r="B50" s="58"/>
      <c r="C50" s="45"/>
      <c r="D50" s="196" t="s">
        <v>702</v>
      </c>
      <c r="E50" s="193" t="s">
        <v>703</v>
      </c>
      <c r="F50" s="194" t="s">
        <v>600</v>
      </c>
      <c r="G50" s="211">
        <v>21</v>
      </c>
      <c r="H50" s="214"/>
      <c r="I50" s="215"/>
      <c r="J50" s="221"/>
      <c r="K50" s="241">
        <v>0</v>
      </c>
      <c r="L50" s="58"/>
      <c r="M50" s="209">
        <v>20.5</v>
      </c>
      <c r="N50" s="176">
        <v>21</v>
      </c>
      <c r="O50" s="239">
        <f t="shared" si="5"/>
        <v>0</v>
      </c>
      <c r="P50" t="s">
        <v>704</v>
      </c>
      <c r="Q50" s="218"/>
      <c r="R50" s="218"/>
      <c r="S50" s="218"/>
      <c r="T50" s="222"/>
      <c r="U50" s="180"/>
      <c r="V50" s="180"/>
      <c r="W50" s="181"/>
      <c r="X50" s="180"/>
    </row>
    <row r="51" spans="1:24">
      <c r="A51" s="44"/>
      <c r="B51" s="58"/>
      <c r="C51" s="45"/>
      <c r="D51" s="196" t="s">
        <v>705</v>
      </c>
      <c r="E51" s="193" t="s">
        <v>706</v>
      </c>
      <c r="F51" s="194" t="s">
        <v>141</v>
      </c>
      <c r="G51" s="211">
        <v>21</v>
      </c>
      <c r="H51" s="214"/>
      <c r="I51" s="215"/>
      <c r="J51" s="177"/>
      <c r="K51" s="241">
        <v>17.5</v>
      </c>
      <c r="L51" s="217">
        <v>2</v>
      </c>
      <c r="M51" s="217">
        <v>1.5</v>
      </c>
      <c r="N51" s="176">
        <v>21</v>
      </c>
      <c r="O51" s="239">
        <f t="shared" ref="O51:O54" si="6">+K51/N51</f>
        <v>0.83333333333333337</v>
      </c>
      <c r="P51" t="s">
        <v>707</v>
      </c>
      <c r="Q51" s="182"/>
      <c r="R51" s="218"/>
      <c r="S51" s="218"/>
      <c r="T51" s="218"/>
      <c r="U51" s="180"/>
      <c r="V51" s="180"/>
      <c r="W51" s="182"/>
      <c r="X51" s="180"/>
    </row>
    <row r="52" spans="1:24">
      <c r="A52" s="44"/>
      <c r="B52" s="58"/>
      <c r="C52" s="45"/>
      <c r="D52" s="195" t="s">
        <v>708</v>
      </c>
      <c r="E52" s="193" t="s">
        <v>709</v>
      </c>
      <c r="F52" s="194" t="s">
        <v>607</v>
      </c>
      <c r="G52" s="211">
        <v>21</v>
      </c>
      <c r="H52" s="214"/>
      <c r="I52" s="215"/>
      <c r="J52" s="217">
        <v>3</v>
      </c>
      <c r="K52" s="241">
        <v>18</v>
      </c>
      <c r="L52" s="22"/>
      <c r="M52" s="217"/>
      <c r="N52" s="176">
        <v>21</v>
      </c>
      <c r="O52" s="239">
        <f t="shared" si="6"/>
        <v>0.8571428571428571</v>
      </c>
      <c r="Q52" s="218"/>
      <c r="R52" s="218"/>
      <c r="S52" s="218"/>
      <c r="T52" s="218"/>
      <c r="U52" s="180"/>
      <c r="V52" s="180"/>
      <c r="W52" s="182"/>
      <c r="X52" s="180"/>
    </row>
    <row r="53" spans="1:24">
      <c r="A53" s="44"/>
      <c r="B53" s="58"/>
      <c r="C53" s="45"/>
      <c r="D53" s="195" t="s">
        <v>675</v>
      </c>
      <c r="E53" s="193" t="s">
        <v>710</v>
      </c>
      <c r="F53" s="194" t="s">
        <v>200</v>
      </c>
      <c r="G53" s="211">
        <v>21</v>
      </c>
      <c r="H53" s="214"/>
      <c r="I53" s="221">
        <v>5</v>
      </c>
      <c r="J53" s="217">
        <v>1</v>
      </c>
      <c r="K53" s="241">
        <v>15</v>
      </c>
      <c r="L53" s="22"/>
      <c r="N53" s="176">
        <v>21</v>
      </c>
      <c r="O53" s="239">
        <f t="shared" si="6"/>
        <v>0.7142857142857143</v>
      </c>
      <c r="P53" t="s">
        <v>711</v>
      </c>
      <c r="Q53" s="218"/>
      <c r="R53" s="218"/>
      <c r="S53" s="218"/>
      <c r="T53" s="218"/>
      <c r="U53" s="180"/>
      <c r="V53" s="180"/>
      <c r="W53" s="182"/>
      <c r="X53" s="180"/>
    </row>
    <row r="54" spans="1:24">
      <c r="A54" s="44"/>
      <c r="B54" s="58"/>
      <c r="C54" s="45"/>
      <c r="D54" s="196" t="s">
        <v>712</v>
      </c>
      <c r="E54" s="193" t="s">
        <v>713</v>
      </c>
      <c r="F54" s="194" t="s">
        <v>141</v>
      </c>
      <c r="G54" s="211">
        <v>21</v>
      </c>
      <c r="H54" s="214"/>
      <c r="I54" s="215"/>
      <c r="J54" s="221">
        <v>1</v>
      </c>
      <c r="K54" s="241">
        <v>20</v>
      </c>
      <c r="L54" s="22"/>
      <c r="M54" s="225"/>
      <c r="N54" s="176">
        <v>21</v>
      </c>
      <c r="O54" s="239">
        <f t="shared" si="6"/>
        <v>0.95238095238095233</v>
      </c>
      <c r="Q54" s="218"/>
      <c r="R54" s="218"/>
      <c r="S54" s="218"/>
      <c r="T54" s="218"/>
      <c r="U54" s="180"/>
      <c r="V54" s="180"/>
      <c r="W54" s="182"/>
      <c r="X54" s="180"/>
    </row>
    <row r="55" spans="1:24">
      <c r="A55" s="228"/>
      <c r="B55" s="47"/>
      <c r="C55" s="229"/>
      <c r="D55" s="230"/>
      <c r="E55" s="231"/>
      <c r="F55" s="232"/>
      <c r="G55" s="233"/>
      <c r="H55" s="234"/>
      <c r="I55" s="235"/>
      <c r="J55" s="236"/>
      <c r="K55" s="237"/>
      <c r="L55" s="222"/>
      <c r="M55" s="238"/>
      <c r="N55" s="224"/>
      <c r="O55" s="223">
        <f>SUM(O48:O54)</f>
        <v>4.9285714285714288</v>
      </c>
      <c r="Q55" s="218"/>
      <c r="R55" s="218"/>
      <c r="S55" s="218"/>
      <c r="T55" s="218"/>
      <c r="U55" s="180"/>
      <c r="V55" s="180"/>
      <c r="W55" s="182"/>
      <c r="X55" s="180"/>
    </row>
    <row r="56" spans="1:24">
      <c r="A56" s="228"/>
      <c r="B56" s="47"/>
      <c r="C56" s="229"/>
      <c r="D56" s="230"/>
      <c r="E56" s="231"/>
      <c r="F56" s="232"/>
      <c r="G56" s="233"/>
      <c r="H56" s="234"/>
      <c r="I56" s="235"/>
      <c r="J56" s="236"/>
      <c r="K56" s="237"/>
      <c r="L56" s="222"/>
      <c r="M56" s="238"/>
      <c r="N56" s="224"/>
      <c r="O56" s="238"/>
      <c r="Q56" s="218"/>
      <c r="R56" s="218"/>
      <c r="S56" s="218"/>
      <c r="T56" s="218"/>
      <c r="U56" s="180"/>
      <c r="V56" s="180"/>
      <c r="W56" s="182"/>
      <c r="X56" s="180"/>
    </row>
    <row r="57" spans="1:24">
      <c r="B57" s="227" t="s">
        <v>714</v>
      </c>
      <c r="E57" s="216"/>
      <c r="N57" s="224"/>
    </row>
    <row r="58" spans="1:24">
      <c r="B58" s="227" t="s">
        <v>715</v>
      </c>
      <c r="E58" s="216"/>
      <c r="N58" s="224"/>
    </row>
    <row r="59" spans="1:24">
      <c r="B59" s="227" t="s">
        <v>716</v>
      </c>
      <c r="D59" s="226"/>
      <c r="E59" s="216"/>
    </row>
    <row r="60" spans="1:24">
      <c r="B60" s="240" t="s">
        <v>717</v>
      </c>
      <c r="G60" s="178" t="s">
        <v>718</v>
      </c>
      <c r="H60" s="178" t="s">
        <v>23</v>
      </c>
      <c r="I60" s="178" t="s">
        <v>719</v>
      </c>
      <c r="K60" s="224"/>
      <c r="N60" s="224"/>
    </row>
    <row r="61" spans="1:24">
      <c r="G61" s="177">
        <v>81</v>
      </c>
      <c r="H61" s="223">
        <f>O55</f>
        <v>4.9285714285714288</v>
      </c>
      <c r="I61" s="177">
        <f>G61/H61</f>
        <v>16.434782608695652</v>
      </c>
    </row>
  </sheetData>
  <phoneticPr fontId="30" type="noConversion"/>
  <dataValidations disablePrompts="1" count="2">
    <dataValidation type="list" allowBlank="1" showInputMessage="1" showErrorMessage="1" sqref="H4:H14 H16:H56" xr:uid="{4B13DD4D-6258-42FD-A152-E6BFA6BD40A3}">
      <formula1>$R$2:$R$5</formula1>
    </dataValidation>
    <dataValidation type="list" allowBlank="1" showInputMessage="1" showErrorMessage="1" sqref="H2:H3 H15" xr:uid="{93A7DBDF-A939-400E-8FB8-F3824A51DE78}">
      <formula1>#REF!</formula1>
    </dataValidation>
  </dataValidation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0400E-4737-4DC3-93AE-E8389C4E1086}">
  <dimension ref="A1"/>
  <sheetViews>
    <sheetView workbookViewId="0"/>
  </sheetViews>
  <sheetFormatPr defaultColWidth="11.42578125" defaultRowHeight="14.4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B68CC-E343-4E40-97AD-AE1F9BC9AFED}">
  <dimension ref="A1:N55"/>
  <sheetViews>
    <sheetView zoomScale="70" zoomScaleNormal="70" workbookViewId="0">
      <selection activeCell="C13" sqref="C13"/>
    </sheetView>
  </sheetViews>
  <sheetFormatPr defaultColWidth="11.42578125" defaultRowHeight="14.45"/>
  <cols>
    <col min="1" max="1" width="9.140625" bestFit="1" customWidth="1"/>
    <col min="2" max="2" width="7.85546875" bestFit="1" customWidth="1"/>
    <col min="3" max="3" width="47.42578125" bestFit="1" customWidth="1"/>
    <col min="4" max="4" width="9.85546875" bestFit="1" customWidth="1"/>
    <col min="5" max="5" width="40.42578125" bestFit="1" customWidth="1"/>
    <col min="6" max="6" width="12.5703125" bestFit="1" customWidth="1"/>
    <col min="7" max="7" width="18.42578125" bestFit="1" customWidth="1"/>
    <col min="8" max="8" width="11.5703125" bestFit="1" customWidth="1"/>
    <col min="9" max="9" width="17.5703125" bestFit="1" customWidth="1"/>
    <col min="10" max="10" width="12.140625" bestFit="1" customWidth="1"/>
    <col min="11" max="11" width="15.140625" bestFit="1" customWidth="1"/>
    <col min="12" max="12" width="11.85546875" bestFit="1" customWidth="1"/>
    <col min="13" max="13" width="9.5703125" bestFit="1" customWidth="1"/>
    <col min="14" max="14" width="3.42578125" bestFit="1" customWidth="1"/>
  </cols>
  <sheetData>
    <row r="1" spans="1:14" s="6" customFormat="1" ht="36.950000000000003">
      <c r="A1" s="154" t="s">
        <v>12</v>
      </c>
      <c r="B1" s="2" t="s">
        <v>13</v>
      </c>
      <c r="C1" s="3" t="s">
        <v>14</v>
      </c>
      <c r="D1" s="2" t="s">
        <v>15</v>
      </c>
      <c r="E1" s="2" t="s">
        <v>16</v>
      </c>
      <c r="F1" s="2" t="s">
        <v>0</v>
      </c>
      <c r="G1" s="4" t="s">
        <v>17</v>
      </c>
      <c r="H1" s="4" t="s">
        <v>18</v>
      </c>
      <c r="I1" s="4" t="s">
        <v>19</v>
      </c>
      <c r="J1" s="4" t="s">
        <v>20</v>
      </c>
      <c r="K1" s="4" t="s">
        <v>21</v>
      </c>
      <c r="L1" s="5" t="s">
        <v>22</v>
      </c>
      <c r="M1" s="5" t="s">
        <v>23</v>
      </c>
    </row>
    <row r="2" spans="1:14" s="121" customFormat="1" ht="18.600000000000001">
      <c r="A2" s="97"/>
      <c r="B2" s="98" t="s">
        <v>244</v>
      </c>
      <c r="C2" s="99" t="s">
        <v>146</v>
      </c>
      <c r="D2" s="100" t="s">
        <v>410</v>
      </c>
      <c r="E2" s="98" t="s">
        <v>411</v>
      </c>
      <c r="F2" s="98" t="s">
        <v>8</v>
      </c>
      <c r="G2" s="101"/>
      <c r="H2" s="102"/>
      <c r="I2" s="103"/>
      <c r="J2" s="103"/>
      <c r="K2" s="103"/>
      <c r="L2" s="103"/>
      <c r="M2" s="104"/>
      <c r="N2" s="6"/>
    </row>
    <row r="3" spans="1:14" s="121" customFormat="1" ht="18.600000000000001">
      <c r="A3" s="97"/>
      <c r="B3" s="106" t="s">
        <v>418</v>
      </c>
      <c r="C3" s="107" t="s">
        <v>166</v>
      </c>
      <c r="D3" s="108" t="s">
        <v>419</v>
      </c>
      <c r="E3" s="106" t="s">
        <v>420</v>
      </c>
      <c r="F3" s="106" t="s">
        <v>10</v>
      </c>
      <c r="G3" s="101"/>
      <c r="H3" s="102"/>
      <c r="I3" s="103"/>
      <c r="J3" s="103"/>
      <c r="K3" s="103"/>
      <c r="L3" s="30"/>
      <c r="M3" s="31"/>
      <c r="N3" s="6"/>
    </row>
    <row r="4" spans="1:14" s="121" customFormat="1" ht="18.600000000000001">
      <c r="A4" s="97"/>
      <c r="B4" s="109"/>
      <c r="C4" s="110"/>
      <c r="D4" s="111"/>
      <c r="E4" s="109"/>
      <c r="F4" s="109"/>
      <c r="G4" s="101"/>
      <c r="H4" s="102"/>
      <c r="I4" s="103"/>
      <c r="J4" s="102"/>
      <c r="K4" s="102"/>
      <c r="L4" s="30">
        <f t="shared" ref="L4:L36" si="0">SUM(H4:K4)</f>
        <v>0</v>
      </c>
      <c r="M4" s="31" t="e">
        <f t="shared" ref="M4:M36" si="1">+J4/L4</f>
        <v>#DIV/0!</v>
      </c>
      <c r="N4" s="6"/>
    </row>
    <row r="5" spans="1:14" s="121" customFormat="1" ht="18.600000000000001">
      <c r="A5" s="97"/>
      <c r="B5" s="109"/>
      <c r="C5" s="110"/>
      <c r="D5" s="111"/>
      <c r="E5" s="109"/>
      <c r="F5" s="109"/>
      <c r="G5" s="101"/>
      <c r="H5" s="102"/>
      <c r="I5" s="103"/>
      <c r="J5" s="102"/>
      <c r="K5" s="102"/>
      <c r="L5" s="30">
        <f t="shared" si="0"/>
        <v>0</v>
      </c>
      <c r="M5" s="31" t="e">
        <f t="shared" si="1"/>
        <v>#DIV/0!</v>
      </c>
      <c r="N5" s="6"/>
    </row>
    <row r="6" spans="1:14" s="121" customFormat="1" ht="15" customHeight="1">
      <c r="A6" s="97"/>
      <c r="B6" s="109"/>
      <c r="C6" s="110"/>
      <c r="D6" s="144"/>
      <c r="E6" s="109"/>
      <c r="F6" s="109"/>
      <c r="G6" s="101"/>
      <c r="H6" s="102"/>
      <c r="I6" s="103"/>
      <c r="J6" s="102"/>
      <c r="K6" s="102"/>
      <c r="L6" s="30">
        <f t="shared" si="0"/>
        <v>0</v>
      </c>
      <c r="M6" s="31" t="e">
        <f t="shared" si="1"/>
        <v>#DIV/0!</v>
      </c>
      <c r="N6" s="6"/>
    </row>
    <row r="7" spans="1:14" s="121" customFormat="1" ht="18.600000000000001">
      <c r="A7" s="97"/>
      <c r="B7" s="109"/>
      <c r="C7" s="110"/>
      <c r="D7" s="111"/>
      <c r="E7" s="109"/>
      <c r="F7" s="109"/>
      <c r="G7" s="101"/>
      <c r="H7" s="102"/>
      <c r="I7" s="103"/>
      <c r="J7" s="102"/>
      <c r="K7" s="102"/>
      <c r="L7" s="30">
        <f t="shared" si="0"/>
        <v>0</v>
      </c>
      <c r="M7" s="31" t="e">
        <f t="shared" si="1"/>
        <v>#DIV/0!</v>
      </c>
      <c r="N7" s="6"/>
    </row>
    <row r="8" spans="1:14" s="121" customFormat="1" ht="18.600000000000001">
      <c r="A8" s="97"/>
      <c r="B8" s="109"/>
      <c r="C8" s="110"/>
      <c r="D8" s="111"/>
      <c r="E8" s="109"/>
      <c r="F8" s="109"/>
      <c r="G8" s="101"/>
      <c r="H8" s="102"/>
      <c r="I8" s="103"/>
      <c r="J8" s="102"/>
      <c r="K8" s="102"/>
      <c r="L8" s="30">
        <f t="shared" si="0"/>
        <v>0</v>
      </c>
      <c r="M8" s="31" t="e">
        <f t="shared" si="1"/>
        <v>#DIV/0!</v>
      </c>
      <c r="N8" s="6"/>
    </row>
    <row r="9" spans="1:14" s="121" customFormat="1" ht="18.600000000000001">
      <c r="A9" s="97"/>
      <c r="B9" s="109"/>
      <c r="C9" s="110"/>
      <c r="D9" s="111"/>
      <c r="E9" s="109"/>
      <c r="F9" s="109"/>
      <c r="G9" s="101"/>
      <c r="H9" s="102"/>
      <c r="I9" s="103"/>
      <c r="J9" s="102"/>
      <c r="K9" s="102"/>
      <c r="L9" s="30">
        <f t="shared" si="0"/>
        <v>0</v>
      </c>
      <c r="M9" s="31" t="e">
        <f t="shared" si="1"/>
        <v>#DIV/0!</v>
      </c>
      <c r="N9" s="6"/>
    </row>
    <row r="10" spans="1:14" s="121" customFormat="1" ht="15" customHeight="1">
      <c r="A10" s="97"/>
      <c r="B10" s="109"/>
      <c r="C10" s="110"/>
      <c r="D10" s="111"/>
      <c r="E10" s="109"/>
      <c r="F10" s="109"/>
      <c r="G10" s="101"/>
      <c r="H10" s="102"/>
      <c r="I10" s="103"/>
      <c r="J10" s="102"/>
      <c r="K10" s="102"/>
      <c r="L10" s="30">
        <f t="shared" si="0"/>
        <v>0</v>
      </c>
      <c r="M10" s="31" t="e">
        <f t="shared" si="1"/>
        <v>#DIV/0!</v>
      </c>
      <c r="N10" s="6"/>
    </row>
    <row r="11" spans="1:14" s="121" customFormat="1" ht="15" customHeight="1">
      <c r="A11" s="97"/>
      <c r="B11" s="109"/>
      <c r="C11" s="110"/>
      <c r="D11" s="111"/>
      <c r="E11" s="109"/>
      <c r="F11" s="109"/>
      <c r="G11" s="101"/>
      <c r="H11" s="102"/>
      <c r="I11" s="103"/>
      <c r="J11" s="102"/>
      <c r="K11" s="102"/>
      <c r="L11" s="30">
        <f t="shared" si="0"/>
        <v>0</v>
      </c>
      <c r="M11" s="31" t="e">
        <f t="shared" si="1"/>
        <v>#DIV/0!</v>
      </c>
      <c r="N11" s="6"/>
    </row>
    <row r="12" spans="1:14" s="121" customFormat="1" ht="18.600000000000001">
      <c r="A12" s="97"/>
      <c r="B12" s="109"/>
      <c r="C12" s="110"/>
      <c r="D12" s="111"/>
      <c r="E12" s="125"/>
      <c r="F12" s="109"/>
      <c r="G12" s="101"/>
      <c r="H12" s="102"/>
      <c r="I12" s="103"/>
      <c r="J12" s="102"/>
      <c r="K12" s="102"/>
      <c r="L12" s="30">
        <f t="shared" si="0"/>
        <v>0</v>
      </c>
      <c r="M12" s="31" t="e">
        <f t="shared" si="1"/>
        <v>#DIV/0!</v>
      </c>
      <c r="N12" s="6"/>
    </row>
    <row r="13" spans="1:14" s="121" customFormat="1" ht="18.600000000000001">
      <c r="A13" s="97"/>
      <c r="B13" s="109"/>
      <c r="C13" s="110"/>
      <c r="D13" s="111"/>
      <c r="E13" s="125"/>
      <c r="F13" s="109"/>
      <c r="G13" s="101"/>
      <c r="H13" s="102"/>
      <c r="I13" s="103"/>
      <c r="J13" s="102"/>
      <c r="K13" s="102"/>
      <c r="L13" s="30">
        <f t="shared" si="0"/>
        <v>0</v>
      </c>
      <c r="M13" s="31" t="e">
        <f t="shared" si="1"/>
        <v>#DIV/0!</v>
      </c>
      <c r="N13" s="6"/>
    </row>
    <row r="14" spans="1:14" s="121" customFormat="1" ht="18.600000000000001">
      <c r="A14" s="97"/>
      <c r="B14" s="109"/>
      <c r="C14" s="110"/>
      <c r="D14" s="111"/>
      <c r="E14" s="125"/>
      <c r="F14" s="109"/>
      <c r="G14" s="101"/>
      <c r="H14" s="102"/>
      <c r="I14" s="103"/>
      <c r="J14" s="102"/>
      <c r="K14" s="102"/>
      <c r="L14" s="30">
        <f t="shared" si="0"/>
        <v>0</v>
      </c>
      <c r="M14" s="31" t="e">
        <f t="shared" si="1"/>
        <v>#DIV/0!</v>
      </c>
      <c r="N14" s="6"/>
    </row>
    <row r="15" spans="1:14" s="121" customFormat="1" ht="15" customHeight="1">
      <c r="A15" s="97"/>
      <c r="B15" s="109"/>
      <c r="C15" s="110"/>
      <c r="D15" s="111"/>
      <c r="E15" s="125"/>
      <c r="F15" s="109"/>
      <c r="G15" s="101"/>
      <c r="H15" s="102"/>
      <c r="I15" s="103"/>
      <c r="J15" s="102"/>
      <c r="K15" s="102"/>
      <c r="L15" s="30">
        <f t="shared" si="0"/>
        <v>0</v>
      </c>
      <c r="M15" s="31" t="e">
        <f t="shared" si="1"/>
        <v>#DIV/0!</v>
      </c>
      <c r="N15" s="6"/>
    </row>
    <row r="16" spans="1:14" s="121" customFormat="1" ht="18.600000000000001">
      <c r="A16" s="97"/>
      <c r="B16" s="106" t="s">
        <v>445</v>
      </c>
      <c r="C16" s="107" t="s">
        <v>446</v>
      </c>
      <c r="D16" s="108" t="s">
        <v>447</v>
      </c>
      <c r="E16" s="106" t="s">
        <v>448</v>
      </c>
      <c r="F16" s="106" t="s">
        <v>10</v>
      </c>
      <c r="G16" s="101"/>
      <c r="H16" s="102"/>
      <c r="I16" s="103"/>
      <c r="J16" s="153"/>
      <c r="K16" s="153"/>
      <c r="L16" s="30"/>
      <c r="M16" s="31"/>
      <c r="N16" s="6"/>
    </row>
    <row r="17" spans="1:14" s="121" customFormat="1" ht="18.600000000000001">
      <c r="A17" s="97"/>
      <c r="B17" s="109"/>
      <c r="C17" s="110"/>
      <c r="D17" s="111"/>
      <c r="E17" s="109"/>
      <c r="F17" s="109"/>
      <c r="G17" s="101"/>
      <c r="H17" s="102"/>
      <c r="I17" s="103"/>
      <c r="J17" s="153"/>
      <c r="K17" s="153"/>
      <c r="L17" s="30">
        <f t="shared" si="0"/>
        <v>0</v>
      </c>
      <c r="M17" s="31" t="e">
        <f t="shared" si="1"/>
        <v>#DIV/0!</v>
      </c>
      <c r="N17" s="6"/>
    </row>
    <row r="18" spans="1:14" s="121" customFormat="1" ht="18.600000000000001">
      <c r="A18" s="97"/>
      <c r="B18" s="109"/>
      <c r="C18" s="110"/>
      <c r="D18" s="111"/>
      <c r="E18" s="109"/>
      <c r="F18" s="109"/>
      <c r="G18" s="101"/>
      <c r="H18" s="102"/>
      <c r="I18" s="103"/>
      <c r="J18" s="153"/>
      <c r="K18" s="153"/>
      <c r="L18" s="30">
        <f t="shared" si="0"/>
        <v>0</v>
      </c>
      <c r="M18" s="31" t="e">
        <f t="shared" si="1"/>
        <v>#DIV/0!</v>
      </c>
      <c r="N18" s="6"/>
    </row>
    <row r="19" spans="1:14" s="121" customFormat="1" ht="18.600000000000001">
      <c r="A19" s="97"/>
      <c r="B19" s="109"/>
      <c r="C19" s="110"/>
      <c r="D19" s="111"/>
      <c r="E19" s="109"/>
      <c r="F19" s="109"/>
      <c r="G19" s="101"/>
      <c r="H19" s="102"/>
      <c r="I19" s="103"/>
      <c r="J19" s="153"/>
      <c r="K19" s="153"/>
      <c r="L19" s="30">
        <f t="shared" si="0"/>
        <v>0</v>
      </c>
      <c r="M19" s="31" t="e">
        <f t="shared" si="1"/>
        <v>#DIV/0!</v>
      </c>
      <c r="N19" s="6"/>
    </row>
    <row r="20" spans="1:14" s="121" customFormat="1" ht="18.600000000000001">
      <c r="A20" s="97"/>
      <c r="B20" s="109"/>
      <c r="C20" s="110"/>
      <c r="D20" s="111"/>
      <c r="E20" s="109"/>
      <c r="F20" s="109"/>
      <c r="G20" s="101"/>
      <c r="H20" s="102"/>
      <c r="I20" s="103"/>
      <c r="J20" s="153"/>
      <c r="K20" s="153"/>
      <c r="L20" s="30">
        <f t="shared" si="0"/>
        <v>0</v>
      </c>
      <c r="M20" s="31" t="e">
        <f t="shared" si="1"/>
        <v>#DIV/0!</v>
      </c>
      <c r="N20" s="6"/>
    </row>
    <row r="21" spans="1:14" s="121" customFormat="1" ht="18.600000000000001">
      <c r="A21" s="97"/>
      <c r="B21" s="109"/>
      <c r="C21" s="110"/>
      <c r="D21" s="111"/>
      <c r="E21" s="109"/>
      <c r="F21" s="109"/>
      <c r="G21" s="101"/>
      <c r="H21" s="102"/>
      <c r="I21" s="103"/>
      <c r="J21" s="102"/>
      <c r="K21" s="102"/>
      <c r="L21" s="30">
        <f t="shared" si="0"/>
        <v>0</v>
      </c>
      <c r="M21" s="31" t="e">
        <f t="shared" si="1"/>
        <v>#DIV/0!</v>
      </c>
      <c r="N21" s="6"/>
    </row>
    <row r="22" spans="1:14" s="121" customFormat="1" ht="18.600000000000001">
      <c r="A22" s="97"/>
      <c r="B22" s="109"/>
      <c r="C22" s="110"/>
      <c r="D22" s="111"/>
      <c r="E22" s="109"/>
      <c r="F22" s="109"/>
      <c r="G22" s="101"/>
      <c r="H22" s="102"/>
      <c r="I22" s="103"/>
      <c r="J22" s="153"/>
      <c r="K22" s="153"/>
      <c r="L22" s="30">
        <f t="shared" si="0"/>
        <v>0</v>
      </c>
      <c r="M22" s="31" t="e">
        <f t="shared" si="1"/>
        <v>#DIV/0!</v>
      </c>
      <c r="N22" s="6"/>
    </row>
    <row r="23" spans="1:14" s="121" customFormat="1" ht="18.600000000000001">
      <c r="A23" s="97"/>
      <c r="B23" s="109"/>
      <c r="C23" s="110"/>
      <c r="D23" s="111"/>
      <c r="E23" s="109"/>
      <c r="F23" s="109"/>
      <c r="G23" s="101"/>
      <c r="H23" s="102"/>
      <c r="I23" s="103"/>
      <c r="J23" s="102"/>
      <c r="K23" s="102"/>
      <c r="L23" s="30">
        <f t="shared" si="0"/>
        <v>0</v>
      </c>
      <c r="M23" s="31" t="e">
        <f t="shared" si="1"/>
        <v>#DIV/0!</v>
      </c>
      <c r="N23" s="6"/>
    </row>
    <row r="24" spans="1:14" s="121" customFormat="1" ht="18.600000000000001">
      <c r="A24" s="97"/>
      <c r="B24" s="109"/>
      <c r="C24" s="110"/>
      <c r="D24" s="111"/>
      <c r="E24" s="109"/>
      <c r="F24" s="109"/>
      <c r="G24" s="101"/>
      <c r="H24" s="102"/>
      <c r="I24" s="103"/>
      <c r="J24" s="102"/>
      <c r="K24" s="102"/>
      <c r="L24" s="30">
        <f t="shared" si="0"/>
        <v>0</v>
      </c>
      <c r="M24" s="31" t="e">
        <f t="shared" si="1"/>
        <v>#DIV/0!</v>
      </c>
      <c r="N24" s="6"/>
    </row>
    <row r="25" spans="1:14" s="121" customFormat="1" ht="18.600000000000001">
      <c r="A25" s="97"/>
      <c r="B25" s="109"/>
      <c r="C25" s="110"/>
      <c r="D25" s="111"/>
      <c r="E25" s="125"/>
      <c r="F25" s="109"/>
      <c r="G25" s="101"/>
      <c r="H25" s="102"/>
      <c r="I25" s="103"/>
      <c r="J25" s="102"/>
      <c r="K25" s="102"/>
      <c r="L25" s="30">
        <f t="shared" si="0"/>
        <v>0</v>
      </c>
      <c r="M25" s="31" t="e">
        <f t="shared" si="1"/>
        <v>#DIV/0!</v>
      </c>
      <c r="N25" s="6"/>
    </row>
    <row r="26" spans="1:14" s="121" customFormat="1" ht="18.600000000000001">
      <c r="A26" s="97"/>
      <c r="B26" s="106" t="s">
        <v>467</v>
      </c>
      <c r="C26" s="107" t="s">
        <v>468</v>
      </c>
      <c r="D26" s="108" t="s">
        <v>469</v>
      </c>
      <c r="E26" s="106" t="s">
        <v>470</v>
      </c>
      <c r="F26" s="106" t="s">
        <v>10</v>
      </c>
      <c r="G26" s="101"/>
      <c r="H26" s="102"/>
      <c r="I26" s="103"/>
      <c r="J26" s="103"/>
      <c r="K26" s="103"/>
      <c r="L26" s="30"/>
      <c r="M26" s="31"/>
      <c r="N26" s="6"/>
    </row>
    <row r="27" spans="1:14" s="121" customFormat="1" ht="18.600000000000001">
      <c r="A27" s="97"/>
      <c r="B27" s="109"/>
      <c r="C27" s="110"/>
      <c r="D27" s="111"/>
      <c r="E27" s="109"/>
      <c r="F27" s="109"/>
      <c r="G27" s="101"/>
      <c r="H27" s="102"/>
      <c r="I27" s="103"/>
      <c r="J27" s="103"/>
      <c r="K27" s="103"/>
      <c r="L27" s="30">
        <f t="shared" si="0"/>
        <v>0</v>
      </c>
      <c r="M27" s="31" t="e">
        <f t="shared" si="1"/>
        <v>#DIV/0!</v>
      </c>
      <c r="N27" s="6"/>
    </row>
    <row r="28" spans="1:14" s="121" customFormat="1" ht="18.600000000000001">
      <c r="A28" s="97"/>
      <c r="B28" s="109"/>
      <c r="C28" s="110"/>
      <c r="D28" s="111"/>
      <c r="E28" s="109"/>
      <c r="F28" s="109"/>
      <c r="G28" s="101"/>
      <c r="H28" s="102"/>
      <c r="I28" s="103"/>
      <c r="J28" s="103"/>
      <c r="K28" s="103"/>
      <c r="L28" s="30">
        <f t="shared" si="0"/>
        <v>0</v>
      </c>
      <c r="M28" s="31" t="e">
        <f t="shared" si="1"/>
        <v>#DIV/0!</v>
      </c>
      <c r="N28" s="6"/>
    </row>
    <row r="29" spans="1:14" s="121" customFormat="1" ht="18.600000000000001">
      <c r="A29" s="97"/>
      <c r="B29" s="109"/>
      <c r="C29" s="110"/>
      <c r="D29" s="111"/>
      <c r="E29" s="109"/>
      <c r="F29" s="109"/>
      <c r="G29" s="101"/>
      <c r="H29" s="102"/>
      <c r="I29" s="103"/>
      <c r="J29" s="103"/>
      <c r="K29" s="103"/>
      <c r="L29" s="30">
        <f t="shared" si="0"/>
        <v>0</v>
      </c>
      <c r="M29" s="31" t="e">
        <f t="shared" si="1"/>
        <v>#DIV/0!</v>
      </c>
      <c r="N29" s="6"/>
    </row>
    <row r="30" spans="1:14" s="121" customFormat="1" ht="18.600000000000001">
      <c r="A30" s="97"/>
      <c r="B30" s="109"/>
      <c r="C30" s="110"/>
      <c r="D30" s="155"/>
      <c r="E30" s="109"/>
      <c r="F30" s="109"/>
      <c r="G30" s="101"/>
      <c r="H30" s="102"/>
      <c r="I30" s="103"/>
      <c r="J30" s="103"/>
      <c r="K30" s="103"/>
      <c r="L30" s="30">
        <f t="shared" si="0"/>
        <v>0</v>
      </c>
      <c r="M30" s="31" t="e">
        <f t="shared" si="1"/>
        <v>#DIV/0!</v>
      </c>
      <c r="N30" s="6"/>
    </row>
    <row r="31" spans="1:14" s="121" customFormat="1" ht="18.600000000000001">
      <c r="A31" s="97"/>
      <c r="B31" s="109"/>
      <c r="C31" s="110"/>
      <c r="D31" s="111"/>
      <c r="E31" s="109"/>
      <c r="F31" s="109"/>
      <c r="G31" s="101"/>
      <c r="H31" s="102"/>
      <c r="I31" s="103"/>
      <c r="J31" s="103"/>
      <c r="K31" s="103"/>
      <c r="L31" s="30">
        <f t="shared" si="0"/>
        <v>0</v>
      </c>
      <c r="M31" s="31" t="e">
        <f t="shared" si="1"/>
        <v>#DIV/0!</v>
      </c>
      <c r="N31" s="6"/>
    </row>
    <row r="32" spans="1:14" s="121" customFormat="1" ht="18.600000000000001">
      <c r="A32" s="97"/>
      <c r="B32" s="109"/>
      <c r="C32" s="110"/>
      <c r="D32" s="111"/>
      <c r="E32" s="109"/>
      <c r="F32" s="109"/>
      <c r="G32" s="101"/>
      <c r="H32" s="102"/>
      <c r="I32" s="103"/>
      <c r="J32" s="103"/>
      <c r="K32" s="103"/>
      <c r="L32" s="30">
        <f t="shared" si="0"/>
        <v>0</v>
      </c>
      <c r="M32" s="31" t="e">
        <f t="shared" si="1"/>
        <v>#DIV/0!</v>
      </c>
      <c r="N32" s="6"/>
    </row>
    <row r="33" spans="1:14" s="121" customFormat="1" ht="18.600000000000001">
      <c r="A33" s="97"/>
      <c r="B33" s="156"/>
      <c r="C33" s="110"/>
      <c r="D33" s="157"/>
      <c r="E33" s="158"/>
      <c r="F33" s="156"/>
      <c r="G33" s="101"/>
      <c r="H33" s="102"/>
      <c r="I33" s="103"/>
      <c r="J33" s="103"/>
      <c r="K33" s="103"/>
      <c r="L33" s="30">
        <f t="shared" si="0"/>
        <v>0</v>
      </c>
      <c r="M33" s="31" t="e">
        <f t="shared" si="1"/>
        <v>#DIV/0!</v>
      </c>
      <c r="N33" s="6"/>
    </row>
    <row r="34" spans="1:14" s="121" customFormat="1" ht="18.600000000000001">
      <c r="A34" s="97"/>
      <c r="B34" s="109"/>
      <c r="C34" s="110"/>
      <c r="D34" s="144"/>
      <c r="E34" s="112"/>
      <c r="F34" s="109"/>
      <c r="G34" s="101"/>
      <c r="H34" s="102"/>
      <c r="I34" s="103"/>
      <c r="J34" s="103"/>
      <c r="K34" s="103"/>
      <c r="L34" s="30">
        <f t="shared" si="0"/>
        <v>0</v>
      </c>
      <c r="M34" s="31" t="e">
        <f t="shared" si="1"/>
        <v>#DIV/0!</v>
      </c>
      <c r="N34" s="6"/>
    </row>
    <row r="35" spans="1:14" s="121" customFormat="1" ht="18.600000000000001">
      <c r="A35" s="97"/>
      <c r="B35" s="109"/>
      <c r="C35" s="110"/>
      <c r="D35" s="111"/>
      <c r="E35" s="109"/>
      <c r="F35" s="109"/>
      <c r="G35" s="101"/>
      <c r="H35" s="102"/>
      <c r="I35" s="103"/>
      <c r="J35" s="103"/>
      <c r="K35" s="103"/>
      <c r="L35" s="30">
        <f t="shared" si="0"/>
        <v>0</v>
      </c>
      <c r="M35" s="31" t="e">
        <f t="shared" si="1"/>
        <v>#DIV/0!</v>
      </c>
      <c r="N35" s="6"/>
    </row>
    <row r="36" spans="1:14" s="121" customFormat="1" ht="18.600000000000001">
      <c r="A36" s="97"/>
      <c r="B36" s="109"/>
      <c r="C36" s="110"/>
      <c r="D36" s="111"/>
      <c r="E36" s="159"/>
      <c r="F36" s="109"/>
      <c r="G36" s="101"/>
      <c r="H36" s="102"/>
      <c r="I36" s="103"/>
      <c r="J36" s="103"/>
      <c r="K36" s="103"/>
      <c r="L36" s="30">
        <f t="shared" si="0"/>
        <v>0</v>
      </c>
      <c r="M36" s="31" t="e">
        <f t="shared" si="1"/>
        <v>#DIV/0!</v>
      </c>
      <c r="N36" s="6"/>
    </row>
    <row r="37" spans="1:14" ht="18.600000000000001">
      <c r="N37" s="6"/>
    </row>
    <row r="38" spans="1:14" ht="18.600000000000001">
      <c r="N38" s="6"/>
    </row>
    <row r="39" spans="1:14" ht="18.600000000000001">
      <c r="N39" s="6"/>
    </row>
    <row r="40" spans="1:14" ht="18.600000000000001">
      <c r="N40" s="6"/>
    </row>
    <row r="41" spans="1:14" ht="18.600000000000001">
      <c r="N41" s="6"/>
    </row>
    <row r="42" spans="1:14" ht="18.600000000000001">
      <c r="N42" s="6"/>
    </row>
    <row r="43" spans="1:14" ht="18.600000000000001">
      <c r="N43" s="6"/>
    </row>
    <row r="44" spans="1:14" ht="18.600000000000001">
      <c r="N44" s="6"/>
    </row>
    <row r="45" spans="1:14" ht="18.600000000000001">
      <c r="N45" s="6"/>
    </row>
    <row r="46" spans="1:14" ht="18.600000000000001">
      <c r="N46" s="6"/>
    </row>
    <row r="47" spans="1:14" ht="18.600000000000001">
      <c r="N47" s="6"/>
    </row>
    <row r="48" spans="1:14" ht="18.600000000000001">
      <c r="N48" s="6"/>
    </row>
    <row r="49" spans="14:14" ht="18.600000000000001">
      <c r="N49" s="6"/>
    </row>
    <row r="50" spans="14:14" ht="18.600000000000001">
      <c r="N50" s="6"/>
    </row>
    <row r="51" spans="14:14" ht="18.600000000000001">
      <c r="N51" s="6"/>
    </row>
    <row r="52" spans="14:14" ht="18.600000000000001">
      <c r="N52" s="6"/>
    </row>
    <row r="53" spans="14:14" ht="18.600000000000001">
      <c r="N53" s="6"/>
    </row>
    <row r="54" spans="14:14" ht="18.600000000000001">
      <c r="N54" s="6"/>
    </row>
    <row r="55" spans="14:14" ht="18.600000000000001">
      <c r="N55" s="6"/>
    </row>
  </sheetData>
  <dataValidations count="2">
    <dataValidation type="list" allowBlank="1" showInputMessage="1" showErrorMessage="1" sqref="G2:G3 G16" xr:uid="{523F137A-D4D3-47CF-84D2-6D4B4C9BFE43}">
      <formula1>#REF!</formula1>
    </dataValidation>
    <dataValidation type="list" allowBlank="1" showInputMessage="1" showErrorMessage="1" sqref="G17:G36 G4:G15" xr:uid="{63DFA2E6-109C-42FB-84BD-B45C95401412}">
      <formula1>$P$2:$P$5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ema xmlns="c4795172-acc8-41fc-abdb-af5ed44f61af" xsi:nil="true"/>
    <Areadestino xmlns="c4795172-acc8-41fc-abdb-af5ed44f61af" xsi:nil="true"/>
    <Fecha xmlns="c4795172-acc8-41fc-abdb-af5ed44f61af" xsi:nil="true"/>
    <Ponente xmlns="c4795172-acc8-41fc-abdb-af5ed44f61af" xsi:nil="true"/>
    <Acargo xmlns="c4795172-acc8-41fc-abdb-af5ed44f61a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63A6AE8B7E4A2449C903AFD2456BD74" ma:contentTypeVersion="9" ma:contentTypeDescription="Crear nuevo documento." ma:contentTypeScope="" ma:versionID="5290519a29b5a8138c77b75f18bde323">
  <xsd:schema xmlns:xsd="http://www.w3.org/2001/XMLSchema" xmlns:xs="http://www.w3.org/2001/XMLSchema" xmlns:p="http://schemas.microsoft.com/office/2006/metadata/properties" xmlns:ns2="c4795172-acc8-41fc-abdb-af5ed44f61af" targetNamespace="http://schemas.microsoft.com/office/2006/metadata/properties" ma:root="true" ma:fieldsID="d3faadf0f6551c418eed19b25e8b9d62" ns2:_="">
    <xsd:import namespace="c4795172-acc8-41fc-abdb-af5ed44f61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Acargo" minOccurs="0"/>
                <xsd:element ref="ns2:Fecha" minOccurs="0"/>
                <xsd:element ref="ns2:Tema" minOccurs="0"/>
                <xsd:element ref="ns2:Ponente" minOccurs="0"/>
                <xsd:element ref="ns2:Areadestin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795172-acc8-41fc-abdb-af5ed44f61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Acargo" ma:index="12" nillable="true" ma:displayName="INI" ma:format="Dropdown" ma:internalName="Acargo">
      <xsd:simpleType>
        <xsd:restriction base="dms:Choice">
          <xsd:enumeration value="DCCI"/>
          <xsd:enumeration value="DCCII"/>
          <xsd:enumeration value="DCP"/>
        </xsd:restriction>
      </xsd:simpleType>
    </xsd:element>
    <xsd:element name="Fecha" ma:index="13" nillable="true" ma:displayName="Fecha " ma:format="DateOnly" ma:internalName="Fecha">
      <xsd:simpleType>
        <xsd:restriction base="dms:DateTime"/>
      </xsd:simpleType>
    </xsd:element>
    <xsd:element name="Tema" ma:index="14" nillable="true" ma:displayName="Tema" ma:format="Dropdown" ma:internalName="Tema">
      <xsd:simpleType>
        <xsd:restriction base="dms:Text">
          <xsd:maxLength value="255"/>
        </xsd:restriction>
      </xsd:simpleType>
    </xsd:element>
    <xsd:element name="Ponente" ma:index="15" nillable="true" ma:displayName="Ponente" ma:format="Dropdown" ma:internalName="Ponente">
      <xsd:simpleType>
        <xsd:restriction base="dms:Text">
          <xsd:maxLength value="255"/>
        </xsd:restriction>
      </xsd:simpleType>
    </xsd:element>
    <xsd:element name="Areadestino" ma:index="16" nillable="true" ma:displayName="Area destino" ma:format="Dropdown" ma:internalName="Areadestino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382E36E-887B-486B-8454-0B017FC6A836}"/>
</file>

<file path=customXml/itemProps2.xml><?xml version="1.0" encoding="utf-8"?>
<ds:datastoreItem xmlns:ds="http://schemas.openxmlformats.org/officeDocument/2006/customXml" ds:itemID="{B975D237-7990-475A-82CB-3AAE6E6E5C85}"/>
</file>

<file path=customXml/itemProps3.xml><?xml version="1.0" encoding="utf-8"?>
<ds:datastoreItem xmlns:ds="http://schemas.openxmlformats.org/officeDocument/2006/customXml" ds:itemID="{289D5374-8E4E-4697-A72D-DA1C13C626F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Padilla Rosales Maria Del Carmen</dc:creator>
  <cp:keywords/>
  <dc:description/>
  <cp:lastModifiedBy>Cortez Quispe Linda</cp:lastModifiedBy>
  <cp:revision/>
  <dcterms:created xsi:type="dcterms:W3CDTF">2023-01-19T19:37:24Z</dcterms:created>
  <dcterms:modified xsi:type="dcterms:W3CDTF">2025-09-03T17:34:10Z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0x010100863A6AE8B7E4A2449C903AFD2456BD74</vt:lpwstr>
  </property>
</Properties>
</file>