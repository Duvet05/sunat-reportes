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PRODUCCION GENERAL\"/>
    </mc:Choice>
  </mc:AlternateContent>
  <xr:revisionPtr revIDLastSave="5" documentId="8_{CE1A5C3D-1D6A-42E9-B242-F0623336EC53}" xr6:coauthVersionLast="47" xr6:coauthVersionMax="47" xr10:uidLastSave="{459A6CCB-2BDF-44E9-B70F-FB71570507AB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GAFA_DCCII" sheetId="11" r:id="rId2"/>
    <sheet name="Hoja1" sheetId="13" state="hidden" r:id="rId3"/>
    <sheet name="Vacaciones" sheetId="12" state="hidden" r:id="rId4"/>
  </sheets>
  <externalReferences>
    <externalReference r:id="rId5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1" l="1"/>
  <c r="K3" i="11"/>
  <c r="K4" i="11"/>
  <c r="K5" i="11"/>
  <c r="K6" i="11"/>
  <c r="K7" i="11"/>
  <c r="K8" i="11"/>
  <c r="K9" i="11"/>
  <c r="K10" i="11"/>
  <c r="K11" i="11"/>
  <c r="N11" i="11" s="1"/>
  <c r="K12" i="11"/>
  <c r="N12" i="11" s="1"/>
  <c r="K13" i="11"/>
  <c r="N13" i="11" s="1"/>
  <c r="K16" i="11"/>
  <c r="K15" i="11"/>
  <c r="N15" i="11" s="1"/>
  <c r="K14" i="11"/>
  <c r="N14" i="11" s="1"/>
  <c r="I8" i="12"/>
  <c r="H8" i="12"/>
  <c r="I6" i="12"/>
  <c r="H6" i="12"/>
  <c r="I5" i="12"/>
  <c r="I4" i="12"/>
  <c r="H4" i="12"/>
  <c r="H5" i="12"/>
  <c r="N16" i="11" l="1"/>
  <c r="O16" i="11" s="1"/>
  <c r="N6" i="11" l="1"/>
  <c r="N5" i="11"/>
  <c r="N7" i="11"/>
  <c r="N8" i="11"/>
  <c r="N9" i="11"/>
  <c r="N4" i="11" l="1"/>
  <c r="O9" i="11" l="1"/>
  <c r="O17" i="11"/>
</calcChain>
</file>

<file path=xl/sharedStrings.xml><?xml version="1.0" encoding="utf-8"?>
<sst xmlns="http://schemas.openxmlformats.org/spreadsheetml/2006/main" count="114" uniqueCount="74">
  <si>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</si>
  <si>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</si>
  <si>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</si>
  <si>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</si>
  <si>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</si>
  <si>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</si>
  <si>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</si>
  <si>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</si>
  <si>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</si>
  <si>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</si>
  <si>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</si>
  <si>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</si>
  <si>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</si>
  <si>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</si>
  <si>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</si>
  <si>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</si>
  <si>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</si>
  <si>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PROGRAMACIÓN ENERO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</si>
  <si>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</si>
  <si>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</si>
  <si>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</si>
  <si>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</si>
  <si>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</si>
  <si>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</si>
  <si>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</si>
  <si>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Total Resolutors efectivos</t>
  </si>
  <si>
    <t>7U7200</t>
  </si>
  <si>
    <t>DIVISIÓN DE LA DIVISIÓN DE CONTROL CONCURRENTE II</t>
  </si>
  <si>
    <t>5877</t>
  </si>
  <si>
    <t>VERA TUDELA GALLESI, ROBERTO GABRIEL</t>
  </si>
  <si>
    <t>7U7201</t>
  </si>
  <si>
    <t>SUPERVISIÓN DE LA DIVISIÓN DE DCCII - SUP. 1</t>
  </si>
  <si>
    <t>7587</t>
  </si>
  <si>
    <t xml:space="preserve">SALCEDO DÍAZ YESSENIA </t>
  </si>
  <si>
    <t>CUYA VELARDE, JUAN CARLOS</t>
  </si>
  <si>
    <t xml:space="preserve">Especialista 3 </t>
  </si>
  <si>
    <r>
      <t xml:space="preserve">MALAGA PORTOCARRERO, CARLOS ALFREDO </t>
    </r>
    <r>
      <rPr>
        <sz val="10"/>
        <color rgb="FFC00000"/>
        <rFont val="Calibri"/>
        <family val="2"/>
      </rPr>
      <t xml:space="preserve"> </t>
    </r>
  </si>
  <si>
    <t>AO21</t>
  </si>
  <si>
    <t>RIOS GOMEZ, RENIERD</t>
  </si>
  <si>
    <t>RIVAROLA HIDALGO, ROBERTO CESAR</t>
  </si>
  <si>
    <t>Especialista 2</t>
  </si>
  <si>
    <t>VALDIVIA CHARCA, POUL CRISTIAN</t>
  </si>
  <si>
    <t>VELA NUÑEZ, RICHARD</t>
  </si>
  <si>
    <t>7U7202</t>
  </si>
  <si>
    <t>SUPERVISIÓN DE LA DIVISIÓN DE DCCII - SUP. 2</t>
  </si>
  <si>
    <t>4840</t>
  </si>
  <si>
    <t>MUNIVE BISETTI ALBERTO ANTHAR</t>
  </si>
  <si>
    <t>2423</t>
  </si>
  <si>
    <t>ACOSTA SALAZAR, CECILIA JACQUELINE</t>
  </si>
  <si>
    <t>Especialista 4</t>
  </si>
  <si>
    <t>7326</t>
  </si>
  <si>
    <t>ARESTEGUI PEREYRA, LYDIA CAROLINA</t>
  </si>
  <si>
    <t>AT75</t>
  </si>
  <si>
    <t>FLORES ALVITEZ, VICTORIA CARMEN</t>
  </si>
  <si>
    <t>7151</t>
  </si>
  <si>
    <t>PRETEL NOBLECILLA, LOURDES FABIOLA</t>
  </si>
  <si>
    <t>5749</t>
  </si>
  <si>
    <t>ULLOA ASCENCIO, WILDER ELOY</t>
  </si>
  <si>
    <t>Especialista 5</t>
  </si>
  <si>
    <t>LINAREZ AMACIFUEN, JOSE WAGNER</t>
  </si>
  <si>
    <t>Asignación de carga en función a la complejidad de los casos</t>
  </si>
  <si>
    <t>(*)</t>
  </si>
  <si>
    <t>Especialista</t>
  </si>
  <si>
    <t xml:space="preserve">Vacaciones </t>
  </si>
  <si>
    <t>Licencias</t>
  </si>
  <si>
    <t>comision de servicios</t>
  </si>
  <si>
    <t>Total</t>
  </si>
  <si>
    <t>calendario</t>
  </si>
  <si>
    <t>hábiles</t>
  </si>
  <si>
    <t>Carlos Málaga Portocarrero</t>
  </si>
  <si>
    <t>Juan Carlos Cuya Velarde</t>
  </si>
  <si>
    <t>Poul Valdivia</t>
  </si>
  <si>
    <t>Roberto Rivarola</t>
  </si>
  <si>
    <t>Renierd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</si>
</sst>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10"/>
      <color rgb="FFC00000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0" fillId="0" borderId="0" xfId="0" applyAlignment="1">
      <alignment horizontal="center"/>
    </xf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164" fontId="7" fillId="0" borderId="0" xfId="0" applyNumberFormat="1" applyFont="1"/>
    <xf numFmtId="0" fontId="0" fillId="0" borderId="2" xfId="0" applyBorder="1" applyAlignment="1">
      <alignment horizontal="center"/>
    </xf>
    <xf numFmtId="164" fontId="0" fillId="0" borderId="0" xfId="0" applyNumberFormat="1"/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164" fontId="0" fillId="0" borderId="4" xfId="0" applyNumberFormat="1" applyBorder="1"/>
    <xf numFmtId="0" fontId="3" fillId="0" borderId="11" xfId="0" applyFont="1" applyBorder="1"/>
    <xf numFmtId="0" fontId="3" fillId="0" borderId="12" xfId="0" applyFont="1" applyBorder="1"/>
    <xf numFmtId="1" fontId="7" fillId="0" borderId="4" xfId="0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0" fontId="17" fillId="0" borderId="2" xfId="0" applyFont="1" applyBorder="1"/>
    <xf numFmtId="2" fontId="16" fillId="0" borderId="12" xfId="0" applyNumberFormat="1" applyFont="1" applyBorder="1"/>
    <xf numFmtId="2" fontId="16" fillId="0" borderId="13" xfId="0" applyNumberFormat="1" applyFont="1" applyBorder="1"/>
    <xf numFmtId="2" fontId="18" fillId="0" borderId="13" xfId="0" applyNumberFormat="1" applyFont="1" applyBorder="1"/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-my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intranet/cl-ti-iapadron/gpS02Alias" TargetMode="External"/><Relationship Id="rId7" Type="http://schemas.openxmlformats.org/officeDocument/2006/relationships/hyperlink" Target="http://intranet/cl-ti-iapadron/gpS02Alias" TargetMode="External"/><Relationship Id="rId2" Type="http://schemas.openxmlformats.org/officeDocument/2006/relationships/hyperlink" Target="http://intranet/cl-ti-iapadron/gpS02Alias" TargetMode="External"/><Relationship Id="rId1" Type="http://schemas.openxmlformats.org/officeDocument/2006/relationships/hyperlink" Target="http://intranet/cl-ti-iapadron/gpS02Alias" TargetMode="External"/><Relationship Id="rId6" Type="http://schemas.openxmlformats.org/officeDocument/2006/relationships/hyperlink" Target="http://intranet/cl-ti-iapadron/gpS02Alias" TargetMode="External"/><Relationship Id="rId5" Type="http://schemas.openxmlformats.org/officeDocument/2006/relationships/hyperlink" Target="http://intranet/cl-ti-iapadron/gpS02Alias" TargetMode="External"/><Relationship Id="rId4" Type="http://schemas.openxmlformats.org/officeDocument/2006/relationships/hyperlink" Target="http://intranet/cl-ti-iapadron/gpS02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B9A5-B195-4DB6-AF90-2EE8CA964AC0}">
  <dimension ref="A1:Q20"/>
  <sheetViews>
    <sheetView tabSelected="1" topLeftCell="B1" zoomScale="85" zoomScaleNormal="85" workbookViewId="0">
      <selection activeCell="C1" sqref="C1:C1048576"/>
    </sheetView>
  </sheetViews>
  <sheetFormatPr defaultColWidth="11.42578125" defaultRowHeight="14.45"/>
  <cols>
    <col min="1" max="1" width="25.42578125" customWidth="1"/>
    <col min="2" max="2" width="9.140625" customWidth="1"/>
    <col min="3" max="3" width="38.7109375" customWidth="1"/>
    <col min="4" max="4" width="9.5703125" bestFit="1" customWidth="1"/>
    <col min="5" max="5" width="40.42578125" bestFit="1" customWidth="1"/>
    <col min="6" max="6" width="16.42578125" customWidth="1"/>
    <col min="7" max="7" width="16.5703125" customWidth="1"/>
    <col min="8" max="8" width="18.42578125" style="8" customWidth="1"/>
    <col min="9" max="9" width="11.5703125" style="8" customWidth="1"/>
    <col min="10" max="10" width="17.5703125" style="8" bestFit="1" customWidth="1"/>
    <col min="11" max="11" width="12.42578125" style="8" bestFit="1" customWidth="1"/>
    <col min="12" max="12" width="15.42578125" style="8" bestFit="1" customWidth="1"/>
    <col min="13" max="13" width="11.5703125" style="8" bestFit="1" customWidth="1"/>
    <col min="14" max="14" width="11.140625" customWidth="1"/>
    <col min="15" max="15" width="11.5703125" customWidth="1"/>
  </cols>
  <sheetData>
    <row r="1" spans="1:17" s="5" customFormat="1" ht="46.5">
      <c r="A1" s="10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  <c r="O1" s="42" t="s">
        <v>25</v>
      </c>
    </row>
    <row r="2" spans="1:17" s="9" customFormat="1" ht="18.600000000000001">
      <c r="A2" s="23"/>
      <c r="B2" s="24" t="s">
        <v>26</v>
      </c>
      <c r="C2" s="25" t="s">
        <v>27</v>
      </c>
      <c r="D2" s="26" t="s">
        <v>28</v>
      </c>
      <c r="E2" s="24" t="s">
        <v>29</v>
      </c>
      <c r="F2" s="24" t="s">
        <v>8</v>
      </c>
      <c r="G2" s="29"/>
      <c r="H2" s="22"/>
      <c r="I2" s="22"/>
      <c r="J2" s="22"/>
      <c r="K2" s="37">
        <f t="shared" ref="K2:K16" si="0">+M2-I2-J2-L2</f>
        <v>20</v>
      </c>
      <c r="L2" s="22"/>
      <c r="M2" s="27">
        <v>20</v>
      </c>
      <c r="N2" s="41"/>
      <c r="O2" s="39"/>
    </row>
    <row r="3" spans="1:17" s="9" customFormat="1" ht="18.600000000000001">
      <c r="A3" s="23"/>
      <c r="B3" s="24" t="s">
        <v>30</v>
      </c>
      <c r="C3" s="25" t="s">
        <v>31</v>
      </c>
      <c r="D3" s="26" t="s">
        <v>32</v>
      </c>
      <c r="E3" s="24" t="s">
        <v>33</v>
      </c>
      <c r="F3" s="24" t="s">
        <v>10</v>
      </c>
      <c r="G3" s="24"/>
      <c r="H3" s="22"/>
      <c r="I3" s="22"/>
      <c r="J3" s="22"/>
      <c r="K3" s="37">
        <f t="shared" si="0"/>
        <v>20</v>
      </c>
      <c r="L3" s="22"/>
      <c r="M3" s="27">
        <v>20</v>
      </c>
      <c r="N3" s="38"/>
      <c r="O3" s="40"/>
    </row>
    <row r="4" spans="1:17" s="9" customFormat="1" ht="18.600000000000001">
      <c r="A4" s="23"/>
      <c r="B4" s="24" t="s">
        <v>30</v>
      </c>
      <c r="C4" s="25" t="s">
        <v>31</v>
      </c>
      <c r="D4" s="26">
        <v>7342</v>
      </c>
      <c r="E4" s="43" t="s">
        <v>34</v>
      </c>
      <c r="F4" s="28" t="s">
        <v>35</v>
      </c>
      <c r="G4" s="29">
        <v>6</v>
      </c>
      <c r="H4" s="22"/>
      <c r="I4" s="22"/>
      <c r="J4" s="22">
        <v>6</v>
      </c>
      <c r="K4" s="37">
        <f t="shared" si="0"/>
        <v>14</v>
      </c>
      <c r="L4" s="22"/>
      <c r="M4" s="27">
        <v>20</v>
      </c>
      <c r="N4" s="38">
        <f t="shared" ref="N4:N8" si="1">+K4/M4</f>
        <v>0.7</v>
      </c>
      <c r="O4" s="40"/>
    </row>
    <row r="5" spans="1:17" s="9" customFormat="1" ht="18.600000000000001">
      <c r="A5" s="23"/>
      <c r="B5" s="24" t="s">
        <v>30</v>
      </c>
      <c r="C5" s="25" t="s">
        <v>31</v>
      </c>
      <c r="D5" s="26">
        <v>4644</v>
      </c>
      <c r="E5" s="24" t="s">
        <v>36</v>
      </c>
      <c r="F5" s="28" t="s">
        <v>35</v>
      </c>
      <c r="G5" s="29">
        <v>6</v>
      </c>
      <c r="H5" s="22"/>
      <c r="I5" s="22"/>
      <c r="J5" s="22"/>
      <c r="K5" s="37">
        <f t="shared" si="0"/>
        <v>20</v>
      </c>
      <c r="L5" s="22"/>
      <c r="M5" s="27">
        <v>20</v>
      </c>
      <c r="N5" s="38">
        <f t="shared" si="1"/>
        <v>1</v>
      </c>
      <c r="O5" s="40"/>
    </row>
    <row r="6" spans="1:17" s="9" customFormat="1" ht="18.600000000000001">
      <c r="A6" s="23"/>
      <c r="B6" s="24" t="s">
        <v>30</v>
      </c>
      <c r="C6" s="25" t="s">
        <v>31</v>
      </c>
      <c r="D6" s="26" t="s">
        <v>37</v>
      </c>
      <c r="E6" s="24" t="s">
        <v>38</v>
      </c>
      <c r="F6" s="24" t="s">
        <v>1</v>
      </c>
      <c r="G6" s="29">
        <v>7</v>
      </c>
      <c r="H6" s="22"/>
      <c r="I6" s="22"/>
      <c r="J6" s="32"/>
      <c r="K6" s="37">
        <f t="shared" si="0"/>
        <v>20</v>
      </c>
      <c r="L6" s="22"/>
      <c r="M6" s="27">
        <v>20</v>
      </c>
      <c r="N6" s="38">
        <f t="shared" si="1"/>
        <v>1</v>
      </c>
      <c r="O6" s="40"/>
    </row>
    <row r="7" spans="1:17" s="9" customFormat="1" ht="18.600000000000001">
      <c r="A7" s="23"/>
      <c r="B7" s="24" t="s">
        <v>30</v>
      </c>
      <c r="C7" s="25" t="s">
        <v>31</v>
      </c>
      <c r="D7" s="26">
        <v>7211</v>
      </c>
      <c r="E7" s="24" t="s">
        <v>39</v>
      </c>
      <c r="F7" s="24" t="s">
        <v>40</v>
      </c>
      <c r="G7" s="29">
        <v>9</v>
      </c>
      <c r="H7" s="22"/>
      <c r="I7" s="22"/>
      <c r="J7" s="22">
        <v>2</v>
      </c>
      <c r="K7" s="37">
        <f t="shared" si="0"/>
        <v>18</v>
      </c>
      <c r="L7" s="22"/>
      <c r="M7" s="27">
        <v>20</v>
      </c>
      <c r="N7" s="38">
        <f t="shared" si="1"/>
        <v>0.9</v>
      </c>
      <c r="O7" s="40"/>
    </row>
    <row r="8" spans="1:17" s="9" customFormat="1" ht="15" customHeight="1">
      <c r="A8" s="23"/>
      <c r="B8" s="24" t="s">
        <v>30</v>
      </c>
      <c r="C8" s="25" t="s">
        <v>31</v>
      </c>
      <c r="D8" s="26">
        <v>7624</v>
      </c>
      <c r="E8" s="24" t="s">
        <v>41</v>
      </c>
      <c r="F8" s="24" t="s">
        <v>40</v>
      </c>
      <c r="G8" s="29">
        <v>0</v>
      </c>
      <c r="H8" s="22"/>
      <c r="I8" s="22"/>
      <c r="J8" s="22">
        <v>2</v>
      </c>
      <c r="K8" s="37">
        <f t="shared" si="0"/>
        <v>18</v>
      </c>
      <c r="L8" s="22"/>
      <c r="M8" s="27">
        <v>20</v>
      </c>
      <c r="N8" s="38">
        <f t="shared" si="1"/>
        <v>0.9</v>
      </c>
      <c r="O8" s="40"/>
      <c r="P8" s="11"/>
    </row>
    <row r="9" spans="1:17" s="9" customFormat="1" ht="15" customHeight="1">
      <c r="A9" s="23"/>
      <c r="B9" s="24" t="s">
        <v>30</v>
      </c>
      <c r="C9" s="25" t="s">
        <v>31</v>
      </c>
      <c r="D9" s="26">
        <v>5844</v>
      </c>
      <c r="E9" s="43" t="s">
        <v>42</v>
      </c>
      <c r="F9" s="9" t="s">
        <v>35</v>
      </c>
      <c r="G9" s="29">
        <v>9</v>
      </c>
      <c r="H9" s="22"/>
      <c r="I9" s="22"/>
      <c r="J9" s="22"/>
      <c r="K9" s="37">
        <f t="shared" si="0"/>
        <v>20</v>
      </c>
      <c r="L9" s="22"/>
      <c r="M9" s="27">
        <v>20</v>
      </c>
      <c r="N9" s="38">
        <f>+K9/M9</f>
        <v>1</v>
      </c>
      <c r="O9" s="44">
        <f>SUM(N4:N9)</f>
        <v>5.5</v>
      </c>
    </row>
    <row r="10" spans="1:17" s="9" customFormat="1" ht="18.600000000000001">
      <c r="A10" s="23"/>
      <c r="B10" s="24" t="s">
        <v>43</v>
      </c>
      <c r="C10" s="25" t="s">
        <v>44</v>
      </c>
      <c r="D10" s="26" t="s">
        <v>45</v>
      </c>
      <c r="E10" s="24" t="s">
        <v>46</v>
      </c>
      <c r="F10" s="24" t="s">
        <v>10</v>
      </c>
      <c r="G10" s="24"/>
      <c r="H10" s="22"/>
      <c r="I10" s="22"/>
      <c r="J10" s="22"/>
      <c r="K10" s="37">
        <f t="shared" si="0"/>
        <v>20</v>
      </c>
      <c r="L10" s="36"/>
      <c r="M10" s="27">
        <v>20</v>
      </c>
      <c r="N10" s="38"/>
      <c r="O10" s="39"/>
    </row>
    <row r="11" spans="1:17" s="9" customFormat="1" ht="18.600000000000001">
      <c r="A11" s="23"/>
      <c r="B11" s="24" t="s">
        <v>43</v>
      </c>
      <c r="C11" s="25" t="s">
        <v>44</v>
      </c>
      <c r="D11" s="26" t="s">
        <v>47</v>
      </c>
      <c r="E11" s="24" t="s">
        <v>48</v>
      </c>
      <c r="F11" s="28" t="s">
        <v>49</v>
      </c>
      <c r="G11" s="29"/>
      <c r="H11" s="22"/>
      <c r="I11" s="22"/>
      <c r="J11" s="22">
        <v>6</v>
      </c>
      <c r="K11" s="37">
        <f t="shared" si="0"/>
        <v>14</v>
      </c>
      <c r="L11" s="36"/>
      <c r="M11" s="27">
        <v>20</v>
      </c>
      <c r="N11" s="38">
        <f t="shared" ref="N11:N15" si="2">+K11/M11</f>
        <v>0.7</v>
      </c>
      <c r="O11" s="40"/>
    </row>
    <row r="12" spans="1:17" s="9" customFormat="1" ht="18.600000000000001">
      <c r="A12" s="23"/>
      <c r="B12" s="24" t="s">
        <v>43</v>
      </c>
      <c r="C12" s="25" t="s">
        <v>44</v>
      </c>
      <c r="D12" s="26" t="s">
        <v>50</v>
      </c>
      <c r="E12" s="24" t="s">
        <v>51</v>
      </c>
      <c r="F12" s="28" t="s">
        <v>35</v>
      </c>
      <c r="G12" s="29"/>
      <c r="H12" s="22"/>
      <c r="I12" s="22"/>
      <c r="J12" s="22">
        <v>2</v>
      </c>
      <c r="K12" s="37">
        <f t="shared" si="0"/>
        <v>18</v>
      </c>
      <c r="L12" s="36"/>
      <c r="M12" s="27">
        <v>20</v>
      </c>
      <c r="N12" s="38">
        <f t="shared" si="2"/>
        <v>0.9</v>
      </c>
      <c r="O12" s="40"/>
      <c r="Q12" s="11"/>
    </row>
    <row r="13" spans="1:17" s="9" customFormat="1" ht="18.600000000000001">
      <c r="A13" s="23"/>
      <c r="B13" s="24" t="s">
        <v>43</v>
      </c>
      <c r="C13" s="25" t="s">
        <v>44</v>
      </c>
      <c r="D13" s="26" t="s">
        <v>52</v>
      </c>
      <c r="E13" s="24" t="s">
        <v>53</v>
      </c>
      <c r="F13" s="24" t="s">
        <v>1</v>
      </c>
      <c r="G13" s="29"/>
      <c r="H13" s="22"/>
      <c r="I13" s="22"/>
      <c r="J13" s="22"/>
      <c r="K13" s="37">
        <f t="shared" si="0"/>
        <v>20</v>
      </c>
      <c r="L13" s="36"/>
      <c r="M13" s="27">
        <v>20</v>
      </c>
      <c r="N13" s="38">
        <f t="shared" si="2"/>
        <v>1</v>
      </c>
      <c r="O13" s="40"/>
    </row>
    <row r="14" spans="1:17" s="9" customFormat="1" ht="18.600000000000001">
      <c r="A14" s="23"/>
      <c r="B14" s="24" t="s">
        <v>43</v>
      </c>
      <c r="C14" s="25" t="s">
        <v>44</v>
      </c>
      <c r="D14" s="26" t="s">
        <v>54</v>
      </c>
      <c r="E14" s="24" t="s">
        <v>55</v>
      </c>
      <c r="F14" s="28" t="s">
        <v>35</v>
      </c>
      <c r="G14" s="29"/>
      <c r="H14" s="22"/>
      <c r="I14" s="22"/>
      <c r="J14" s="22">
        <v>2</v>
      </c>
      <c r="K14" s="37">
        <f t="shared" si="0"/>
        <v>18</v>
      </c>
      <c r="L14" s="22"/>
      <c r="M14" s="27">
        <v>20</v>
      </c>
      <c r="N14" s="38">
        <f t="shared" si="2"/>
        <v>0.9</v>
      </c>
      <c r="O14" s="40"/>
    </row>
    <row r="15" spans="1:17" s="9" customFormat="1" ht="18.600000000000001">
      <c r="A15" s="23"/>
      <c r="B15" s="24" t="s">
        <v>43</v>
      </c>
      <c r="C15" s="25" t="s">
        <v>44</v>
      </c>
      <c r="D15" s="26" t="s">
        <v>56</v>
      </c>
      <c r="E15" s="24" t="s">
        <v>57</v>
      </c>
      <c r="F15" s="28" t="s">
        <v>58</v>
      </c>
      <c r="G15" s="29"/>
      <c r="H15" s="22"/>
      <c r="I15" s="22"/>
      <c r="J15" s="22"/>
      <c r="K15" s="37">
        <f t="shared" si="0"/>
        <v>20</v>
      </c>
      <c r="L15" s="36"/>
      <c r="M15" s="27">
        <v>20</v>
      </c>
      <c r="N15" s="38">
        <f t="shared" si="2"/>
        <v>1</v>
      </c>
      <c r="O15" s="40"/>
    </row>
    <row r="16" spans="1:17" s="9" customFormat="1" ht="15" customHeight="1">
      <c r="A16" s="30"/>
      <c r="B16" s="15"/>
      <c r="C16" s="31"/>
      <c r="D16" s="26">
        <v>4569</v>
      </c>
      <c r="E16" s="24" t="s">
        <v>59</v>
      </c>
      <c r="F16" s="28" t="s">
        <v>35</v>
      </c>
      <c r="G16" s="29"/>
      <c r="H16" s="22"/>
      <c r="I16" s="22"/>
      <c r="J16" s="22"/>
      <c r="K16" s="37">
        <f t="shared" si="0"/>
        <v>20</v>
      </c>
      <c r="L16" s="22"/>
      <c r="M16" s="27">
        <v>20</v>
      </c>
      <c r="N16" s="38">
        <f t="shared" ref="N16" si="3">+K16/M16</f>
        <v>1</v>
      </c>
      <c r="O16" s="45">
        <f>SUM(N11:N16)</f>
        <v>5.5</v>
      </c>
    </row>
    <row r="17" spans="1:16" s="9" customFormat="1" ht="18.600000000000001">
      <c r="A17" s="48" t="s">
        <v>60</v>
      </c>
      <c r="B17" s="48"/>
      <c r="C17" s="48"/>
      <c r="D17"/>
      <c r="E17"/>
      <c r="F17"/>
      <c r="G17"/>
      <c r="H17" s="8"/>
      <c r="I17" s="8"/>
      <c r="J17" s="8"/>
      <c r="K17" s="8"/>
      <c r="L17" s="8"/>
      <c r="M17" s="8"/>
      <c r="O17" s="46">
        <f>SUM(N4:N16)</f>
        <v>11.000000000000002</v>
      </c>
      <c r="P17" s="13"/>
    </row>
    <row r="18" spans="1:16" s="9" customFormat="1" ht="133.5" customHeight="1">
      <c r="A18" s="33" t="s">
        <v>61</v>
      </c>
      <c r="B18" s="47"/>
      <c r="C18" s="47"/>
      <c r="D18" s="14"/>
      <c r="E18" s="15"/>
      <c r="F18" s="15"/>
      <c r="G18" s="16"/>
      <c r="H18" s="17"/>
      <c r="I18" s="17"/>
      <c r="J18" s="17"/>
      <c r="K18" s="18"/>
      <c r="L18" s="17"/>
      <c r="M18" s="19"/>
      <c r="N18" s="13"/>
      <c r="O18" s="5"/>
      <c r="P18" s="11"/>
    </row>
    <row r="19" spans="1:16" ht="128.1" customHeight="1">
      <c r="A19" s="34"/>
      <c r="B19" s="49"/>
      <c r="C19" s="50"/>
      <c r="J19" s="20"/>
      <c r="N19" s="13"/>
      <c r="O19" s="5"/>
      <c r="P19" s="13"/>
    </row>
    <row r="20" spans="1:16">
      <c r="A20" s="34"/>
      <c r="B20" s="49"/>
      <c r="C20" s="50"/>
    </row>
  </sheetData>
  <mergeCells count="4">
    <mergeCell ref="B18:C18"/>
    <mergeCell ref="A17:C17"/>
    <mergeCell ref="B19:C19"/>
    <mergeCell ref="B20:C20"/>
  </mergeCells>
  <phoneticPr fontId="8" type="noConversion"/>
  <dataValidations disablePrompts="1" count="2">
    <dataValidation type="list" allowBlank="1" showInputMessage="1" showErrorMessage="1" sqref="H11:H12 H4:H9 H18 H14:H16" xr:uid="{86345A01-A582-43C8-937E-C150C9A8DC62}">
      <formula1>$P$2:$P$4</formula1>
    </dataValidation>
    <dataValidation type="list" allowBlank="1" showInputMessage="1" showErrorMessage="1" sqref="H2:H3 H10" xr:uid="{B62E33E3-EED1-4FAC-ABE0-AA33ED49E463}">
      <formula1>#REF!</formula1>
    </dataValidation>
  </dataValidations>
  <hyperlinks>
    <hyperlink ref="D4" r:id="rId1" display="http://intranet/cl-ti-iapadron/gpS02Alias" xr:uid="{95B6D7EF-7207-42A6-829E-3511C8FD9901}"/>
    <hyperlink ref="D5" r:id="rId2" display="http://intranet/cl-ti-iapadron/gpS02Alias" xr:uid="{E52B0551-3E67-4A0F-B54B-81923D4EBDC8}"/>
    <hyperlink ref="D6" r:id="rId3" display="http://intranet/cl-ti-iapadron/gpS02Alias" xr:uid="{29BCD9BC-CD1E-4B15-ABEF-A2752E70F95F}"/>
    <hyperlink ref="D7" r:id="rId4" display="http://intranet/cl-ti-iapadron/gpS02Alias" xr:uid="{9C14A12E-D5F5-4954-AD7B-17E79CDF8EBE}"/>
    <hyperlink ref="D8" r:id="rId5" display="http://intranet/cl-ti-iapadron/gpS02Alias" xr:uid="{04D8633E-6923-40F8-86A3-084B1CDB9B22}"/>
    <hyperlink ref="D9" r:id="rId6" display="http://intranet/cl-ti-iapadron/gpS02Alias" xr:uid="{6A7AF4F6-D091-4555-A747-EF799B82960E}"/>
    <hyperlink ref="D16" r:id="rId7" display="http://intranet/cl-ti-iapadron/gpS02Alias" xr:uid="{7D3C273C-9263-4232-BDC7-5330490AC443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5AD7-0C2E-4CCE-BEF0-239BA36F941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B59-0932-4853-BCBB-7BD0143B333E}">
  <dimension ref="A2:I8"/>
  <sheetViews>
    <sheetView workbookViewId="0">
      <selection activeCell="F11" sqref="F11"/>
    </sheetView>
  </sheetViews>
  <sheetFormatPr defaultColWidth="11.42578125" defaultRowHeight="14.45"/>
  <cols>
    <col min="1" max="1" width="34.5703125" customWidth="1"/>
    <col min="2" max="2" width="9.85546875" customWidth="1"/>
    <col min="3" max="3" width="10" customWidth="1"/>
    <col min="7" max="7" width="18.42578125" bestFit="1" customWidth="1"/>
  </cols>
  <sheetData>
    <row r="2" spans="1:9">
      <c r="A2" s="51" t="s">
        <v>62</v>
      </c>
      <c r="B2" s="53" t="s">
        <v>63</v>
      </c>
      <c r="C2" s="54"/>
      <c r="D2" s="53" t="s">
        <v>64</v>
      </c>
      <c r="E2" s="54"/>
      <c r="F2" s="57" t="s">
        <v>65</v>
      </c>
      <c r="G2" s="58"/>
      <c r="H2" s="55" t="s">
        <v>66</v>
      </c>
      <c r="I2" s="56"/>
    </row>
    <row r="3" spans="1:9">
      <c r="A3" s="52"/>
      <c r="B3" s="21" t="s">
        <v>67</v>
      </c>
      <c r="C3" s="21" t="s">
        <v>68</v>
      </c>
      <c r="D3" s="21" t="s">
        <v>67</v>
      </c>
      <c r="E3" s="21" t="s">
        <v>68</v>
      </c>
      <c r="F3" s="21" t="s">
        <v>67</v>
      </c>
      <c r="G3" s="21" t="s">
        <v>68</v>
      </c>
      <c r="H3" s="21" t="s">
        <v>67</v>
      </c>
      <c r="I3" s="21" t="s">
        <v>68</v>
      </c>
    </row>
    <row r="4" spans="1:9">
      <c r="A4" s="12" t="s">
        <v>69</v>
      </c>
      <c r="B4" s="12">
        <v>11</v>
      </c>
      <c r="C4" s="12">
        <v>9</v>
      </c>
      <c r="D4" s="12"/>
      <c r="E4" s="12"/>
      <c r="F4" s="12">
        <v>0.4</v>
      </c>
      <c r="G4" s="12">
        <v>0.4</v>
      </c>
      <c r="H4" s="12">
        <f>SUM(B4+F4)</f>
        <v>11.4</v>
      </c>
      <c r="I4" s="12">
        <f>SUM(C4+G4)</f>
        <v>9.4</v>
      </c>
    </row>
    <row r="5" spans="1:9">
      <c r="A5" s="12" t="s">
        <v>70</v>
      </c>
      <c r="B5" s="12">
        <v>7</v>
      </c>
      <c r="C5" s="12">
        <v>6</v>
      </c>
      <c r="D5" s="12"/>
      <c r="E5" s="12"/>
      <c r="F5" s="12">
        <v>0.82</v>
      </c>
      <c r="G5" s="12">
        <v>0.82</v>
      </c>
      <c r="H5" s="12">
        <f>SUM(B5+F5)</f>
        <v>7.82</v>
      </c>
      <c r="I5" s="12">
        <f>SUM(C5+G5)</f>
        <v>6.82</v>
      </c>
    </row>
    <row r="6" spans="1:9">
      <c r="A6" s="12" t="s">
        <v>71</v>
      </c>
      <c r="B6" s="12"/>
      <c r="C6" s="12"/>
      <c r="D6" s="12">
        <v>1</v>
      </c>
      <c r="E6" s="12">
        <v>1</v>
      </c>
      <c r="F6" s="12"/>
      <c r="G6" s="12"/>
      <c r="H6" s="12">
        <f>SUM(D6)</f>
        <v>1</v>
      </c>
      <c r="I6" s="12">
        <f>SUM(E6)</f>
        <v>1</v>
      </c>
    </row>
    <row r="7" spans="1:9">
      <c r="A7" s="12" t="s">
        <v>72</v>
      </c>
      <c r="B7" s="35"/>
      <c r="C7" s="35"/>
      <c r="D7" s="12">
        <v>0.66</v>
      </c>
      <c r="E7" s="12">
        <v>0.66</v>
      </c>
      <c r="H7" s="12">
        <v>0.66</v>
      </c>
      <c r="I7" s="12">
        <v>0.66</v>
      </c>
    </row>
    <row r="8" spans="1:9">
      <c r="A8" s="12" t="s">
        <v>73</v>
      </c>
      <c r="B8" s="35"/>
      <c r="C8" s="35"/>
      <c r="D8" s="12">
        <v>1</v>
      </c>
      <c r="E8" s="12">
        <v>1</v>
      </c>
      <c r="F8" s="12"/>
      <c r="G8" s="12"/>
      <c r="H8" s="12">
        <f>SUM(D8)</f>
        <v>1</v>
      </c>
      <c r="I8" s="12">
        <f>SUM(E8)</f>
        <v>1</v>
      </c>
    </row>
  </sheetData>
  <mergeCells count="5">
    <mergeCell ref="A2:A3"/>
    <mergeCell ref="B2:C2"/>
    <mergeCell ref="D2:E2"/>
    <mergeCell ref="H2:I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23311D80-7783-478B-B047-821FCC784FA9}"/>
</file>

<file path=customXml/itemProps2.xml><?xml version="1.0" encoding="utf-8"?>
<ds:datastoreItem xmlns:ds="http://schemas.openxmlformats.org/officeDocument/2006/customXml" ds:itemID="{83635771-F569-444D-9AED-4117463FCF99}"/>
</file>

<file path=customXml/itemProps3.xml><?xml version="1.0" encoding="utf-8"?>
<ds:datastoreItem xmlns:ds="http://schemas.openxmlformats.org/officeDocument/2006/customXml" ds:itemID="{AC2C4421-A1FB-420C-8979-96ADE8118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2025-09-03T17:09:24Z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