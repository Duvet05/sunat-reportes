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5\Marzo\"/>
    </mc:Choice>
  </mc:AlternateContent>
  <xr:revisionPtr revIDLastSave="10" documentId="13_ncr:1_{C74DA6FD-A4B7-47D3-B2E9-11F82828C29C}" xr6:coauthVersionLast="47" xr6:coauthVersionMax="47" xr10:uidLastSave="{2564BDA8-3290-4373-893D-F5409BCD25AA}"/>
  <bookViews>
    <workbookView xWindow="-110" yWindow="-110" windowWidth="19420" windowHeight="10420" tabRatio="790" firstSheet="1" activeTab="2" xr2:uid="{0F01A59B-1C5F-4CB0-B37F-93A0DD64A306}"/>
  </bookViews>
  <sheets>
    <sheet name="LISTA CARGOS" sheetId="2" state="hidden" r:id="rId1"/>
    <sheet name="GAF II_D1" sheetId="7" r:id="rId2"/>
    <sheet name="GAFA MAR" sheetId="11" r:id="rId3"/>
  </sheets>
  <externalReferences>
    <externalReference r:id="rId4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1" l="1"/>
  <c r="N14" i="11"/>
  <c r="O14" i="11" s="1"/>
  <c r="O50" i="11"/>
  <c r="O52" i="11"/>
  <c r="N25" i="11"/>
  <c r="O25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O42" i="11" s="1"/>
  <c r="N43" i="11"/>
  <c r="O43" i="11" s="1"/>
  <c r="N44" i="11"/>
  <c r="O44" i="11" s="1"/>
  <c r="O46" i="11"/>
  <c r="O47" i="11"/>
  <c r="O48" i="11"/>
  <c r="O49" i="1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6" i="11"/>
  <c r="O16" i="11" s="1"/>
  <c r="N10" i="11"/>
  <c r="O10" i="11" s="1"/>
  <c r="N9" i="11"/>
  <c r="O9" i="11" s="1"/>
  <c r="N8" i="11"/>
  <c r="O8" i="11" s="1"/>
  <c r="N7" i="11"/>
  <c r="O7" i="11" s="1"/>
  <c r="N6" i="11"/>
  <c r="O6" i="11" s="1"/>
  <c r="N5" i="11"/>
  <c r="O5" i="11" s="1"/>
  <c r="N4" i="11"/>
  <c r="O4" i="11" s="1"/>
  <c r="L27" i="7"/>
  <c r="M27" i="7" s="1"/>
  <c r="L28" i="7"/>
  <c r="M28" i="7" s="1"/>
  <c r="L29" i="7"/>
  <c r="M29" i="7"/>
  <c r="L30" i="7"/>
  <c r="M30" i="7"/>
  <c r="L31" i="7"/>
  <c r="M31" i="7" s="1"/>
  <c r="L32" i="7"/>
  <c r="M32" i="7" s="1"/>
  <c r="L33" i="7"/>
  <c r="M33" i="7"/>
  <c r="L34" i="7"/>
  <c r="M34" i="7"/>
  <c r="L26" i="7"/>
  <c r="M26" i="7" s="1"/>
  <c r="L16" i="7"/>
  <c r="M16" i="7" s="1"/>
  <c r="L17" i="7"/>
  <c r="M17" i="7" s="1"/>
  <c r="L18" i="7"/>
  <c r="M18" i="7"/>
  <c r="L19" i="7"/>
  <c r="M19" i="7"/>
  <c r="L20" i="7"/>
  <c r="M20" i="7" s="1"/>
  <c r="L21" i="7"/>
  <c r="M21" i="7" s="1"/>
  <c r="L22" i="7"/>
  <c r="M22" i="7"/>
  <c r="L23" i="7"/>
  <c r="M23" i="7"/>
  <c r="L24" i="7"/>
  <c r="M24" i="7" s="1"/>
  <c r="L15" i="7"/>
  <c r="M1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5" i="7"/>
  <c r="M5" i="7" s="1"/>
  <c r="O53" i="11" l="1"/>
  <c r="H56" i="11" s="1"/>
  <c r="I56" i="11" s="1"/>
</calcChain>
</file>

<file path=xl/sharedStrings.xml><?xml version="1.0" encoding="utf-8"?>
<sst xmlns="http://schemas.openxmlformats.org/spreadsheetml/2006/main" count="255" uniqueCount="169">
  <si>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</si>
  <si>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</si>
  <si>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</si>
  <si>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</si>
  <si>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</si>
  <si>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</si>
  <si>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</si>
  <si>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</si>
  <si>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</si>
  <si>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</si>
  <si>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</si>
  <si>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</si>
  <si>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</si>
  <si>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</si>
  <si>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</si>
  <si>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</si>
  <si>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</si>
  <si>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</si>
  <si>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</si>
  <si>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</si>
  <si>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</si>
  <si>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</si>
  <si>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</si>
  <si>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</si>
  <si>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7U6000</t>
  </si>
  <si>
    <t>GERENCIA DE ANÁLISIS DE FONDO DE TRIBUTOS II</t>
  </si>
  <si>
    <t>4184</t>
  </si>
  <si>
    <t>VELEZ ZEVALLOS SILVIA VERONICA</t>
  </si>
  <si>
    <t>7U6100</t>
  </si>
  <si>
    <t>DIVISIÓN DE RECLAMACIONES I</t>
  </si>
  <si>
    <t>6798</t>
  </si>
  <si>
    <t>GARCIA CRUZ KARINA VANESSA</t>
  </si>
  <si>
    <t>7U6101</t>
  </si>
  <si>
    <t>SUPERVISIÓN DE LA DIVISIÓN DE RECLAMACIONES I - SUP. 1</t>
  </si>
  <si>
    <t>8929</t>
  </si>
  <si>
    <t>ZAVALAGA TEJADA CINTHYA ANAHI</t>
  </si>
  <si>
    <t>7U6102</t>
  </si>
  <si>
    <t>SUPERVISIÓN DE LA DIVISIÓN DE RECLAMACIONES I - SUP. 2</t>
  </si>
  <si>
    <t>7800</t>
  </si>
  <si>
    <t>MELGAR MARAZA MARIANELLA LUCERO</t>
  </si>
  <si>
    <t>7U6202</t>
  </si>
  <si>
    <t>SUPERVISIÓN DE LA DIVISIÓN DE RECLAMACIONES II - SUP. 2</t>
  </si>
  <si>
    <t>6268</t>
  </si>
  <si>
    <t>DAVILA REAÑO JACQUELINE DEL ROSARIO</t>
  </si>
  <si>
    <t>Cumplimiento,  Capacitación GAFA (Formatos)</t>
  </si>
  <si>
    <t>7U7100</t>
  </si>
  <si>
    <t>DIVISION DE CONTROL CONCURRENTE I</t>
  </si>
  <si>
    <t>3079</t>
  </si>
  <si>
    <t xml:space="preserve">CORTEZ QUISPE LINDA </t>
  </si>
  <si>
    <t xml:space="preserve">7U7101 </t>
  </si>
  <si>
    <t>DIVSION DE CONTROL CONCURRENTE I-SUP. 1</t>
  </si>
  <si>
    <t>5877</t>
  </si>
  <si>
    <t>Roberto Vera Tudela Gallesi</t>
  </si>
  <si>
    <t>8351</t>
  </si>
  <si>
    <t xml:space="preserve"> Araoz Laines Debra Sasha</t>
  </si>
  <si>
    <t>Especialista 2</t>
  </si>
  <si>
    <t>7324</t>
  </si>
  <si>
    <t xml:space="preserve"> Carbajal Jara Zaira </t>
  </si>
  <si>
    <t>7649</t>
  </si>
  <si>
    <t xml:space="preserve"> Castro Lagos Allison Erika</t>
  </si>
  <si>
    <t>3085</t>
  </si>
  <si>
    <t xml:space="preserve"> Cosio Jara Edgar Fernando</t>
  </si>
  <si>
    <t>Especialista 5</t>
  </si>
  <si>
    <t>4469</t>
  </si>
  <si>
    <t xml:space="preserve"> Hurtado Custodio Maria Lourdes</t>
  </si>
  <si>
    <t>7625</t>
  </si>
  <si>
    <t xml:space="preserve"> Quezada Villar Teresita Milagros</t>
  </si>
  <si>
    <t>7330</t>
  </si>
  <si>
    <t xml:space="preserve"> Rosales Ochoa Tania Elena</t>
  </si>
  <si>
    <t>Especialista 3</t>
  </si>
  <si>
    <t>5534</t>
  </si>
  <si>
    <t xml:space="preserve"> Sanchez Garrido Celso Felix</t>
  </si>
  <si>
    <t>5565</t>
  </si>
  <si>
    <t xml:space="preserve"> Santa Cruz Martinez Victoria Agustina</t>
  </si>
  <si>
    <t>8513</t>
  </si>
  <si>
    <t xml:space="preserve"> Vargas Apolinario Miryam Austregilda</t>
  </si>
  <si>
    <t>7U7302</t>
  </si>
  <si>
    <t>7661</t>
  </si>
  <si>
    <t xml:space="preserve"> Cordova Meza Luis Alberto</t>
  </si>
  <si>
    <t>7U7102</t>
  </si>
  <si>
    <t>DIVSION DE CONTROL CONCURRENTE I-SUP. 2</t>
  </si>
  <si>
    <t>7580</t>
  </si>
  <si>
    <t xml:space="preserve"> Chavez Silva Vanesa</t>
  </si>
  <si>
    <t>7674</t>
  </si>
  <si>
    <t xml:space="preserve"> Angulo Farfan Andres Eduardo</t>
  </si>
  <si>
    <t>2858</t>
  </si>
  <si>
    <t xml:space="preserve"> Castañeda Calderon Julio Ramiro</t>
  </si>
  <si>
    <t>Especialista 4</t>
  </si>
  <si>
    <t>2900</t>
  </si>
  <si>
    <t xml:space="preserve"> Cavero Carrion Carolina Marcela</t>
  </si>
  <si>
    <t>2968</t>
  </si>
  <si>
    <t xml:space="preserve"> Chire Tunque Maria Luisa</t>
  </si>
  <si>
    <t>3284</t>
  </si>
  <si>
    <t xml:space="preserve"> Diaz Jurado Ana Maria</t>
  </si>
  <si>
    <t>3977</t>
  </si>
  <si>
    <t xml:space="preserve"> Godoy Escalante William Arnaldo</t>
  </si>
  <si>
    <t>4770</t>
  </si>
  <si>
    <t xml:space="preserve"> Mollinedo Catunta Maritza</t>
  </si>
  <si>
    <t>4949</t>
  </si>
  <si>
    <t xml:space="preserve"> Oyarse Cruz Javier Gustavo</t>
  </si>
  <si>
    <t>6997</t>
  </si>
  <si>
    <t xml:space="preserve"> Tapia Muñoz Gamio Claudia Maria</t>
  </si>
  <si>
    <t>7611</t>
  </si>
  <si>
    <t xml:space="preserve"> Sandoval Guevara Azhir Yussef</t>
  </si>
  <si>
    <t>7U7200</t>
  </si>
  <si>
    <t>DIVISION DE CONTROL CONCURRENTE II</t>
  </si>
  <si>
    <t>6740</t>
  </si>
  <si>
    <t xml:space="preserve"> SANCHEZ FERRER VARGAS MACHUCA CYNTHIA</t>
  </si>
  <si>
    <t>7U7201</t>
  </si>
  <si>
    <t>DIVSION DE CONTROL CONCURRENTE II-SUP. 1</t>
  </si>
  <si>
    <t>7587</t>
  </si>
  <si>
    <t>Yessenia Salcedo Diaz</t>
  </si>
  <si>
    <t>7342</t>
  </si>
  <si>
    <t xml:space="preserve"> Cuya Velarde Juan Carlos</t>
  </si>
  <si>
    <t>4561</t>
  </si>
  <si>
    <t xml:space="preserve"> Linares Alcantara Cesar Victor</t>
  </si>
  <si>
    <t>4569</t>
  </si>
  <si>
    <t xml:space="preserve"> Linarez Amacifuen Jose Wagner</t>
  </si>
  <si>
    <t>4644</t>
  </si>
  <si>
    <t xml:space="preserve"> Malaga Portocarrero Carlos Alfredo</t>
  </si>
  <si>
    <t>AO21</t>
  </si>
  <si>
    <t xml:space="preserve"> Rios Gomez Renierd </t>
  </si>
  <si>
    <t>7211</t>
  </si>
  <si>
    <t xml:space="preserve"> Rivarola Hidalgo Roberto Cesar</t>
  </si>
  <si>
    <t>7624</t>
  </si>
  <si>
    <t xml:space="preserve"> Valdivia Charca Poul Cristian</t>
  </si>
  <si>
    <t>5844</t>
  </si>
  <si>
    <t xml:space="preserve">Vela Nuñez Richard </t>
  </si>
  <si>
    <t>8319</t>
  </si>
  <si>
    <t xml:space="preserve">Vilcapaza Amaro Carla </t>
  </si>
  <si>
    <t>Especialista 1</t>
  </si>
  <si>
    <t>7U7202</t>
  </si>
  <si>
    <t>DIVSION DE CONTROL CONCURRENTE II-SUP. 2</t>
  </si>
  <si>
    <t>7575</t>
  </si>
  <si>
    <t>Evelyn Pacheco Tena</t>
  </si>
  <si>
    <t>2423</t>
  </si>
  <si>
    <t xml:space="preserve"> Acosta Salazar Cecilia Jacqueline</t>
  </si>
  <si>
    <t>7326</t>
  </si>
  <si>
    <t>Arestegui Pereyra Lydia Carolina</t>
  </si>
  <si>
    <t>4616</t>
  </si>
  <si>
    <t xml:space="preserve"> Lozada Rocca Isabel Rosa Lucrecia</t>
  </si>
  <si>
    <t>AT75</t>
  </si>
  <si>
    <t xml:space="preserve"> Flores Alvitez Victoria Carmen Rosa</t>
  </si>
  <si>
    <t>7151</t>
  </si>
  <si>
    <t xml:space="preserve"> Pretel Noblecilla Lourdes Fabiola</t>
  </si>
  <si>
    <t>5749</t>
  </si>
  <si>
    <t xml:space="preserve"> Ulloa Ascencio Wilder Eloy</t>
  </si>
  <si>
    <t>AX34</t>
  </si>
  <si>
    <t xml:space="preserve"> Villanueva Hurtado Enrique Alvaro</t>
  </si>
  <si>
    <t>7U7300</t>
  </si>
  <si>
    <t>DIVISION DE CONTROL POSTERIOR</t>
  </si>
  <si>
    <t>2834</t>
  </si>
  <si>
    <t>Carpio Charres Ellsworth</t>
  </si>
  <si>
    <t>INCA - 423</t>
  </si>
  <si>
    <t>7U7301</t>
  </si>
  <si>
    <t>DIVSION DE CONTROL POSTERIOR SUP. 1</t>
  </si>
  <si>
    <t>Sanchez Ferrer Vargas Machuca Cynthia</t>
  </si>
  <si>
    <t>2694</t>
  </si>
  <si>
    <t>Bernuy Nuñez  Gustavo Ricardo</t>
  </si>
  <si>
    <t>4700</t>
  </si>
  <si>
    <t xml:space="preserve"> Mauro Sampen Carlos Enrique</t>
  </si>
  <si>
    <t>7660</t>
  </si>
  <si>
    <t xml:space="preserve"> Fournier Castillo Marco Lucio</t>
  </si>
  <si>
    <t>4594</t>
  </si>
  <si>
    <t xml:space="preserve"> Lopez Cornelio Carlos Alberto</t>
  </si>
  <si>
    <t>4990</t>
  </si>
  <si>
    <t xml:space="preserve"> Pantoja Urizar Garfias  Cecilia Patricia</t>
  </si>
  <si>
    <t>Q Casos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</si>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</sst>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5" borderId="2" xfId="0" applyFont="1" applyFill="1" applyBorder="1"/>
    <xf numFmtId="0" fontId="4" fillId="0" borderId="2" xfId="0" applyFont="1" applyBorder="1"/>
    <xf numFmtId="1" fontId="0" fillId="0" borderId="2" xfId="0" applyNumberFormat="1" applyBorder="1"/>
    <xf numFmtId="164" fontId="0" fillId="0" borderId="2" xfId="0" applyNumberFormat="1" applyBorder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7" fillId="0" borderId="2" xfId="0" applyFont="1" applyBorder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left"/>
    </xf>
    <xf numFmtId="49" fontId="7" fillId="6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" fontId="8" fillId="0" borderId="2" xfId="0" applyNumberFormat="1" applyFont="1" applyBorder="1"/>
    <xf numFmtId="0" fontId="7" fillId="7" borderId="2" xfId="0" applyFont="1" applyFill="1" applyBorder="1"/>
    <xf numFmtId="0" fontId="7" fillId="7" borderId="2" xfId="0" applyFont="1" applyFill="1" applyBorder="1" applyAlignment="1">
      <alignment horizontal="left"/>
    </xf>
    <xf numFmtId="49" fontId="7" fillId="7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left"/>
    </xf>
    <xf numFmtId="49" fontId="7" fillId="0" borderId="2" xfId="0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0" fontId="7" fillId="8" borderId="2" xfId="0" applyFont="1" applyFill="1" applyBorder="1" applyAlignment="1">
      <alignment horizontal="left"/>
    </xf>
    <xf numFmtId="49" fontId="7" fillId="8" borderId="2" xfId="0" applyNumberFormat="1" applyFont="1" applyFill="1" applyBorder="1" applyAlignment="1">
      <alignment horizontal="center"/>
    </xf>
    <xf numFmtId="0" fontId="7" fillId="8" borderId="2" xfId="0" applyFont="1" applyFill="1" applyBorder="1"/>
    <xf numFmtId="0" fontId="8" fillId="0" borderId="0" xfId="0" applyFont="1"/>
    <xf numFmtId="0" fontId="7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11" fillId="0" borderId="2" xfId="0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7" borderId="2" xfId="0" applyFont="1" applyFill="1" applyBorder="1"/>
    <xf numFmtId="0" fontId="7" fillId="9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1" fontId="15" fillId="0" borderId="2" xfId="0" applyNumberFormat="1" applyFont="1" applyBorder="1"/>
    <xf numFmtId="164" fontId="15" fillId="0" borderId="2" xfId="0" applyNumberFormat="1" applyFont="1" applyBorder="1"/>
    <xf numFmtId="2" fontId="16" fillId="0" borderId="2" xfId="0" applyNumberFormat="1" applyFont="1" applyBorder="1"/>
    <xf numFmtId="1" fontId="16" fillId="0" borderId="2" xfId="0" applyNumberFormat="1" applyFont="1" applyBorder="1"/>
    <xf numFmtId="0" fontId="17" fillId="0" borderId="2" xfId="0" applyFont="1" applyBorder="1"/>
    <xf numFmtId="0" fontId="17" fillId="12" borderId="2" xfId="0" applyFont="1" applyFill="1" applyBorder="1"/>
    <xf numFmtId="2" fontId="16" fillId="13" borderId="2" xfId="0" applyNumberFormat="1" applyFont="1" applyFill="1" applyBorder="1"/>
    <xf numFmtId="0" fontId="8" fillId="5" borderId="0" xfId="0" applyFont="1" applyFill="1"/>
    <xf numFmtId="0" fontId="16" fillId="5" borderId="0" xfId="0" applyFont="1" applyFill="1" applyAlignment="1">
      <alignment horizontal="center" vertical="center" wrapText="1"/>
    </xf>
    <xf numFmtId="0" fontId="16" fillId="5" borderId="0" xfId="0" applyFont="1" applyFill="1"/>
    <xf numFmtId="0" fontId="17" fillId="5" borderId="0" xfId="0" applyFont="1" applyFill="1"/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vertical="center"/>
    </xf>
    <xf numFmtId="49" fontId="15" fillId="0" borderId="2" xfId="0" applyNumberFormat="1" applyFont="1" applyBorder="1" applyAlignment="1">
      <alignment horizontal="left" vertical="center"/>
    </xf>
    <xf numFmtId="49" fontId="17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5" fillId="5" borderId="2" xfId="0" applyNumberFormat="1" applyFont="1" applyFill="1" applyBorder="1" applyAlignment="1">
      <alignment vertical="center"/>
    </xf>
    <xf numFmtId="49" fontId="5" fillId="5" borderId="2" xfId="0" applyNumberFormat="1" applyFont="1" applyFill="1" applyBorder="1" applyAlignment="1">
      <alignment horizontal="left" vertical="center"/>
    </xf>
    <xf numFmtId="49" fontId="16" fillId="5" borderId="2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left"/>
    </xf>
    <xf numFmtId="49" fontId="5" fillId="6" borderId="2" xfId="0" applyNumberFormat="1" applyFont="1" applyFill="1" applyBorder="1" applyAlignment="1">
      <alignment horizont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5" fillId="0" borderId="3" xfId="0" applyFont="1" applyBorder="1"/>
    <xf numFmtId="49" fontId="5" fillId="6" borderId="2" xfId="0" applyNumberFormat="1" applyFont="1" applyFill="1" applyBorder="1" applyAlignment="1">
      <alignment horizontal="left"/>
    </xf>
    <xf numFmtId="0" fontId="16" fillId="10" borderId="2" xfId="0" applyFont="1" applyFill="1" applyBorder="1" applyAlignment="1">
      <alignment horizontal="right"/>
    </xf>
    <xf numFmtId="0" fontId="16" fillId="0" borderId="2" xfId="0" applyFont="1" applyBorder="1"/>
    <xf numFmtId="0" fontId="5" fillId="11" borderId="2" xfId="0" applyFont="1" applyFill="1" applyBorder="1" applyAlignment="1">
      <alignment horizontal="left"/>
    </xf>
    <xf numFmtId="0" fontId="5" fillId="11" borderId="2" xfId="0" applyFont="1" applyFill="1" applyBorder="1"/>
    <xf numFmtId="0" fontId="17" fillId="0" borderId="2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6" fillId="5" borderId="2" xfId="0" applyFont="1" applyFill="1" applyBorder="1" applyAlignment="1">
      <alignment horizontal="left"/>
    </xf>
    <xf numFmtId="0" fontId="16" fillId="5" borderId="2" xfId="0" applyFont="1" applyFill="1" applyBorder="1" applyAlignment="1">
      <alignment horizontal="center"/>
    </xf>
    <xf numFmtId="2" fontId="5" fillId="5" borderId="0" xfId="0" applyNumberFormat="1" applyFont="1" applyFill="1" applyAlignment="1">
      <alignment vertical="center"/>
    </xf>
    <xf numFmtId="0" fontId="16" fillId="5" borderId="2" xfId="0" applyFont="1" applyFill="1" applyBorder="1"/>
    <xf numFmtId="0" fontId="0" fillId="5" borderId="0" xfId="0" applyFill="1"/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2" fontId="0" fillId="5" borderId="2" xfId="0" applyNumberFormat="1" applyFill="1" applyBorder="1"/>
    <xf numFmtId="0" fontId="16" fillId="5" borderId="2" xfId="0" applyFont="1" applyFill="1" applyBorder="1" applyAlignment="1">
      <alignment horizontal="right"/>
    </xf>
    <xf numFmtId="0" fontId="5" fillId="5" borderId="0" xfId="0" applyFont="1" applyFill="1"/>
    <xf numFmtId="165" fontId="17" fillId="14" borderId="2" xfId="0" applyNumberFormat="1" applyFont="1" applyFill="1" applyBorder="1"/>
    <xf numFmtId="165" fontId="17" fillId="1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2" t="s">
        <v>0</v>
      </c>
    </row>
    <row r="2" spans="1:1">
      <c r="A2" s="11" t="s">
        <v>1</v>
      </c>
    </row>
    <row r="3" spans="1:1">
      <c r="A3" s="11" t="s">
        <v>2</v>
      </c>
    </row>
    <row r="4" spans="1:1">
      <c r="A4" s="11" t="s">
        <v>3</v>
      </c>
    </row>
    <row r="5" spans="1:1">
      <c r="A5" s="11" t="s">
        <v>4</v>
      </c>
    </row>
    <row r="6" spans="1:1">
      <c r="A6" s="11" t="s">
        <v>5</v>
      </c>
    </row>
    <row r="7" spans="1:1">
      <c r="A7" s="11" t="s">
        <v>6</v>
      </c>
    </row>
    <row r="8" spans="1:1">
      <c r="A8" s="11" t="s">
        <v>7</v>
      </c>
    </row>
    <row r="9" spans="1:1">
      <c r="A9" s="11" t="s">
        <v>8</v>
      </c>
    </row>
    <row r="10" spans="1:1">
      <c r="A10" s="16" t="s">
        <v>9</v>
      </c>
    </row>
    <row r="11" spans="1:1">
      <c r="A11" s="11" t="s">
        <v>10</v>
      </c>
    </row>
    <row r="12" spans="1:1">
      <c r="A12" s="11" t="s">
        <v>11</v>
      </c>
    </row>
    <row r="13" spans="1:1">
      <c r="A13" s="11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CC1-ACD6-4B5E-9FE2-60E7D1CCAEDF}">
  <dimension ref="A1:M34"/>
  <sheetViews>
    <sheetView zoomScale="70" zoomScaleNormal="70" workbookViewId="0">
      <selection activeCell="L11" sqref="L1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46.85546875" bestFit="1" customWidth="1"/>
    <col min="4" max="4" width="9.85546875" bestFit="1" customWidth="1"/>
    <col min="5" max="5" width="41.42578125" bestFit="1" customWidth="1"/>
    <col min="6" max="6" width="12.5703125" bestFit="1" customWidth="1"/>
    <col min="7" max="7" width="18.140625" bestFit="1" customWidth="1"/>
    <col min="8" max="8" width="11.5703125" bestFit="1" customWidth="1"/>
    <col min="9" max="9" width="17.5703125" bestFit="1" customWidth="1"/>
    <col min="10" max="10" width="12.140625" bestFit="1" customWidth="1"/>
    <col min="11" max="11" width="15.140625" bestFit="1" customWidth="1"/>
    <col min="12" max="12" width="11.85546875" bestFit="1" customWidth="1"/>
    <col min="13" max="13" width="9.5703125" bestFit="1" customWidth="1"/>
  </cols>
  <sheetData>
    <row r="1" spans="1:13" s="6" customFormat="1" ht="36.950000000000003">
      <c r="A1" s="1" t="s">
        <v>12</v>
      </c>
      <c r="B1" s="2" t="s">
        <v>13</v>
      </c>
      <c r="C1" s="3" t="s">
        <v>14</v>
      </c>
      <c r="D1" s="2" t="s">
        <v>15</v>
      </c>
      <c r="E1" s="2" t="s">
        <v>16</v>
      </c>
      <c r="F1" s="2" t="s">
        <v>0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5" t="s">
        <v>22</v>
      </c>
      <c r="M1" s="5" t="s">
        <v>23</v>
      </c>
    </row>
    <row r="2" spans="1:13" s="39" customFormat="1">
      <c r="A2" s="19"/>
      <c r="B2" s="38" t="s">
        <v>24</v>
      </c>
      <c r="C2" s="36" t="s">
        <v>25</v>
      </c>
      <c r="D2" s="37" t="s">
        <v>26</v>
      </c>
      <c r="E2" s="38" t="s">
        <v>27</v>
      </c>
      <c r="F2" s="38" t="s">
        <v>7</v>
      </c>
      <c r="G2" s="23"/>
      <c r="H2" s="24"/>
      <c r="I2" s="25"/>
      <c r="J2" s="25"/>
      <c r="K2" s="25"/>
      <c r="L2" s="25"/>
      <c r="M2" s="26"/>
    </row>
    <row r="3" spans="1:13" s="39" customFormat="1">
      <c r="A3" s="19"/>
      <c r="B3" s="20" t="s">
        <v>28</v>
      </c>
      <c r="C3" s="21" t="s">
        <v>29</v>
      </c>
      <c r="D3" s="22" t="s">
        <v>30</v>
      </c>
      <c r="E3" s="20" t="s">
        <v>31</v>
      </c>
      <c r="F3" s="20" t="s">
        <v>8</v>
      </c>
      <c r="G3" s="23"/>
      <c r="H3" s="24"/>
      <c r="I3" s="25"/>
      <c r="J3" s="25"/>
      <c r="K3" s="25"/>
      <c r="L3" s="25"/>
      <c r="M3" s="26"/>
    </row>
    <row r="4" spans="1:13" s="39" customFormat="1">
      <c r="A4" s="19"/>
      <c r="B4" s="27" t="s">
        <v>32</v>
      </c>
      <c r="C4" s="28" t="s">
        <v>33</v>
      </c>
      <c r="D4" s="29" t="s">
        <v>34</v>
      </c>
      <c r="E4" s="27" t="s">
        <v>35</v>
      </c>
      <c r="F4" s="27" t="s">
        <v>10</v>
      </c>
      <c r="G4" s="23"/>
      <c r="H4" s="24"/>
      <c r="I4" s="25"/>
      <c r="J4" s="25"/>
      <c r="K4" s="25"/>
      <c r="L4" s="25"/>
      <c r="M4" s="26"/>
    </row>
    <row r="5" spans="1:13" s="39" customFormat="1">
      <c r="A5" s="19"/>
      <c r="B5" s="31"/>
      <c r="C5" s="31"/>
      <c r="D5" s="32"/>
      <c r="E5" s="42"/>
      <c r="F5" s="30"/>
      <c r="G5" s="23"/>
      <c r="H5" s="24"/>
      <c r="I5" s="25"/>
      <c r="J5" s="25"/>
      <c r="K5" s="25"/>
      <c r="L5" s="12">
        <f t="shared" ref="L5" si="0">SUM(H5:K5)</f>
        <v>0</v>
      </c>
      <c r="M5" s="13" t="e">
        <f t="shared" ref="M5" si="1">+J5/L5</f>
        <v>#DIV/0!</v>
      </c>
    </row>
    <row r="6" spans="1:13" s="39" customFormat="1">
      <c r="A6" s="19"/>
      <c r="B6" s="30"/>
      <c r="C6" s="31"/>
      <c r="D6" s="32"/>
      <c r="E6" s="42"/>
      <c r="F6" s="30"/>
      <c r="G6" s="23"/>
      <c r="H6" s="24"/>
      <c r="I6" s="25"/>
      <c r="J6" s="25"/>
      <c r="K6" s="25"/>
      <c r="L6" s="12">
        <f t="shared" ref="L6:L12" si="2">SUM(H6:K6)</f>
        <v>0</v>
      </c>
      <c r="M6" s="13" t="e">
        <f t="shared" ref="M6:M12" si="3">+J6/L6</f>
        <v>#DIV/0!</v>
      </c>
    </row>
    <row r="7" spans="1:13" s="39" customFormat="1">
      <c r="A7" s="19"/>
      <c r="B7" s="30"/>
      <c r="C7" s="31"/>
      <c r="D7" s="32"/>
      <c r="E7" s="42"/>
      <c r="F7" s="30"/>
      <c r="G7" s="23"/>
      <c r="H7" s="24"/>
      <c r="I7" s="25"/>
      <c r="J7" s="25"/>
      <c r="K7" s="25"/>
      <c r="L7" s="12">
        <f t="shared" si="2"/>
        <v>0</v>
      </c>
      <c r="M7" s="13" t="e">
        <f t="shared" si="3"/>
        <v>#DIV/0!</v>
      </c>
    </row>
    <row r="8" spans="1:13" s="39" customFormat="1">
      <c r="A8" s="19"/>
      <c r="B8" s="30"/>
      <c r="C8" s="31"/>
      <c r="D8" s="32"/>
      <c r="E8" s="42"/>
      <c r="F8" s="30"/>
      <c r="G8" s="23"/>
      <c r="H8" s="24"/>
      <c r="I8" s="25"/>
      <c r="J8" s="25"/>
      <c r="K8" s="25"/>
      <c r="L8" s="12">
        <f t="shared" si="2"/>
        <v>0</v>
      </c>
      <c r="M8" s="13" t="e">
        <f t="shared" si="3"/>
        <v>#DIV/0!</v>
      </c>
    </row>
    <row r="9" spans="1:13" s="39" customFormat="1">
      <c r="A9" s="19"/>
      <c r="B9" s="30"/>
      <c r="C9" s="31"/>
      <c r="D9" s="32"/>
      <c r="E9" s="42"/>
      <c r="F9" s="30"/>
      <c r="G9" s="23"/>
      <c r="H9" s="24"/>
      <c r="I9" s="25"/>
      <c r="J9" s="25"/>
      <c r="K9" s="25"/>
      <c r="L9" s="12">
        <f t="shared" si="2"/>
        <v>0</v>
      </c>
      <c r="M9" s="13" t="e">
        <f t="shared" si="3"/>
        <v>#DIV/0!</v>
      </c>
    </row>
    <row r="10" spans="1:13" s="39" customFormat="1">
      <c r="A10" s="19"/>
      <c r="B10" s="30"/>
      <c r="C10" s="31"/>
      <c r="D10" s="32"/>
      <c r="E10" s="43"/>
      <c r="F10" s="30"/>
      <c r="G10" s="23"/>
      <c r="H10" s="24"/>
      <c r="I10" s="25"/>
      <c r="J10" s="25"/>
      <c r="K10" s="25"/>
      <c r="L10" s="12">
        <f t="shared" si="2"/>
        <v>0</v>
      </c>
      <c r="M10" s="13" t="e">
        <f t="shared" si="3"/>
        <v>#DIV/0!</v>
      </c>
    </row>
    <row r="11" spans="1:13" s="39" customFormat="1">
      <c r="A11" s="19"/>
      <c r="B11" s="30"/>
      <c r="C11" s="31"/>
      <c r="D11" s="32"/>
      <c r="E11" s="42"/>
      <c r="F11" s="30"/>
      <c r="G11" s="23"/>
      <c r="H11" s="24"/>
      <c r="I11" s="25"/>
      <c r="J11" s="25"/>
      <c r="K11" s="25"/>
      <c r="L11" s="12">
        <f t="shared" si="2"/>
        <v>0</v>
      </c>
      <c r="M11" s="13" t="e">
        <f t="shared" si="3"/>
        <v>#DIV/0!</v>
      </c>
    </row>
    <row r="12" spans="1:13" s="39" customFormat="1">
      <c r="A12" s="19"/>
      <c r="B12" s="30"/>
      <c r="C12" s="31"/>
      <c r="D12" s="32"/>
      <c r="E12" s="42"/>
      <c r="F12" s="30"/>
      <c r="G12" s="23"/>
      <c r="H12" s="24"/>
      <c r="I12" s="25"/>
      <c r="J12" s="25"/>
      <c r="K12" s="25"/>
      <c r="L12" s="12">
        <f t="shared" si="2"/>
        <v>0</v>
      </c>
      <c r="M12" s="13" t="e">
        <f t="shared" si="3"/>
        <v>#DIV/0!</v>
      </c>
    </row>
    <row r="13" spans="1:13" s="39" customFormat="1">
      <c r="A13" s="19"/>
      <c r="B13" s="30"/>
      <c r="C13" s="31"/>
      <c r="D13" s="44"/>
      <c r="E13" s="45"/>
      <c r="F13" s="30"/>
      <c r="G13" s="23"/>
      <c r="H13" s="24"/>
      <c r="I13" s="25"/>
      <c r="J13" s="25"/>
      <c r="K13" s="25"/>
      <c r="L13" s="25"/>
      <c r="M13" s="26"/>
    </row>
    <row r="14" spans="1:13" s="39" customFormat="1">
      <c r="A14" s="19"/>
      <c r="B14" s="46" t="s">
        <v>36</v>
      </c>
      <c r="C14" s="47" t="s">
        <v>37</v>
      </c>
      <c r="D14" s="29" t="s">
        <v>38</v>
      </c>
      <c r="E14" s="27" t="s">
        <v>39</v>
      </c>
      <c r="F14" s="27" t="s">
        <v>10</v>
      </c>
      <c r="G14" s="23"/>
      <c r="H14" s="48"/>
      <c r="I14" s="41"/>
      <c r="J14" s="41"/>
      <c r="K14" s="41"/>
      <c r="L14" s="41"/>
      <c r="M14" s="26"/>
    </row>
    <row r="15" spans="1:13" s="39" customFormat="1">
      <c r="A15" s="19"/>
      <c r="B15" s="30"/>
      <c r="C15" s="31"/>
      <c r="D15" s="32"/>
      <c r="E15" s="42"/>
      <c r="F15" s="30"/>
      <c r="G15" s="23"/>
      <c r="H15" s="24"/>
      <c r="I15" s="25"/>
      <c r="J15" s="25"/>
      <c r="K15" s="25"/>
      <c r="L15" s="12">
        <f t="shared" ref="L15" si="4">SUM(H15:K15)</f>
        <v>0</v>
      </c>
      <c r="M15" s="13" t="e">
        <f t="shared" ref="M15" si="5">+J15/L15</f>
        <v>#DIV/0!</v>
      </c>
    </row>
    <row r="16" spans="1:13" s="39" customFormat="1">
      <c r="A16" s="19"/>
      <c r="B16" s="30"/>
      <c r="C16" s="31"/>
      <c r="D16" s="32"/>
      <c r="E16" s="42"/>
      <c r="F16" s="30"/>
      <c r="G16" s="23"/>
      <c r="H16" s="24"/>
      <c r="I16" s="25"/>
      <c r="J16" s="25"/>
      <c r="K16" s="25"/>
      <c r="L16" s="12">
        <f t="shared" ref="L16:L24" si="6">SUM(H16:K16)</f>
        <v>0</v>
      </c>
      <c r="M16" s="13" t="e">
        <f t="shared" ref="M16:M24" si="7">+J16/L16</f>
        <v>#DIV/0!</v>
      </c>
    </row>
    <row r="17" spans="1:13" s="39" customFormat="1">
      <c r="A17" s="19"/>
      <c r="B17" s="30"/>
      <c r="C17" s="31"/>
      <c r="D17" s="32"/>
      <c r="E17" s="42"/>
      <c r="F17" s="30"/>
      <c r="G17" s="23"/>
      <c r="H17" s="24"/>
      <c r="I17" s="25"/>
      <c r="J17" s="25"/>
      <c r="K17" s="25"/>
      <c r="L17" s="12">
        <f t="shared" si="6"/>
        <v>0</v>
      </c>
      <c r="M17" s="13" t="e">
        <f t="shared" si="7"/>
        <v>#DIV/0!</v>
      </c>
    </row>
    <row r="18" spans="1:13" s="39" customFormat="1">
      <c r="A18" s="19"/>
      <c r="B18" s="30"/>
      <c r="C18" s="31"/>
      <c r="D18" s="32"/>
      <c r="E18" s="42"/>
      <c r="F18" s="30"/>
      <c r="G18" s="23"/>
      <c r="H18" s="24"/>
      <c r="I18" s="25"/>
      <c r="J18" s="25"/>
      <c r="K18" s="25"/>
      <c r="L18" s="12">
        <f t="shared" si="6"/>
        <v>0</v>
      </c>
      <c r="M18" s="13" t="e">
        <f t="shared" si="7"/>
        <v>#DIV/0!</v>
      </c>
    </row>
    <row r="19" spans="1:13" s="39" customFormat="1">
      <c r="A19" s="19"/>
      <c r="B19" s="30"/>
      <c r="C19" s="31"/>
      <c r="D19" s="32"/>
      <c r="E19" s="42"/>
      <c r="F19" s="30"/>
      <c r="G19" s="23"/>
      <c r="H19" s="24"/>
      <c r="I19" s="25"/>
      <c r="J19" s="25"/>
      <c r="K19" s="25"/>
      <c r="L19" s="12">
        <f t="shared" si="6"/>
        <v>0</v>
      </c>
      <c r="M19" s="13" t="e">
        <f t="shared" si="7"/>
        <v>#DIV/0!</v>
      </c>
    </row>
    <row r="20" spans="1:13" s="39" customFormat="1">
      <c r="A20" s="19"/>
      <c r="B20" s="30"/>
      <c r="C20" s="31"/>
      <c r="D20" s="32"/>
      <c r="E20" s="42"/>
      <c r="F20" s="30"/>
      <c r="G20" s="23"/>
      <c r="H20" s="24"/>
      <c r="I20" s="25"/>
      <c r="J20" s="25"/>
      <c r="K20" s="25"/>
      <c r="L20" s="12">
        <f t="shared" si="6"/>
        <v>0</v>
      </c>
      <c r="M20" s="13" t="e">
        <f t="shared" si="7"/>
        <v>#DIV/0!</v>
      </c>
    </row>
    <row r="21" spans="1:13" s="39" customFormat="1">
      <c r="A21" s="19"/>
      <c r="B21" s="30"/>
      <c r="C21" s="31"/>
      <c r="D21" s="32"/>
      <c r="E21" s="42"/>
      <c r="F21" s="30"/>
      <c r="G21" s="23"/>
      <c r="H21" s="24"/>
      <c r="I21" s="25"/>
      <c r="J21" s="25"/>
      <c r="K21" s="25"/>
      <c r="L21" s="12">
        <f t="shared" si="6"/>
        <v>0</v>
      </c>
      <c r="M21" s="13" t="e">
        <f t="shared" si="7"/>
        <v>#DIV/0!</v>
      </c>
    </row>
    <row r="22" spans="1:13" s="39" customFormat="1">
      <c r="A22" s="19"/>
      <c r="B22" s="30"/>
      <c r="C22" s="31"/>
      <c r="D22" s="44"/>
      <c r="E22" s="45"/>
      <c r="F22" s="30"/>
      <c r="G22" s="23"/>
      <c r="H22" s="24"/>
      <c r="I22" s="25"/>
      <c r="J22" s="25"/>
      <c r="K22" s="25"/>
      <c r="L22" s="12">
        <f t="shared" si="6"/>
        <v>0</v>
      </c>
      <c r="M22" s="13" t="e">
        <f t="shared" si="7"/>
        <v>#DIV/0!</v>
      </c>
    </row>
    <row r="23" spans="1:13" s="39" customFormat="1">
      <c r="A23" s="19"/>
      <c r="B23" s="34"/>
      <c r="C23" s="31"/>
      <c r="D23" s="33"/>
      <c r="E23" s="17"/>
      <c r="F23" s="35"/>
      <c r="G23" s="23"/>
      <c r="H23" s="24"/>
      <c r="I23" s="25"/>
      <c r="J23" s="25"/>
      <c r="K23" s="25"/>
      <c r="L23" s="12">
        <f t="shared" si="6"/>
        <v>0</v>
      </c>
      <c r="M23" s="13" t="e">
        <f t="shared" si="7"/>
        <v>#DIV/0!</v>
      </c>
    </row>
    <row r="24" spans="1:13" s="39" customFormat="1">
      <c r="A24" s="19"/>
      <c r="B24" s="35"/>
      <c r="C24" s="31"/>
      <c r="D24" s="33"/>
      <c r="E24" s="17"/>
      <c r="F24" s="35"/>
      <c r="G24" s="23"/>
      <c r="H24" s="24"/>
      <c r="I24" s="25"/>
      <c r="J24" s="25"/>
      <c r="K24" s="25"/>
      <c r="L24" s="12">
        <f t="shared" si="6"/>
        <v>0</v>
      </c>
      <c r="M24" s="13" t="e">
        <f t="shared" si="7"/>
        <v>#DIV/0!</v>
      </c>
    </row>
    <row r="25" spans="1:13" s="39" customFormat="1">
      <c r="A25" s="19"/>
      <c r="B25" s="27" t="s">
        <v>40</v>
      </c>
      <c r="C25" s="28" t="s">
        <v>41</v>
      </c>
      <c r="D25" s="29" t="s">
        <v>42</v>
      </c>
      <c r="E25" s="27" t="s">
        <v>43</v>
      </c>
      <c r="F25" s="27" t="s">
        <v>10</v>
      </c>
      <c r="G25" s="23"/>
      <c r="H25" s="24"/>
      <c r="I25" s="25"/>
      <c r="J25" s="25"/>
      <c r="K25" s="25"/>
      <c r="L25" s="25"/>
      <c r="M25" s="26"/>
    </row>
    <row r="26" spans="1:13" s="39" customFormat="1">
      <c r="A26" s="19"/>
      <c r="B26" s="30"/>
      <c r="C26" s="31"/>
      <c r="D26" s="32"/>
      <c r="E26" s="42"/>
      <c r="F26" s="30"/>
      <c r="G26" s="23"/>
      <c r="H26" s="24"/>
      <c r="I26" s="25"/>
      <c r="J26" s="25"/>
      <c r="K26" s="25"/>
      <c r="L26" s="12">
        <f t="shared" ref="L26" si="8">SUM(H26:K26)</f>
        <v>0</v>
      </c>
      <c r="M26" s="13" t="e">
        <f t="shared" ref="M26" si="9">+J26/L26</f>
        <v>#DIV/0!</v>
      </c>
    </row>
    <row r="27" spans="1:13" s="39" customFormat="1">
      <c r="A27" s="19"/>
      <c r="B27" s="30"/>
      <c r="C27" s="31"/>
      <c r="D27" s="32"/>
      <c r="E27" s="42"/>
      <c r="F27" s="30"/>
      <c r="G27" s="23"/>
      <c r="H27" s="24"/>
      <c r="I27" s="25"/>
      <c r="J27" s="25"/>
      <c r="K27" s="25"/>
      <c r="L27" s="12">
        <f t="shared" ref="L27:L34" si="10">SUM(H27:K27)</f>
        <v>0</v>
      </c>
      <c r="M27" s="13" t="e">
        <f t="shared" ref="M27:M34" si="11">+J27/L27</f>
        <v>#DIV/0!</v>
      </c>
    </row>
    <row r="28" spans="1:13" s="39" customFormat="1">
      <c r="A28" s="19"/>
      <c r="B28" s="30"/>
      <c r="C28" s="31"/>
      <c r="D28" s="32"/>
      <c r="E28" s="42"/>
      <c r="F28" s="30"/>
      <c r="G28" s="23"/>
      <c r="H28" s="24"/>
      <c r="I28" s="25"/>
      <c r="J28" s="25"/>
      <c r="K28" s="25"/>
      <c r="L28" s="12">
        <f t="shared" si="10"/>
        <v>0</v>
      </c>
      <c r="M28" s="13" t="e">
        <f t="shared" si="11"/>
        <v>#DIV/0!</v>
      </c>
    </row>
    <row r="29" spans="1:13" s="39" customFormat="1">
      <c r="A29" s="19"/>
      <c r="B29" s="30"/>
      <c r="C29" s="31"/>
      <c r="D29" s="32"/>
      <c r="E29" s="42"/>
      <c r="F29" s="30"/>
      <c r="G29" s="23"/>
      <c r="H29" s="24"/>
      <c r="I29" s="25"/>
      <c r="J29" s="25"/>
      <c r="K29" s="25"/>
      <c r="L29" s="12">
        <f t="shared" si="10"/>
        <v>0</v>
      </c>
      <c r="M29" s="13" t="e">
        <f t="shared" si="11"/>
        <v>#DIV/0!</v>
      </c>
    </row>
    <row r="30" spans="1:13" s="39" customFormat="1">
      <c r="A30" s="19"/>
      <c r="B30" s="30"/>
      <c r="C30" s="31"/>
      <c r="D30" s="32"/>
      <c r="E30" s="42"/>
      <c r="F30" s="30"/>
      <c r="G30" s="23"/>
      <c r="H30" s="24"/>
      <c r="I30" s="25"/>
      <c r="J30" s="25"/>
      <c r="K30" s="25"/>
      <c r="L30" s="12">
        <f t="shared" si="10"/>
        <v>0</v>
      </c>
      <c r="M30" s="13" t="e">
        <f t="shared" si="11"/>
        <v>#DIV/0!</v>
      </c>
    </row>
    <row r="31" spans="1:13" s="39" customFormat="1">
      <c r="A31" s="19"/>
      <c r="B31" s="30"/>
      <c r="C31" s="31"/>
      <c r="D31" s="32"/>
      <c r="E31" s="42"/>
      <c r="F31" s="30"/>
      <c r="G31" s="23"/>
      <c r="H31" s="24"/>
      <c r="I31" s="25"/>
      <c r="J31" s="25"/>
      <c r="K31" s="25"/>
      <c r="L31" s="12">
        <f t="shared" si="10"/>
        <v>0</v>
      </c>
      <c r="M31" s="13" t="e">
        <f t="shared" si="11"/>
        <v>#DIV/0!</v>
      </c>
    </row>
    <row r="32" spans="1:13" s="39" customFormat="1">
      <c r="A32" s="19"/>
      <c r="B32" s="30"/>
      <c r="C32" s="31"/>
      <c r="D32" s="32"/>
      <c r="E32" s="49"/>
      <c r="F32" s="30"/>
      <c r="G32" s="23"/>
      <c r="H32" s="24"/>
      <c r="I32" s="25"/>
      <c r="J32" s="25"/>
      <c r="K32" s="25"/>
      <c r="L32" s="12">
        <f t="shared" si="10"/>
        <v>0</v>
      </c>
      <c r="M32" s="13" t="e">
        <f t="shared" si="11"/>
        <v>#DIV/0!</v>
      </c>
    </row>
    <row r="33" spans="1:13" s="39" customFormat="1">
      <c r="A33" s="19"/>
      <c r="B33" s="30"/>
      <c r="C33" s="31"/>
      <c r="D33" s="32"/>
      <c r="E33" s="43"/>
      <c r="F33" s="30"/>
      <c r="G33" s="23"/>
      <c r="H33" s="24"/>
      <c r="I33" s="25"/>
      <c r="J33" s="25"/>
      <c r="K33" s="25"/>
      <c r="L33" s="12">
        <f t="shared" si="10"/>
        <v>0</v>
      </c>
      <c r="M33" s="13" t="e">
        <f t="shared" si="11"/>
        <v>#DIV/0!</v>
      </c>
    </row>
    <row r="34" spans="1:13" s="39" customFormat="1">
      <c r="A34" s="19"/>
      <c r="B34" s="30"/>
      <c r="C34" s="31"/>
      <c r="D34" s="32"/>
      <c r="E34" s="43"/>
      <c r="F34" s="30"/>
      <c r="G34" s="23"/>
      <c r="H34" s="40"/>
      <c r="I34" s="25"/>
      <c r="J34" s="25"/>
      <c r="K34" s="25"/>
      <c r="L34" s="12">
        <f t="shared" si="10"/>
        <v>0</v>
      </c>
      <c r="M34" s="13" t="e">
        <f t="shared" si="11"/>
        <v>#DIV/0!</v>
      </c>
    </row>
  </sheetData>
  <dataValidations count="2">
    <dataValidation type="list" allowBlank="1" showInputMessage="1" showErrorMessage="1" sqref="G14:G15 G25 G2:G4" xr:uid="{5EA24EB8-0ACA-4214-82F0-B9C5EC5253F0}">
      <formula1>#REF!</formula1>
    </dataValidation>
    <dataValidation type="list" allowBlank="1" showInputMessage="1" showErrorMessage="1" sqref="G5:G13 G26:G34 G15:G24" xr:uid="{E7ED550E-762E-4181-BF80-AB13CB9F722A}">
      <formula1>$O$2:$O$5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X56"/>
  <sheetViews>
    <sheetView tabSelected="1" topLeftCell="C1" zoomScale="92" zoomScaleNormal="92" workbookViewId="0">
      <selection activeCell="J51" sqref="J51"/>
    </sheetView>
  </sheetViews>
  <sheetFormatPr defaultColWidth="11.42578125" defaultRowHeight="14.45"/>
  <cols>
    <col min="1" max="1" width="9.140625" bestFit="1" customWidth="1"/>
    <col min="2" max="2" width="7.85546875" bestFit="1" customWidth="1"/>
    <col min="3" max="3" width="37.85546875" customWidth="1"/>
    <col min="4" max="4" width="9.85546875" bestFit="1" customWidth="1"/>
    <col min="5" max="5" width="40.42578125" bestFit="1" customWidth="1"/>
    <col min="6" max="6" width="12.5703125" bestFit="1" customWidth="1"/>
    <col min="7" max="7" width="17.42578125" customWidth="1"/>
    <col min="8" max="8" width="14.5703125" customWidth="1"/>
    <col min="9" max="9" width="11.85546875" bestFit="1" customWidth="1"/>
    <col min="10" max="10" width="16.140625" customWidth="1"/>
    <col min="11" max="11" width="13.28515625" customWidth="1"/>
    <col min="12" max="12" width="13.5703125" bestFit="1" customWidth="1"/>
    <col min="13" max="13" width="19.140625" customWidth="1"/>
    <col min="14" max="14" width="19.85546875" bestFit="1" customWidth="1"/>
    <col min="15" max="15" width="13.28515625" customWidth="1"/>
    <col min="16" max="16" width="3.42578125" bestFit="1" customWidth="1"/>
  </cols>
  <sheetData>
    <row r="1" spans="1:24" ht="43.5">
      <c r="A1" s="61" t="s">
        <v>12</v>
      </c>
      <c r="B1" s="62" t="s">
        <v>13</v>
      </c>
      <c r="C1" s="63" t="s">
        <v>14</v>
      </c>
      <c r="D1" s="62" t="s">
        <v>15</v>
      </c>
      <c r="E1" s="62" t="s">
        <v>16</v>
      </c>
      <c r="F1" s="62" t="s">
        <v>0</v>
      </c>
      <c r="G1" s="62"/>
      <c r="H1" s="64" t="s">
        <v>17</v>
      </c>
      <c r="I1" s="64" t="s">
        <v>18</v>
      </c>
      <c r="J1" s="64" t="s">
        <v>19</v>
      </c>
      <c r="K1" s="64" t="s">
        <v>20</v>
      </c>
      <c r="L1" s="64" t="s">
        <v>21</v>
      </c>
      <c r="M1" s="64" t="s">
        <v>44</v>
      </c>
      <c r="N1" s="65" t="s">
        <v>22</v>
      </c>
      <c r="O1" s="65" t="s">
        <v>23</v>
      </c>
      <c r="Q1" s="97"/>
      <c r="R1" s="97"/>
      <c r="S1" s="97"/>
      <c r="T1" s="97"/>
      <c r="U1" s="97"/>
      <c r="V1" s="97"/>
      <c r="W1" s="97"/>
      <c r="X1" s="97"/>
    </row>
    <row r="2" spans="1:24" s="39" customFormat="1" hidden="1">
      <c r="A2" s="14"/>
      <c r="B2" s="76" t="s">
        <v>45</v>
      </c>
      <c r="C2" s="77" t="s">
        <v>46</v>
      </c>
      <c r="D2" s="78" t="s">
        <v>47</v>
      </c>
      <c r="E2" s="76" t="s">
        <v>48</v>
      </c>
      <c r="F2" s="76" t="s">
        <v>8</v>
      </c>
      <c r="G2" s="76"/>
      <c r="H2" s="7"/>
      <c r="I2" s="8"/>
      <c r="J2" s="9"/>
      <c r="K2" s="9"/>
      <c r="L2" s="9"/>
      <c r="M2" s="9"/>
      <c r="N2" s="9"/>
      <c r="O2" s="12"/>
      <c r="P2"/>
      <c r="Q2" s="57"/>
      <c r="R2" s="57"/>
      <c r="S2" s="57"/>
      <c r="T2" s="57"/>
      <c r="U2" s="57"/>
      <c r="V2" s="57"/>
      <c r="W2" s="57"/>
      <c r="X2" s="57"/>
    </row>
    <row r="3" spans="1:24" s="39" customFormat="1" hidden="1">
      <c r="A3" s="14"/>
      <c r="B3" s="79" t="s">
        <v>49</v>
      </c>
      <c r="C3" s="80" t="s">
        <v>50</v>
      </c>
      <c r="D3" s="81" t="s">
        <v>51</v>
      </c>
      <c r="E3" s="79" t="s">
        <v>52</v>
      </c>
      <c r="F3" s="79" t="s">
        <v>10</v>
      </c>
      <c r="G3" s="79"/>
      <c r="H3" s="7"/>
      <c r="I3" s="8"/>
      <c r="J3" s="9"/>
      <c r="K3" s="9"/>
      <c r="L3" s="9"/>
      <c r="M3" s="9"/>
      <c r="N3" s="12"/>
      <c r="O3" s="13"/>
      <c r="P3"/>
      <c r="Q3" s="57"/>
      <c r="R3" s="57"/>
      <c r="S3" s="57"/>
      <c r="T3" s="57"/>
      <c r="U3" s="57"/>
      <c r="V3" s="57"/>
      <c r="W3" s="57"/>
      <c r="X3" s="57"/>
    </row>
    <row r="4" spans="1:24" s="39" customFormat="1" hidden="1">
      <c r="A4" s="14"/>
      <c r="B4" s="16" t="s">
        <v>49</v>
      </c>
      <c r="C4" s="9"/>
      <c r="D4" s="66" t="s">
        <v>53</v>
      </c>
      <c r="E4" s="98" t="s">
        <v>54</v>
      </c>
      <c r="F4" s="99" t="s">
        <v>55</v>
      </c>
      <c r="G4" s="99"/>
      <c r="H4" s="7"/>
      <c r="I4" s="8"/>
      <c r="J4" s="9"/>
      <c r="K4" s="8"/>
      <c r="L4" s="8"/>
      <c r="M4" s="8"/>
      <c r="N4" s="12">
        <f t="shared" ref="N4:N10" si="0">SUM(I4:L4)</f>
        <v>0</v>
      </c>
      <c r="O4" s="13" t="e">
        <f t="shared" ref="O4:O36" si="1">+K4/N4</f>
        <v>#DIV/0!</v>
      </c>
      <c r="P4"/>
      <c r="Q4" s="57"/>
      <c r="R4" s="57"/>
      <c r="S4" s="57"/>
      <c r="T4" s="57"/>
      <c r="U4" s="57"/>
      <c r="V4" s="57"/>
      <c r="W4" s="57"/>
      <c r="X4" s="57"/>
    </row>
    <row r="5" spans="1:24" s="39" customFormat="1" hidden="1">
      <c r="A5" s="14"/>
      <c r="B5" s="16" t="s">
        <v>49</v>
      </c>
      <c r="C5" s="9"/>
      <c r="D5" s="66" t="s">
        <v>56</v>
      </c>
      <c r="E5" s="98" t="s">
        <v>57</v>
      </c>
      <c r="F5" s="99" t="s">
        <v>55</v>
      </c>
      <c r="G5" s="99"/>
      <c r="H5" s="7"/>
      <c r="I5" s="8"/>
      <c r="J5" s="9"/>
      <c r="K5" s="8"/>
      <c r="L5" s="8"/>
      <c r="M5" s="8"/>
      <c r="N5" s="12">
        <f t="shared" si="0"/>
        <v>0</v>
      </c>
      <c r="O5" s="13" t="e">
        <f t="shared" si="1"/>
        <v>#DIV/0!</v>
      </c>
      <c r="P5"/>
      <c r="Q5" s="57"/>
      <c r="R5" s="57"/>
      <c r="S5" s="57"/>
      <c r="T5" s="57"/>
      <c r="U5" s="57"/>
      <c r="V5" s="57"/>
      <c r="W5" s="57"/>
      <c r="X5" s="57"/>
    </row>
    <row r="6" spans="1:24" s="39" customFormat="1" ht="15" hidden="1" customHeight="1">
      <c r="A6" s="14"/>
      <c r="B6" s="16" t="s">
        <v>49</v>
      </c>
      <c r="C6" s="9"/>
      <c r="D6" s="66" t="s">
        <v>58</v>
      </c>
      <c r="E6" s="98" t="s">
        <v>59</v>
      </c>
      <c r="F6" s="99" t="s">
        <v>55</v>
      </c>
      <c r="G6" s="99"/>
      <c r="H6" s="7"/>
      <c r="I6" s="8"/>
      <c r="J6" s="9"/>
      <c r="K6" s="8"/>
      <c r="L6" s="8"/>
      <c r="M6" s="8"/>
      <c r="N6" s="12">
        <f t="shared" si="0"/>
        <v>0</v>
      </c>
      <c r="O6" s="13" t="e">
        <f t="shared" si="1"/>
        <v>#DIV/0!</v>
      </c>
      <c r="P6"/>
      <c r="Q6" s="57"/>
      <c r="R6" s="57"/>
      <c r="S6" s="57"/>
      <c r="T6" s="57"/>
      <c r="U6" s="57"/>
      <c r="V6" s="57"/>
      <c r="W6" s="57"/>
      <c r="X6" s="57"/>
    </row>
    <row r="7" spans="1:24" s="39" customFormat="1" hidden="1">
      <c r="A7" s="14"/>
      <c r="B7" s="16" t="s">
        <v>49</v>
      </c>
      <c r="C7" s="9"/>
      <c r="D7" s="66" t="s">
        <v>60</v>
      </c>
      <c r="E7" s="98" t="s">
        <v>61</v>
      </c>
      <c r="F7" s="99" t="s">
        <v>62</v>
      </c>
      <c r="G7" s="99"/>
      <c r="H7" s="7"/>
      <c r="I7" s="8"/>
      <c r="J7" s="9"/>
      <c r="K7" s="8"/>
      <c r="L7" s="8"/>
      <c r="M7" s="8"/>
      <c r="N7" s="12">
        <f t="shared" si="0"/>
        <v>0</v>
      </c>
      <c r="O7" s="13" t="e">
        <f t="shared" si="1"/>
        <v>#DIV/0!</v>
      </c>
      <c r="P7"/>
      <c r="Q7" s="57"/>
      <c r="R7" s="57"/>
      <c r="S7" s="57"/>
      <c r="T7" s="57"/>
      <c r="U7" s="57"/>
      <c r="V7" s="57"/>
      <c r="W7" s="57"/>
      <c r="X7" s="57"/>
    </row>
    <row r="8" spans="1:24" s="39" customFormat="1" hidden="1">
      <c r="A8" s="14"/>
      <c r="B8" s="16" t="s">
        <v>49</v>
      </c>
      <c r="C8" s="9"/>
      <c r="D8" s="66" t="s">
        <v>63</v>
      </c>
      <c r="E8" s="98" t="s">
        <v>64</v>
      </c>
      <c r="F8" s="99" t="s">
        <v>62</v>
      </c>
      <c r="G8" s="99"/>
      <c r="H8" s="7"/>
      <c r="I8" s="8"/>
      <c r="J8" s="9"/>
      <c r="K8" s="8"/>
      <c r="L8" s="8"/>
      <c r="M8" s="8"/>
      <c r="N8" s="12">
        <f t="shared" si="0"/>
        <v>0</v>
      </c>
      <c r="O8" s="13" t="e">
        <f t="shared" si="1"/>
        <v>#DIV/0!</v>
      </c>
      <c r="P8"/>
      <c r="Q8" s="57"/>
      <c r="R8" s="57"/>
      <c r="S8" s="57"/>
      <c r="T8" s="57"/>
      <c r="U8" s="57"/>
      <c r="V8" s="57"/>
      <c r="W8" s="57"/>
      <c r="X8" s="57"/>
    </row>
    <row r="9" spans="1:24" s="39" customFormat="1" hidden="1">
      <c r="A9" s="14"/>
      <c r="B9" s="16" t="s">
        <v>49</v>
      </c>
      <c r="C9" s="9"/>
      <c r="D9" s="66" t="s">
        <v>65</v>
      </c>
      <c r="E9" s="98" t="s">
        <v>66</v>
      </c>
      <c r="F9" s="99" t="s">
        <v>55</v>
      </c>
      <c r="G9" s="99"/>
      <c r="H9" s="7"/>
      <c r="I9" s="8"/>
      <c r="J9" s="9"/>
      <c r="K9" s="8"/>
      <c r="L9" s="8"/>
      <c r="M9" s="8"/>
      <c r="N9" s="12">
        <f t="shared" si="0"/>
        <v>0</v>
      </c>
      <c r="O9" s="13" t="e">
        <f t="shared" si="1"/>
        <v>#DIV/0!</v>
      </c>
      <c r="P9"/>
      <c r="Q9" s="57"/>
      <c r="R9" s="57"/>
      <c r="S9" s="57"/>
      <c r="T9" s="57"/>
      <c r="U9" s="57"/>
      <c r="V9" s="57"/>
      <c r="W9" s="57"/>
      <c r="X9" s="57"/>
    </row>
    <row r="10" spans="1:24" s="39" customFormat="1" ht="15" hidden="1" customHeight="1">
      <c r="A10" s="14"/>
      <c r="B10" s="16" t="s">
        <v>49</v>
      </c>
      <c r="C10" s="9"/>
      <c r="D10" s="66" t="s">
        <v>67</v>
      </c>
      <c r="E10" s="98" t="s">
        <v>68</v>
      </c>
      <c r="F10" s="99" t="s">
        <v>69</v>
      </c>
      <c r="G10" s="99"/>
      <c r="H10" s="7"/>
      <c r="I10" s="8"/>
      <c r="J10" s="9"/>
      <c r="K10" s="8"/>
      <c r="L10" s="8"/>
      <c r="M10" s="8"/>
      <c r="N10" s="12">
        <f t="shared" si="0"/>
        <v>0</v>
      </c>
      <c r="O10" s="13" t="e">
        <f t="shared" si="1"/>
        <v>#DIV/0!</v>
      </c>
      <c r="P10"/>
      <c r="Q10" s="57"/>
      <c r="R10" s="57"/>
      <c r="S10" s="57"/>
      <c r="T10" s="57"/>
      <c r="U10" s="57"/>
      <c r="V10" s="57"/>
      <c r="W10" s="57"/>
      <c r="X10" s="57"/>
    </row>
    <row r="11" spans="1:24" s="39" customFormat="1" ht="15" hidden="1" customHeight="1">
      <c r="A11" s="14"/>
      <c r="B11" s="16" t="s">
        <v>49</v>
      </c>
      <c r="C11" s="9"/>
      <c r="D11" s="66" t="s">
        <v>70</v>
      </c>
      <c r="E11" s="98" t="s">
        <v>71</v>
      </c>
      <c r="F11" s="99" t="s">
        <v>62</v>
      </c>
      <c r="G11" s="99"/>
      <c r="H11" s="7"/>
      <c r="I11" s="8"/>
      <c r="J11" s="9"/>
      <c r="K11" s="8"/>
      <c r="L11" s="8"/>
      <c r="M11" s="8"/>
      <c r="N11" s="12"/>
      <c r="O11" s="13"/>
      <c r="P11"/>
      <c r="Q11" s="57"/>
      <c r="R11" s="57"/>
      <c r="S11" s="57"/>
      <c r="T11" s="57"/>
      <c r="U11" s="57"/>
      <c r="V11" s="57"/>
      <c r="W11" s="57"/>
      <c r="X11" s="57"/>
    </row>
    <row r="12" spans="1:24" s="39" customFormat="1" ht="15" hidden="1" customHeight="1">
      <c r="A12" s="14"/>
      <c r="B12" s="16" t="s">
        <v>49</v>
      </c>
      <c r="C12" s="9"/>
      <c r="D12" s="66" t="s">
        <v>72</v>
      </c>
      <c r="E12" s="98" t="s">
        <v>73</v>
      </c>
      <c r="F12" s="99" t="s">
        <v>62</v>
      </c>
      <c r="G12" s="99"/>
      <c r="H12" s="7"/>
      <c r="I12" s="8"/>
      <c r="J12" s="9"/>
      <c r="K12" s="8"/>
      <c r="L12" s="8"/>
      <c r="M12" s="8"/>
      <c r="N12" s="12"/>
      <c r="O12" s="13"/>
      <c r="P12"/>
      <c r="Q12" s="57"/>
      <c r="R12" s="57"/>
      <c r="S12" s="57"/>
      <c r="T12" s="57"/>
      <c r="U12" s="57"/>
      <c r="V12" s="57"/>
      <c r="W12" s="57"/>
      <c r="X12" s="57"/>
    </row>
    <row r="13" spans="1:24" s="39" customFormat="1" ht="15" hidden="1" customHeight="1">
      <c r="A13" s="14"/>
      <c r="B13" s="16" t="s">
        <v>49</v>
      </c>
      <c r="C13" s="9"/>
      <c r="D13" s="66" t="s">
        <v>74</v>
      </c>
      <c r="E13" s="98" t="s">
        <v>75</v>
      </c>
      <c r="F13" s="99" t="s">
        <v>69</v>
      </c>
      <c r="G13" s="99"/>
      <c r="H13" s="7"/>
      <c r="I13" s="8"/>
      <c r="J13" s="9"/>
      <c r="K13" s="8"/>
      <c r="L13" s="8"/>
      <c r="M13" s="8"/>
      <c r="N13" s="12"/>
      <c r="O13" s="13"/>
      <c r="P13"/>
      <c r="Q13" s="57"/>
      <c r="R13" s="57"/>
      <c r="S13" s="57"/>
      <c r="T13" s="57"/>
      <c r="U13" s="57"/>
      <c r="V13" s="57"/>
      <c r="W13" s="57"/>
      <c r="X13" s="57"/>
    </row>
    <row r="14" spans="1:24" s="39" customFormat="1" ht="15" hidden="1" customHeight="1">
      <c r="A14" s="14"/>
      <c r="B14" s="82" t="s">
        <v>76</v>
      </c>
      <c r="C14" s="83"/>
      <c r="D14" s="67" t="s">
        <v>77</v>
      </c>
      <c r="E14" s="68" t="s">
        <v>78</v>
      </c>
      <c r="F14" s="69" t="s">
        <v>55</v>
      </c>
      <c r="G14" s="69"/>
      <c r="H14" s="83"/>
      <c r="I14" s="84"/>
      <c r="J14" s="82"/>
      <c r="K14" s="82"/>
      <c r="L14" s="82"/>
      <c r="M14" s="82"/>
      <c r="N14" s="50">
        <f>SUM(I14:L14)</f>
        <v>0</v>
      </c>
      <c r="O14" s="51" t="e">
        <f t="shared" ref="O14" si="2">+K14/N14</f>
        <v>#DIV/0!</v>
      </c>
      <c r="P14"/>
      <c r="Q14" s="57"/>
      <c r="R14" s="57"/>
      <c r="S14" s="57"/>
      <c r="T14" s="57"/>
      <c r="U14" s="57"/>
      <c r="V14" s="57"/>
      <c r="W14" s="57"/>
      <c r="X14" s="57"/>
    </row>
    <row r="15" spans="1:24" s="39" customFormat="1" hidden="1">
      <c r="A15" s="14"/>
      <c r="B15" s="79" t="s">
        <v>79</v>
      </c>
      <c r="C15" s="80" t="s">
        <v>80</v>
      </c>
      <c r="D15" s="81" t="s">
        <v>81</v>
      </c>
      <c r="E15" s="79" t="s">
        <v>82</v>
      </c>
      <c r="F15" s="79" t="s">
        <v>10</v>
      </c>
      <c r="G15" s="79"/>
      <c r="H15" s="7"/>
      <c r="I15" s="8"/>
      <c r="J15" s="9"/>
      <c r="K15" s="18"/>
      <c r="L15" s="18"/>
      <c r="M15" s="18"/>
      <c r="N15" s="12"/>
      <c r="O15" s="13"/>
      <c r="P15"/>
      <c r="Q15" s="57"/>
      <c r="R15" s="57"/>
      <c r="S15" s="57"/>
      <c r="T15" s="57"/>
      <c r="U15" s="57"/>
      <c r="V15" s="57"/>
      <c r="W15" s="57"/>
      <c r="X15" s="57"/>
    </row>
    <row r="16" spans="1:24" s="39" customFormat="1" hidden="1">
      <c r="A16" s="14"/>
      <c r="B16" s="16" t="s">
        <v>79</v>
      </c>
      <c r="C16" s="15"/>
      <c r="D16" s="66" t="s">
        <v>83</v>
      </c>
      <c r="E16" s="98" t="s">
        <v>84</v>
      </c>
      <c r="F16" s="99" t="s">
        <v>55</v>
      </c>
      <c r="G16" s="99"/>
      <c r="H16" s="7"/>
      <c r="I16" s="8"/>
      <c r="J16" s="9"/>
      <c r="K16" s="18"/>
      <c r="L16" s="18"/>
      <c r="M16" s="18"/>
      <c r="N16" s="12">
        <f t="shared" ref="N16:N25" si="3">SUM(I16:L16)</f>
        <v>0</v>
      </c>
      <c r="O16" s="13" t="e">
        <f t="shared" si="1"/>
        <v>#DIV/0!</v>
      </c>
      <c r="P16"/>
      <c r="Q16" s="57"/>
      <c r="R16" s="57"/>
      <c r="S16" s="57"/>
      <c r="T16" s="57"/>
      <c r="U16" s="57"/>
      <c r="V16" s="57"/>
      <c r="W16" s="57"/>
      <c r="X16" s="57"/>
    </row>
    <row r="17" spans="1:24" s="39" customFormat="1" hidden="1">
      <c r="A17" s="14"/>
      <c r="B17" s="16" t="s">
        <v>79</v>
      </c>
      <c r="C17" s="15"/>
      <c r="D17" s="66" t="s">
        <v>85</v>
      </c>
      <c r="E17" s="98" t="s">
        <v>86</v>
      </c>
      <c r="F17" s="99" t="s">
        <v>87</v>
      </c>
      <c r="G17" s="99"/>
      <c r="H17" s="7"/>
      <c r="I17" s="8"/>
      <c r="J17" s="9"/>
      <c r="K17" s="18"/>
      <c r="L17" s="18"/>
      <c r="M17" s="18"/>
      <c r="N17" s="12">
        <f t="shared" si="3"/>
        <v>0</v>
      </c>
      <c r="O17" s="13" t="e">
        <f t="shared" si="1"/>
        <v>#DIV/0!</v>
      </c>
      <c r="P17"/>
      <c r="Q17" s="57"/>
      <c r="R17" s="57"/>
      <c r="S17" s="57"/>
      <c r="T17" s="57"/>
      <c r="U17" s="57"/>
      <c r="V17" s="57"/>
      <c r="W17" s="57"/>
      <c r="X17" s="57"/>
    </row>
    <row r="18" spans="1:24" s="39" customFormat="1" hidden="1">
      <c r="A18" s="14"/>
      <c r="B18" s="16" t="s">
        <v>79</v>
      </c>
      <c r="C18" s="15"/>
      <c r="D18" s="66" t="s">
        <v>88</v>
      </c>
      <c r="E18" s="98" t="s">
        <v>89</v>
      </c>
      <c r="F18" s="99" t="s">
        <v>87</v>
      </c>
      <c r="G18" s="99"/>
      <c r="H18" s="7"/>
      <c r="I18" s="8"/>
      <c r="J18" s="9"/>
      <c r="K18" s="18"/>
      <c r="L18" s="18"/>
      <c r="M18" s="18"/>
      <c r="N18" s="12">
        <f t="shared" si="3"/>
        <v>0</v>
      </c>
      <c r="O18" s="13" t="e">
        <f t="shared" si="1"/>
        <v>#DIV/0!</v>
      </c>
      <c r="P18"/>
      <c r="Q18" s="57"/>
      <c r="R18" s="57"/>
      <c r="S18" s="57"/>
      <c r="T18" s="57"/>
      <c r="U18" s="57"/>
      <c r="V18" s="57"/>
      <c r="W18" s="57"/>
      <c r="X18" s="57"/>
    </row>
    <row r="19" spans="1:24" s="39" customFormat="1" hidden="1">
      <c r="A19" s="14"/>
      <c r="B19" s="16" t="s">
        <v>79</v>
      </c>
      <c r="C19" s="15"/>
      <c r="D19" s="66" t="s">
        <v>90</v>
      </c>
      <c r="E19" s="98" t="s">
        <v>91</v>
      </c>
      <c r="F19" s="99" t="s">
        <v>69</v>
      </c>
      <c r="G19" s="99"/>
      <c r="H19" s="7"/>
      <c r="I19" s="8"/>
      <c r="J19" s="9"/>
      <c r="K19" s="18"/>
      <c r="L19" s="18"/>
      <c r="M19" s="18"/>
      <c r="N19" s="12">
        <f t="shared" si="3"/>
        <v>0</v>
      </c>
      <c r="O19" s="13" t="e">
        <f t="shared" si="1"/>
        <v>#DIV/0!</v>
      </c>
      <c r="P19"/>
      <c r="Q19" s="57"/>
      <c r="R19" s="57"/>
      <c r="S19" s="57"/>
      <c r="T19" s="57"/>
      <c r="U19" s="57"/>
      <c r="V19" s="57"/>
      <c r="W19" s="57"/>
      <c r="X19" s="57"/>
    </row>
    <row r="20" spans="1:24" s="39" customFormat="1" hidden="1">
      <c r="A20" s="14"/>
      <c r="B20" s="16" t="s">
        <v>79</v>
      </c>
      <c r="C20" s="15"/>
      <c r="D20" s="66" t="s">
        <v>92</v>
      </c>
      <c r="E20" s="98" t="s">
        <v>93</v>
      </c>
      <c r="F20" s="99" t="s">
        <v>55</v>
      </c>
      <c r="G20" s="99"/>
      <c r="H20" s="7"/>
      <c r="I20" s="8"/>
      <c r="J20" s="9"/>
      <c r="K20" s="8"/>
      <c r="L20" s="8"/>
      <c r="M20" s="8"/>
      <c r="N20" s="12">
        <f t="shared" si="3"/>
        <v>0</v>
      </c>
      <c r="O20" s="13" t="e">
        <f t="shared" si="1"/>
        <v>#DIV/0!</v>
      </c>
      <c r="P20"/>
      <c r="Q20" s="57"/>
      <c r="R20" s="57"/>
      <c r="S20" s="57"/>
      <c r="T20" s="57"/>
      <c r="U20" s="57"/>
      <c r="V20" s="57"/>
      <c r="W20" s="57"/>
      <c r="X20" s="57"/>
    </row>
    <row r="21" spans="1:24" s="39" customFormat="1" hidden="1">
      <c r="A21" s="14"/>
      <c r="B21" s="16" t="s">
        <v>79</v>
      </c>
      <c r="C21" s="15"/>
      <c r="D21" s="66" t="s">
        <v>94</v>
      </c>
      <c r="E21" s="98" t="s">
        <v>95</v>
      </c>
      <c r="F21" s="99" t="s">
        <v>87</v>
      </c>
      <c r="G21" s="99"/>
      <c r="H21" s="7"/>
      <c r="I21" s="8"/>
      <c r="J21" s="9"/>
      <c r="K21" s="18"/>
      <c r="L21" s="18"/>
      <c r="M21" s="18"/>
      <c r="N21" s="12">
        <f t="shared" si="3"/>
        <v>0</v>
      </c>
      <c r="O21" s="13" t="e">
        <f t="shared" si="1"/>
        <v>#DIV/0!</v>
      </c>
      <c r="P21"/>
      <c r="Q21" s="57"/>
      <c r="R21" s="57"/>
      <c r="S21" s="57"/>
      <c r="T21" s="57"/>
      <c r="U21" s="57"/>
      <c r="V21" s="57"/>
      <c r="W21" s="57"/>
      <c r="X21" s="57"/>
    </row>
    <row r="22" spans="1:24" s="39" customFormat="1" hidden="1">
      <c r="A22" s="14"/>
      <c r="B22" s="16" t="s">
        <v>79</v>
      </c>
      <c r="C22" s="15"/>
      <c r="D22" s="66" t="s">
        <v>96</v>
      </c>
      <c r="E22" s="98" t="s">
        <v>97</v>
      </c>
      <c r="F22" s="99" t="s">
        <v>69</v>
      </c>
      <c r="G22" s="99"/>
      <c r="H22" s="7"/>
      <c r="I22" s="8"/>
      <c r="J22" s="9"/>
      <c r="K22" s="8"/>
      <c r="L22" s="8"/>
      <c r="M22" s="8"/>
      <c r="N22" s="12">
        <f t="shared" si="3"/>
        <v>0</v>
      </c>
      <c r="O22" s="13" t="e">
        <f t="shared" si="1"/>
        <v>#DIV/0!</v>
      </c>
      <c r="P22"/>
      <c r="Q22" s="57"/>
      <c r="R22" s="57"/>
      <c r="S22" s="57"/>
      <c r="T22" s="57"/>
      <c r="U22" s="57"/>
      <c r="V22" s="57"/>
      <c r="W22" s="57"/>
      <c r="X22" s="57"/>
    </row>
    <row r="23" spans="1:24" s="39" customFormat="1" hidden="1">
      <c r="A23" s="14"/>
      <c r="B23" s="16" t="s">
        <v>79</v>
      </c>
      <c r="C23" s="15"/>
      <c r="D23" s="66" t="s">
        <v>98</v>
      </c>
      <c r="E23" s="98" t="s">
        <v>99</v>
      </c>
      <c r="F23" s="99" t="s">
        <v>87</v>
      </c>
      <c r="G23" s="99"/>
      <c r="H23" s="7"/>
      <c r="I23" s="8"/>
      <c r="J23" s="9"/>
      <c r="K23" s="8"/>
      <c r="L23" s="8"/>
      <c r="M23" s="8"/>
      <c r="N23" s="12">
        <f t="shared" si="3"/>
        <v>0</v>
      </c>
      <c r="O23" s="13" t="e">
        <f t="shared" si="1"/>
        <v>#DIV/0!</v>
      </c>
      <c r="P23"/>
      <c r="Q23" s="57"/>
      <c r="R23" s="57"/>
      <c r="S23" s="57"/>
      <c r="T23" s="57"/>
      <c r="U23" s="57"/>
      <c r="V23" s="57"/>
      <c r="W23" s="57"/>
      <c r="X23" s="57"/>
    </row>
    <row r="24" spans="1:24" s="39" customFormat="1" hidden="1">
      <c r="A24" s="14"/>
      <c r="B24" s="16" t="s">
        <v>79</v>
      </c>
      <c r="C24" s="15"/>
      <c r="D24" s="66" t="s">
        <v>100</v>
      </c>
      <c r="E24" s="98" t="s">
        <v>101</v>
      </c>
      <c r="F24" s="99" t="s">
        <v>55</v>
      </c>
      <c r="G24" s="99"/>
      <c r="H24" s="7"/>
      <c r="I24" s="8"/>
      <c r="J24" s="9"/>
      <c r="K24" s="8"/>
      <c r="L24" s="8"/>
      <c r="M24" s="8"/>
      <c r="N24" s="12">
        <f t="shared" si="3"/>
        <v>0</v>
      </c>
      <c r="O24" s="13" t="e">
        <f t="shared" si="1"/>
        <v>#DIV/0!</v>
      </c>
      <c r="P24"/>
      <c r="Q24" s="57"/>
      <c r="R24" s="57"/>
      <c r="S24" s="57"/>
      <c r="T24" s="57"/>
      <c r="U24" s="57"/>
      <c r="V24" s="57"/>
      <c r="W24" s="57"/>
      <c r="X24" s="57"/>
    </row>
    <row r="25" spans="1:24" s="39" customFormat="1" hidden="1">
      <c r="A25" s="14"/>
      <c r="B25" s="82" t="s">
        <v>76</v>
      </c>
      <c r="C25" s="83"/>
      <c r="D25" s="67" t="s">
        <v>102</v>
      </c>
      <c r="E25" s="68" t="s">
        <v>103</v>
      </c>
      <c r="F25" s="69" t="s">
        <v>55</v>
      </c>
      <c r="G25" s="69"/>
      <c r="H25" s="83"/>
      <c r="I25" s="84"/>
      <c r="J25" s="82"/>
      <c r="K25" s="82"/>
      <c r="L25" s="82"/>
      <c r="M25" s="82"/>
      <c r="N25" s="50">
        <f t="shared" si="3"/>
        <v>0</v>
      </c>
      <c r="O25" s="51" t="e">
        <f>+K25/N25</f>
        <v>#DIV/0!</v>
      </c>
      <c r="P25"/>
      <c r="Q25" s="57"/>
      <c r="R25" s="57"/>
      <c r="S25" s="57"/>
      <c r="T25" s="57"/>
      <c r="U25" s="57"/>
      <c r="V25" s="57"/>
      <c r="W25" s="57"/>
      <c r="X25" s="57"/>
    </row>
    <row r="26" spans="1:24" s="39" customFormat="1" hidden="1">
      <c r="A26" s="14"/>
      <c r="B26" s="76" t="s">
        <v>104</v>
      </c>
      <c r="C26" s="77" t="s">
        <v>105</v>
      </c>
      <c r="D26" s="78" t="s">
        <v>106</v>
      </c>
      <c r="E26" s="76" t="s">
        <v>107</v>
      </c>
      <c r="F26" s="76" t="s">
        <v>8</v>
      </c>
      <c r="G26" s="76"/>
      <c r="H26" s="7"/>
      <c r="I26" s="8"/>
      <c r="J26" s="9"/>
      <c r="K26" s="9"/>
      <c r="L26" s="9"/>
      <c r="M26" s="9"/>
      <c r="N26" s="12"/>
      <c r="O26" s="13"/>
      <c r="P26"/>
      <c r="Q26" s="57"/>
      <c r="R26" s="57"/>
      <c r="S26" s="57"/>
      <c r="T26" s="57"/>
      <c r="U26" s="57"/>
      <c r="V26" s="57"/>
      <c r="W26" s="57"/>
      <c r="X26" s="57"/>
    </row>
    <row r="27" spans="1:24" s="39" customFormat="1" hidden="1">
      <c r="A27" s="14"/>
      <c r="B27" s="79" t="s">
        <v>108</v>
      </c>
      <c r="C27" s="80" t="s">
        <v>109</v>
      </c>
      <c r="D27" s="81" t="s">
        <v>110</v>
      </c>
      <c r="E27" s="80" t="s">
        <v>111</v>
      </c>
      <c r="F27" s="79" t="s">
        <v>10</v>
      </c>
      <c r="G27" s="79"/>
      <c r="H27" s="7"/>
      <c r="I27" s="8"/>
      <c r="J27" s="9"/>
      <c r="K27" s="9"/>
      <c r="L27" s="9"/>
      <c r="M27" s="9"/>
      <c r="N27" s="12">
        <f t="shared" ref="N27:N44" si="4">SUM(I27:L27)</f>
        <v>0</v>
      </c>
      <c r="O27" s="13" t="e">
        <f t="shared" si="1"/>
        <v>#DIV/0!</v>
      </c>
      <c r="P27"/>
      <c r="Q27" s="57"/>
      <c r="R27" s="57"/>
      <c r="S27" s="57"/>
      <c r="T27" s="57"/>
      <c r="U27" s="57"/>
      <c r="V27" s="57"/>
      <c r="W27" s="57"/>
      <c r="X27" s="57"/>
    </row>
    <row r="28" spans="1:24" s="39" customFormat="1" hidden="1">
      <c r="A28" s="14"/>
      <c r="B28" s="16"/>
      <c r="C28" s="15"/>
      <c r="D28" s="70" t="s">
        <v>112</v>
      </c>
      <c r="E28" s="98" t="s">
        <v>113</v>
      </c>
      <c r="F28" s="99" t="s">
        <v>69</v>
      </c>
      <c r="G28" s="99"/>
      <c r="H28" s="7"/>
      <c r="I28" s="8"/>
      <c r="J28" s="9"/>
      <c r="K28" s="9"/>
      <c r="L28" s="9"/>
      <c r="M28" s="9"/>
      <c r="N28" s="12">
        <f t="shared" si="4"/>
        <v>0</v>
      </c>
      <c r="O28" s="13" t="e">
        <f t="shared" si="1"/>
        <v>#DIV/0!</v>
      </c>
      <c r="P28"/>
      <c r="Q28" s="57"/>
      <c r="R28" s="57"/>
      <c r="S28" s="57"/>
      <c r="T28" s="57"/>
      <c r="U28" s="57"/>
      <c r="V28" s="57"/>
      <c r="W28" s="57"/>
      <c r="X28" s="57"/>
    </row>
    <row r="29" spans="1:24" s="39" customFormat="1" hidden="1">
      <c r="A29" s="14"/>
      <c r="B29" s="16"/>
      <c r="C29" s="15"/>
      <c r="D29" s="70" t="s">
        <v>114</v>
      </c>
      <c r="E29" s="98" t="s">
        <v>115</v>
      </c>
      <c r="F29" s="99" t="s">
        <v>69</v>
      </c>
      <c r="G29" s="99"/>
      <c r="H29" s="7"/>
      <c r="I29" s="8"/>
      <c r="J29" s="9"/>
      <c r="K29" s="9"/>
      <c r="L29" s="9"/>
      <c r="M29" s="9"/>
      <c r="N29" s="12">
        <f t="shared" si="4"/>
        <v>0</v>
      </c>
      <c r="O29" s="13" t="e">
        <f t="shared" si="1"/>
        <v>#DIV/0!</v>
      </c>
      <c r="P29"/>
      <c r="Q29" s="57"/>
      <c r="R29" s="57"/>
      <c r="S29" s="57"/>
      <c r="T29" s="57"/>
      <c r="U29" s="57"/>
      <c r="V29" s="57"/>
      <c r="W29" s="57"/>
      <c r="X29" s="57"/>
    </row>
    <row r="30" spans="1:24" s="39" customFormat="1" hidden="1">
      <c r="A30" s="14"/>
      <c r="B30" s="16"/>
      <c r="C30" s="15"/>
      <c r="D30" s="70" t="s">
        <v>116</v>
      </c>
      <c r="E30" s="98" t="s">
        <v>117</v>
      </c>
      <c r="F30" s="99" t="s">
        <v>69</v>
      </c>
      <c r="G30" s="99"/>
      <c r="H30" s="7"/>
      <c r="I30" s="8"/>
      <c r="J30" s="9"/>
      <c r="K30" s="9"/>
      <c r="L30" s="9"/>
      <c r="M30" s="9"/>
      <c r="N30" s="12">
        <f t="shared" si="4"/>
        <v>0</v>
      </c>
      <c r="O30" s="13" t="e">
        <f t="shared" si="1"/>
        <v>#DIV/0!</v>
      </c>
      <c r="P30"/>
      <c r="Q30" s="57"/>
      <c r="R30" s="57"/>
      <c r="S30" s="57"/>
      <c r="T30" s="57"/>
      <c r="U30" s="57"/>
      <c r="V30" s="57"/>
      <c r="W30" s="57"/>
      <c r="X30" s="57"/>
    </row>
    <row r="31" spans="1:24" s="39" customFormat="1" hidden="1">
      <c r="A31" s="14"/>
      <c r="B31" s="16"/>
      <c r="C31" s="15"/>
      <c r="D31" s="70" t="s">
        <v>118</v>
      </c>
      <c r="E31" s="98" t="s">
        <v>119</v>
      </c>
      <c r="F31" s="99" t="s">
        <v>69</v>
      </c>
      <c r="G31" s="99"/>
      <c r="H31" s="7"/>
      <c r="I31" s="8"/>
      <c r="J31" s="9"/>
      <c r="K31" s="9"/>
      <c r="L31" s="9"/>
      <c r="M31" s="9"/>
      <c r="N31" s="12">
        <f t="shared" si="4"/>
        <v>0</v>
      </c>
      <c r="O31" s="13" t="e">
        <f t="shared" si="1"/>
        <v>#DIV/0!</v>
      </c>
      <c r="P31"/>
      <c r="Q31" s="57"/>
      <c r="R31" s="57"/>
      <c r="S31" s="57"/>
      <c r="T31" s="57"/>
      <c r="U31" s="57"/>
      <c r="V31" s="57"/>
      <c r="W31" s="57"/>
      <c r="X31" s="57"/>
    </row>
    <row r="32" spans="1:24" s="39" customFormat="1" hidden="1">
      <c r="A32" s="14"/>
      <c r="B32" s="16"/>
      <c r="C32" s="15"/>
      <c r="D32" s="70" t="s">
        <v>120</v>
      </c>
      <c r="E32" s="98" t="s">
        <v>121</v>
      </c>
      <c r="F32" s="99" t="s">
        <v>1</v>
      </c>
      <c r="G32" s="99"/>
      <c r="H32" s="7"/>
      <c r="I32" s="8"/>
      <c r="J32" s="9"/>
      <c r="K32" s="9"/>
      <c r="L32" s="9"/>
      <c r="M32" s="9"/>
      <c r="N32" s="12">
        <f t="shared" si="4"/>
        <v>0</v>
      </c>
      <c r="O32" s="13" t="e">
        <f t="shared" si="1"/>
        <v>#DIV/0!</v>
      </c>
      <c r="P32"/>
      <c r="Q32" s="57"/>
      <c r="R32" s="57"/>
      <c r="S32" s="57"/>
      <c r="T32" s="57"/>
      <c r="U32" s="57"/>
      <c r="V32" s="57"/>
      <c r="W32" s="57"/>
      <c r="X32" s="57"/>
    </row>
    <row r="33" spans="1:24" s="39" customFormat="1" hidden="1">
      <c r="A33" s="14"/>
      <c r="B33" s="85"/>
      <c r="C33" s="15"/>
      <c r="D33" s="70" t="s">
        <v>122</v>
      </c>
      <c r="E33" s="98" t="s">
        <v>123</v>
      </c>
      <c r="F33" s="99" t="s">
        <v>55</v>
      </c>
      <c r="G33" s="99"/>
      <c r="H33" s="7"/>
      <c r="I33" s="8"/>
      <c r="J33" s="9"/>
      <c r="K33" s="9"/>
      <c r="L33" s="9"/>
      <c r="M33" s="9"/>
      <c r="N33" s="12">
        <f t="shared" si="4"/>
        <v>0</v>
      </c>
      <c r="O33" s="13" t="e">
        <f t="shared" si="1"/>
        <v>#DIV/0!</v>
      </c>
      <c r="P33"/>
      <c r="Q33" s="57"/>
      <c r="R33" s="57"/>
      <c r="S33" s="57"/>
      <c r="T33" s="57"/>
      <c r="U33" s="57"/>
      <c r="V33" s="57"/>
      <c r="W33" s="57"/>
      <c r="X33" s="57"/>
    </row>
    <row r="34" spans="1:24" s="39" customFormat="1" hidden="1">
      <c r="A34" s="14"/>
      <c r="B34" s="16"/>
      <c r="C34" s="15"/>
      <c r="D34" s="70" t="s">
        <v>124</v>
      </c>
      <c r="E34" s="98" t="s">
        <v>125</v>
      </c>
      <c r="F34" s="99" t="s">
        <v>55</v>
      </c>
      <c r="G34" s="99"/>
      <c r="H34" s="7"/>
      <c r="I34" s="8"/>
      <c r="J34" s="9"/>
      <c r="K34" s="9"/>
      <c r="L34" s="9"/>
      <c r="M34" s="9"/>
      <c r="N34" s="12">
        <f t="shared" si="4"/>
        <v>0</v>
      </c>
      <c r="O34" s="13" t="e">
        <f t="shared" si="1"/>
        <v>#DIV/0!</v>
      </c>
      <c r="P34"/>
      <c r="Q34" s="57"/>
      <c r="R34" s="57"/>
      <c r="S34" s="57"/>
      <c r="T34" s="57"/>
      <c r="U34" s="57"/>
      <c r="V34" s="57"/>
      <c r="W34" s="57"/>
      <c r="X34" s="57"/>
    </row>
    <row r="35" spans="1:24" s="39" customFormat="1" hidden="1">
      <c r="A35" s="14"/>
      <c r="B35" s="16"/>
      <c r="C35" s="15"/>
      <c r="D35" s="70" t="s">
        <v>126</v>
      </c>
      <c r="E35" s="98" t="s">
        <v>127</v>
      </c>
      <c r="F35" s="99" t="s">
        <v>69</v>
      </c>
      <c r="G35" s="99"/>
      <c r="H35" s="7"/>
      <c r="I35" s="8"/>
      <c r="J35" s="9"/>
      <c r="K35" s="9"/>
      <c r="L35" s="9"/>
      <c r="M35" s="9"/>
      <c r="N35" s="12">
        <f t="shared" si="4"/>
        <v>0</v>
      </c>
      <c r="O35" s="13" t="e">
        <f t="shared" si="1"/>
        <v>#DIV/0!</v>
      </c>
      <c r="P35"/>
      <c r="Q35" s="57"/>
      <c r="R35" s="57"/>
      <c r="S35" s="57"/>
      <c r="T35" s="57"/>
      <c r="U35" s="57"/>
      <c r="V35" s="57"/>
      <c r="W35" s="57"/>
      <c r="X35" s="57"/>
    </row>
    <row r="36" spans="1:24" s="39" customFormat="1" hidden="1">
      <c r="A36" s="14"/>
      <c r="B36" s="16"/>
      <c r="C36" s="15"/>
      <c r="D36" s="70" t="s">
        <v>128</v>
      </c>
      <c r="E36" s="98" t="s">
        <v>129</v>
      </c>
      <c r="F36" s="99" t="s">
        <v>130</v>
      </c>
      <c r="G36" s="99"/>
      <c r="H36" s="7"/>
      <c r="I36" s="8"/>
      <c r="J36" s="9"/>
      <c r="K36" s="9"/>
      <c r="L36" s="9"/>
      <c r="M36" s="9"/>
      <c r="N36" s="12">
        <f t="shared" si="4"/>
        <v>0</v>
      </c>
      <c r="O36" s="13" t="e">
        <f t="shared" si="1"/>
        <v>#DIV/0!</v>
      </c>
      <c r="P36"/>
      <c r="Q36" s="57"/>
      <c r="R36" s="57"/>
      <c r="S36" s="57"/>
      <c r="T36" s="57"/>
      <c r="U36" s="57"/>
      <c r="V36" s="57"/>
      <c r="W36" s="57"/>
      <c r="X36" s="57"/>
    </row>
    <row r="37" spans="1:24" hidden="1">
      <c r="A37" s="14"/>
      <c r="B37" s="79" t="s">
        <v>131</v>
      </c>
      <c r="C37" s="80" t="s">
        <v>132</v>
      </c>
      <c r="D37" s="81" t="s">
        <v>133</v>
      </c>
      <c r="E37" s="80" t="s">
        <v>134</v>
      </c>
      <c r="F37" s="79" t="s">
        <v>10</v>
      </c>
      <c r="G37" s="79"/>
      <c r="H37" s="7"/>
      <c r="I37" s="8"/>
      <c r="J37" s="9"/>
      <c r="K37" s="9"/>
      <c r="L37" s="9"/>
      <c r="M37" s="9"/>
      <c r="N37" s="12">
        <f t="shared" si="4"/>
        <v>0</v>
      </c>
      <c r="O37" s="13" t="e">
        <f t="shared" ref="O37:O49" si="5">+K37/N37</f>
        <v>#DIV/0!</v>
      </c>
      <c r="Q37" s="97"/>
      <c r="R37" s="97"/>
      <c r="S37" s="97"/>
      <c r="T37" s="97"/>
      <c r="U37" s="97"/>
      <c r="V37" s="97"/>
      <c r="W37" s="97"/>
      <c r="X37" s="97"/>
    </row>
    <row r="38" spans="1:24" hidden="1">
      <c r="A38" s="14"/>
      <c r="B38" s="16"/>
      <c r="C38" s="15"/>
      <c r="D38" s="70" t="s">
        <v>135</v>
      </c>
      <c r="E38" s="98" t="s">
        <v>136</v>
      </c>
      <c r="F38" s="99" t="s">
        <v>87</v>
      </c>
      <c r="G38" s="99"/>
      <c r="H38" s="7"/>
      <c r="I38" s="8"/>
      <c r="J38" s="9"/>
      <c r="K38" s="9"/>
      <c r="L38" s="9"/>
      <c r="M38" s="9"/>
      <c r="N38" s="12">
        <f t="shared" si="4"/>
        <v>0</v>
      </c>
      <c r="O38" s="13" t="e">
        <f t="shared" si="5"/>
        <v>#DIV/0!</v>
      </c>
      <c r="Q38" s="97"/>
      <c r="R38" s="97"/>
      <c r="S38" s="97"/>
      <c r="T38" s="97"/>
      <c r="U38" s="97"/>
      <c r="V38" s="97"/>
      <c r="W38" s="97"/>
      <c r="X38" s="97"/>
    </row>
    <row r="39" spans="1:24" hidden="1">
      <c r="A39" s="14"/>
      <c r="B39" s="16"/>
      <c r="C39" s="15"/>
      <c r="D39" s="70" t="s">
        <v>137</v>
      </c>
      <c r="E39" s="98" t="s">
        <v>138</v>
      </c>
      <c r="F39" s="99" t="s">
        <v>69</v>
      </c>
      <c r="G39" s="99"/>
      <c r="H39" s="7"/>
      <c r="I39" s="8"/>
      <c r="J39" s="9"/>
      <c r="K39" s="9"/>
      <c r="L39" s="9"/>
      <c r="M39" s="9"/>
      <c r="N39" s="12">
        <f t="shared" si="4"/>
        <v>0</v>
      </c>
      <c r="O39" s="13" t="e">
        <f t="shared" si="5"/>
        <v>#DIV/0!</v>
      </c>
      <c r="Q39" s="97"/>
      <c r="R39" s="97"/>
      <c r="S39" s="97"/>
      <c r="T39" s="97"/>
      <c r="U39" s="97"/>
      <c r="V39" s="97"/>
      <c r="W39" s="97"/>
      <c r="X39" s="97"/>
    </row>
    <row r="40" spans="1:24" hidden="1">
      <c r="A40" s="14"/>
      <c r="B40" s="16"/>
      <c r="C40" s="15"/>
      <c r="D40" s="70" t="s">
        <v>139</v>
      </c>
      <c r="E40" s="98" t="s">
        <v>140</v>
      </c>
      <c r="F40" s="99" t="s">
        <v>87</v>
      </c>
      <c r="G40" s="99"/>
      <c r="H40" s="7"/>
      <c r="I40" s="8"/>
      <c r="J40" s="9"/>
      <c r="K40" s="9"/>
      <c r="L40" s="9"/>
      <c r="M40" s="9"/>
      <c r="N40" s="12">
        <f t="shared" si="4"/>
        <v>0</v>
      </c>
      <c r="O40" s="13" t="e">
        <f t="shared" si="5"/>
        <v>#DIV/0!</v>
      </c>
      <c r="Q40" s="97"/>
      <c r="R40" s="97"/>
      <c r="S40" s="97"/>
      <c r="T40" s="97"/>
      <c r="U40" s="97"/>
      <c r="V40" s="97"/>
      <c r="W40" s="97"/>
      <c r="X40" s="97"/>
    </row>
    <row r="41" spans="1:24" hidden="1">
      <c r="A41" s="14"/>
      <c r="B41" s="16"/>
      <c r="C41" s="15"/>
      <c r="D41" s="70" t="s">
        <v>141</v>
      </c>
      <c r="E41" s="98" t="s">
        <v>142</v>
      </c>
      <c r="F41" s="99" t="s">
        <v>1</v>
      </c>
      <c r="G41" s="99"/>
      <c r="H41" s="7"/>
      <c r="I41" s="8"/>
      <c r="J41" s="9"/>
      <c r="K41" s="9"/>
      <c r="L41" s="9"/>
      <c r="M41" s="9"/>
      <c r="N41" s="12">
        <f t="shared" si="4"/>
        <v>0</v>
      </c>
      <c r="O41" s="13" t="e">
        <f t="shared" si="5"/>
        <v>#DIV/0!</v>
      </c>
      <c r="Q41" s="97"/>
      <c r="R41" s="97"/>
      <c r="S41" s="97"/>
      <c r="T41" s="97"/>
      <c r="U41" s="97"/>
      <c r="V41" s="97"/>
      <c r="W41" s="97"/>
      <c r="X41" s="97"/>
    </row>
    <row r="42" spans="1:24" hidden="1">
      <c r="A42" s="14"/>
      <c r="B42" s="16"/>
      <c r="C42" s="15"/>
      <c r="D42" s="70" t="s">
        <v>143</v>
      </c>
      <c r="E42" s="98" t="s">
        <v>144</v>
      </c>
      <c r="F42" s="99" t="s">
        <v>69</v>
      </c>
      <c r="G42" s="99"/>
      <c r="H42" s="7"/>
      <c r="I42" s="8"/>
      <c r="J42" s="9"/>
      <c r="K42" s="9"/>
      <c r="L42" s="9"/>
      <c r="M42" s="9"/>
      <c r="N42" s="12">
        <f t="shared" si="4"/>
        <v>0</v>
      </c>
      <c r="O42" s="13" t="e">
        <f t="shared" si="5"/>
        <v>#DIV/0!</v>
      </c>
      <c r="Q42" s="97"/>
      <c r="R42" s="97"/>
      <c r="S42" s="97"/>
      <c r="T42" s="97"/>
      <c r="U42" s="97"/>
      <c r="V42" s="97"/>
      <c r="W42" s="97"/>
      <c r="X42" s="97"/>
    </row>
    <row r="43" spans="1:24" hidden="1">
      <c r="A43" s="14"/>
      <c r="B43" s="16"/>
      <c r="C43" s="15"/>
      <c r="D43" s="70" t="s">
        <v>145</v>
      </c>
      <c r="E43" s="98" t="s">
        <v>146</v>
      </c>
      <c r="F43" s="99" t="s">
        <v>62</v>
      </c>
      <c r="G43" s="99"/>
      <c r="H43" s="7"/>
      <c r="I43" s="8"/>
      <c r="J43" s="9"/>
      <c r="K43" s="9"/>
      <c r="L43" s="9"/>
      <c r="M43" s="9"/>
      <c r="N43" s="12">
        <f t="shared" si="4"/>
        <v>0</v>
      </c>
      <c r="O43" s="13" t="e">
        <f t="shared" si="5"/>
        <v>#DIV/0!</v>
      </c>
      <c r="Q43" s="97"/>
      <c r="R43" s="97"/>
      <c r="S43" s="97"/>
      <c r="T43" s="97"/>
      <c r="U43" s="97"/>
      <c r="V43" s="97"/>
      <c r="W43" s="97"/>
      <c r="X43" s="97"/>
    </row>
    <row r="44" spans="1:24" hidden="1">
      <c r="A44" s="14"/>
      <c r="B44" s="16"/>
      <c r="C44" s="15"/>
      <c r="D44" s="70" t="s">
        <v>147</v>
      </c>
      <c r="E44" s="98" t="s">
        <v>148</v>
      </c>
      <c r="F44" s="99" t="s">
        <v>1</v>
      </c>
      <c r="G44" s="99"/>
      <c r="H44" s="7"/>
      <c r="I44" s="8"/>
      <c r="J44" s="9"/>
      <c r="K44" s="9"/>
      <c r="L44" s="9"/>
      <c r="M44" s="9"/>
      <c r="N44" s="12">
        <f t="shared" si="4"/>
        <v>0</v>
      </c>
      <c r="O44" s="13" t="e">
        <f t="shared" si="5"/>
        <v>#DIV/0!</v>
      </c>
      <c r="Q44" s="97"/>
      <c r="R44" s="97"/>
      <c r="S44" s="97"/>
      <c r="T44" s="97"/>
      <c r="U44" s="97"/>
      <c r="V44" s="97"/>
      <c r="W44" s="97"/>
      <c r="X44" s="97"/>
    </row>
    <row r="45" spans="1:24" hidden="1">
      <c r="A45" s="14"/>
      <c r="B45" s="16"/>
      <c r="C45" s="15"/>
      <c r="D45" s="70"/>
      <c r="E45" s="98"/>
      <c r="F45" s="99"/>
      <c r="G45" s="99"/>
      <c r="H45" s="7"/>
      <c r="I45" s="8"/>
      <c r="J45" s="9"/>
      <c r="K45" s="9"/>
      <c r="L45" s="9"/>
      <c r="M45" s="9"/>
      <c r="N45" s="12"/>
      <c r="O45" s="13"/>
      <c r="Q45" s="97"/>
      <c r="R45" s="97"/>
      <c r="S45" s="97"/>
      <c r="T45" s="97"/>
      <c r="U45" s="97"/>
      <c r="V45" s="97"/>
      <c r="W45" s="97"/>
      <c r="X45" s="97"/>
    </row>
    <row r="46" spans="1:24">
      <c r="A46" s="14"/>
      <c r="B46" s="76" t="s">
        <v>149</v>
      </c>
      <c r="C46" s="77" t="s">
        <v>150</v>
      </c>
      <c r="D46" s="78" t="s">
        <v>151</v>
      </c>
      <c r="E46" s="86" t="s">
        <v>152</v>
      </c>
      <c r="F46" s="76" t="s">
        <v>8</v>
      </c>
      <c r="G46" s="87" t="s">
        <v>153</v>
      </c>
      <c r="H46" s="7"/>
      <c r="I46" s="8"/>
      <c r="J46" s="88">
        <v>1</v>
      </c>
      <c r="K46" s="53">
        <v>20</v>
      </c>
      <c r="L46" s="88"/>
      <c r="M46" s="88"/>
      <c r="N46" s="53">
        <v>21</v>
      </c>
      <c r="O46" s="52">
        <f t="shared" si="5"/>
        <v>0.95238095238095233</v>
      </c>
      <c r="Q46" s="97"/>
      <c r="R46" s="97"/>
      <c r="S46" s="97"/>
      <c r="T46" s="97"/>
      <c r="U46" s="97"/>
      <c r="V46" s="97"/>
      <c r="W46" s="97"/>
      <c r="X46" s="97"/>
    </row>
    <row r="47" spans="1:24">
      <c r="A47" s="14"/>
      <c r="B47" s="79" t="s">
        <v>154</v>
      </c>
      <c r="C47" s="80" t="s">
        <v>155</v>
      </c>
      <c r="D47" s="81" t="s">
        <v>106</v>
      </c>
      <c r="E47" s="89" t="s">
        <v>156</v>
      </c>
      <c r="F47" s="90" t="s">
        <v>10</v>
      </c>
      <c r="G47" s="90"/>
      <c r="H47" s="91"/>
      <c r="I47" s="92"/>
      <c r="J47" s="88">
        <v>1</v>
      </c>
      <c r="K47" s="53">
        <v>20</v>
      </c>
      <c r="L47" s="88"/>
      <c r="M47" s="88"/>
      <c r="N47" s="53">
        <v>21</v>
      </c>
      <c r="O47" s="52">
        <f t="shared" si="5"/>
        <v>0.95238095238095233</v>
      </c>
      <c r="Q47" s="97"/>
      <c r="R47" s="97"/>
      <c r="S47" s="97"/>
      <c r="T47" s="97"/>
      <c r="U47" s="97"/>
      <c r="V47" s="97"/>
      <c r="W47" s="97"/>
      <c r="X47" s="97"/>
    </row>
    <row r="48" spans="1:24">
      <c r="A48" s="14"/>
      <c r="B48" s="16"/>
      <c r="C48" s="15"/>
      <c r="D48" s="71" t="s">
        <v>157</v>
      </c>
      <c r="E48" s="72" t="s">
        <v>158</v>
      </c>
      <c r="F48" s="73" t="s">
        <v>62</v>
      </c>
      <c r="G48" s="100">
        <v>95.51</v>
      </c>
      <c r="H48" s="93"/>
      <c r="I48" s="94"/>
      <c r="J48" s="88"/>
      <c r="K48" s="53">
        <v>21</v>
      </c>
      <c r="L48" s="16"/>
      <c r="M48" s="88"/>
      <c r="N48" s="53">
        <v>21</v>
      </c>
      <c r="O48" s="56">
        <f t="shared" si="5"/>
        <v>1</v>
      </c>
      <c r="Q48" s="97"/>
      <c r="R48" s="97"/>
      <c r="S48" s="97"/>
      <c r="T48" s="97"/>
      <c r="U48" s="58"/>
      <c r="V48" s="58"/>
      <c r="W48" s="59"/>
      <c r="X48" s="58"/>
    </row>
    <row r="49" spans="1:24">
      <c r="A49" s="14"/>
      <c r="B49" s="16"/>
      <c r="C49" s="15"/>
      <c r="D49" s="71" t="s">
        <v>159</v>
      </c>
      <c r="E49" s="72" t="s">
        <v>160</v>
      </c>
      <c r="F49" s="73" t="s">
        <v>87</v>
      </c>
      <c r="G49" s="100">
        <v>95.51</v>
      </c>
      <c r="H49" s="93"/>
      <c r="I49" s="94"/>
      <c r="J49" s="101"/>
      <c r="K49" s="53">
        <v>21</v>
      </c>
      <c r="L49" s="16"/>
      <c r="M49" s="88"/>
      <c r="N49" s="53">
        <v>21</v>
      </c>
      <c r="O49" s="56">
        <f t="shared" si="5"/>
        <v>1</v>
      </c>
      <c r="Q49" s="97"/>
      <c r="R49" s="97"/>
      <c r="S49" s="97"/>
      <c r="T49" s="102"/>
      <c r="U49" s="58"/>
      <c r="V49" s="58"/>
      <c r="W49" s="59"/>
      <c r="X49" s="58"/>
    </row>
    <row r="50" spans="1:24">
      <c r="A50" s="14"/>
      <c r="B50" s="16"/>
      <c r="C50" s="15"/>
      <c r="D50" s="71" t="s">
        <v>161</v>
      </c>
      <c r="E50" s="72" t="s">
        <v>162</v>
      </c>
      <c r="F50" s="73" t="s">
        <v>87</v>
      </c>
      <c r="G50" s="100">
        <v>95.51</v>
      </c>
      <c r="H50" s="93"/>
      <c r="I50" s="94"/>
      <c r="J50" s="54"/>
      <c r="K50" s="53">
        <v>20</v>
      </c>
      <c r="L50" s="96">
        <v>1</v>
      </c>
      <c r="M50" s="96"/>
      <c r="N50" s="53">
        <v>21</v>
      </c>
      <c r="O50" s="56">
        <f t="shared" ref="O50:O52" si="6">+K50/N50</f>
        <v>0.95238095238095233</v>
      </c>
      <c r="Q50" s="60"/>
      <c r="R50" s="97"/>
      <c r="S50" s="97"/>
      <c r="T50" s="97"/>
      <c r="U50" s="58"/>
      <c r="V50" s="58"/>
      <c r="W50" s="60"/>
      <c r="X50" s="58"/>
    </row>
    <row r="51" spans="1:24">
      <c r="A51" s="14"/>
      <c r="B51" s="16"/>
      <c r="C51" s="15"/>
      <c r="D51" s="74" t="s">
        <v>163</v>
      </c>
      <c r="E51" s="72" t="s">
        <v>164</v>
      </c>
      <c r="F51" s="73" t="s">
        <v>62</v>
      </c>
      <c r="G51" s="100">
        <v>95.51</v>
      </c>
      <c r="H51" s="93"/>
      <c r="I51" s="94"/>
      <c r="J51" s="96">
        <v>10</v>
      </c>
      <c r="K51" s="53">
        <v>11</v>
      </c>
      <c r="L51" s="10"/>
      <c r="M51" s="96"/>
      <c r="N51" s="53">
        <v>21</v>
      </c>
      <c r="O51" s="56">
        <f t="shared" si="6"/>
        <v>0.52380952380952384</v>
      </c>
      <c r="Q51" s="97"/>
      <c r="R51" s="97"/>
      <c r="S51" s="97"/>
      <c r="T51" s="97"/>
      <c r="U51" s="58"/>
      <c r="V51" s="58"/>
      <c r="W51" s="60"/>
      <c r="X51" s="58"/>
    </row>
    <row r="52" spans="1:24">
      <c r="A52" s="14"/>
      <c r="B52" s="16"/>
      <c r="C52" s="15"/>
      <c r="D52" s="75" t="s">
        <v>165</v>
      </c>
      <c r="E52" s="72" t="s">
        <v>166</v>
      </c>
      <c r="F52" s="73" t="s">
        <v>87</v>
      </c>
      <c r="G52" s="100">
        <v>95.51</v>
      </c>
      <c r="H52" s="93"/>
      <c r="I52" s="94"/>
      <c r="J52" s="101">
        <v>1</v>
      </c>
      <c r="K52" s="53">
        <v>20</v>
      </c>
      <c r="L52" s="10"/>
      <c r="M52" s="96"/>
      <c r="N52" s="53">
        <v>21</v>
      </c>
      <c r="O52" s="56">
        <f t="shared" si="6"/>
        <v>0.95238095238095233</v>
      </c>
      <c r="Q52" s="97"/>
      <c r="R52" s="97"/>
      <c r="S52" s="97"/>
      <c r="T52" s="97"/>
      <c r="U52" s="58"/>
      <c r="V52" s="58"/>
      <c r="W52" s="60"/>
      <c r="X52" s="58"/>
    </row>
    <row r="53" spans="1:24">
      <c r="E53" s="95"/>
      <c r="O53" s="104">
        <f>SUM(O48:O52)</f>
        <v>4.4285714285714288</v>
      </c>
    </row>
    <row r="54" spans="1:24">
      <c r="E54" s="95"/>
    </row>
    <row r="55" spans="1:24">
      <c r="G55" s="55" t="s">
        <v>167</v>
      </c>
      <c r="H55" s="55" t="s">
        <v>23</v>
      </c>
      <c r="I55" s="55" t="s">
        <v>168</v>
      </c>
    </row>
    <row r="56" spans="1:24">
      <c r="G56" s="54">
        <v>423</v>
      </c>
      <c r="H56" s="103">
        <f>O53</f>
        <v>4.4285714285714288</v>
      </c>
      <c r="I56" s="54">
        <f>G56/H56</f>
        <v>95.516129032258064</v>
      </c>
    </row>
  </sheetData>
  <phoneticPr fontId="14" type="noConversion"/>
  <dataValidations count="2">
    <dataValidation type="list" allowBlank="1" showInputMessage="1" showErrorMessage="1" sqref="H4:H14 H16:H52" xr:uid="{4B13DD4D-6258-42FD-A152-E6BFA6BD40A3}">
      <formula1>$R$2:$R$5</formula1>
    </dataValidation>
    <dataValidation type="list" allowBlank="1" showInputMessage="1" showErrorMessage="1" sqref="H2:H3 H15" xr:uid="{93A7DBDF-A939-400E-8FB8-F3824A51DE78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01E67C-EC50-4084-9149-B592D4C2904E}"/>
</file>

<file path=customXml/itemProps2.xml><?xml version="1.0" encoding="utf-8"?>
<ds:datastoreItem xmlns:ds="http://schemas.openxmlformats.org/officeDocument/2006/customXml" ds:itemID="{F9D5E143-BC48-4024-B35E-CCD29AF8E59F}"/>
</file>

<file path=customXml/itemProps3.xml><?xml version="1.0" encoding="utf-8"?>
<ds:datastoreItem xmlns:ds="http://schemas.openxmlformats.org/officeDocument/2006/customXml" ds:itemID="{9CF09800-948B-437C-86F8-C77F0767C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2025-09-03T04:43:11Z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