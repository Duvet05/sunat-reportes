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ATA\Users\vchavezs\Desktop\ADUANA MARÍTIMA CALLAO\INI\GAFA FIN DE MES\Producción marzo 25\"/>
    </mc:Choice>
  </mc:AlternateContent>
  <xr:revisionPtr revIDLastSave="4" documentId="8_{BC7D06B5-2F49-43B5-95ED-456505A938A5}" xr6:coauthVersionLast="47" xr6:coauthVersionMax="47" xr10:uidLastSave="{BC1CAE84-AC94-4585-8EAD-43A47E316938}"/>
  <bookViews>
    <workbookView xWindow="-110" yWindow="-110" windowWidth="19420" windowHeight="10420" tabRatio="790" firstSheet="1" activeTab="1" xr2:uid="{0F01A59B-1C5F-4CB0-B37F-93A0DD64A306}"/>
  </bookViews>
  <sheets>
    <sheet name="LISTA CARGOS" sheetId="2" state="hidden" r:id="rId1"/>
    <sheet name="DCC I Marzo 2025" sheetId="11" r:id="rId2"/>
  </sheets>
  <externalReferences>
    <externalReference r:id="rId3"/>
  </externalReferences>
  <definedNames>
    <definedName name="archivo">#REF!</definedName>
    <definedName name="Correo">#REF!</definedName>
    <definedName name="HabilesAB">'[1]Dias H'!$A$2:$B$4029</definedName>
    <definedName name="HabilesBCDE">'[1]Dias H'!$B$2:$E$4029</definedName>
    <definedName name="Ultimoh2EF">'[1]Dias H'!$E$2:$F$4029</definedName>
    <definedName name="UltimohBCDEF">'[1]Dias H'!$B$2:$F$4029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" i="11" l="1"/>
  <c r="N5" i="11" s="1"/>
  <c r="K14" i="11"/>
  <c r="K13" i="11"/>
  <c r="K8" i="11"/>
  <c r="K20" i="11"/>
  <c r="K22" i="11"/>
  <c r="K6" i="11"/>
  <c r="K17" i="11"/>
  <c r="K11" i="11"/>
  <c r="N11" i="11" s="1"/>
  <c r="K12" i="11"/>
  <c r="K15" i="11"/>
  <c r="K18" i="11"/>
  <c r="K19" i="11"/>
  <c r="K21" i="11"/>
  <c r="N18" i="11" l="1"/>
  <c r="N4" i="11"/>
  <c r="N6" i="11"/>
  <c r="N7" i="11"/>
  <c r="N8" i="11"/>
  <c r="N9" i="11"/>
  <c r="N12" i="11"/>
  <c r="N13" i="11"/>
  <c r="N14" i="11"/>
  <c r="N15" i="11"/>
  <c r="N17" i="11"/>
  <c r="N19" i="11"/>
  <c r="N20" i="11"/>
  <c r="N21" i="11"/>
  <c r="N22" i="11"/>
  <c r="Q10" i="11" l="1"/>
  <c r="Q15" i="11"/>
  <c r="Q22" i="11"/>
  <c r="P22" i="11"/>
  <c r="P15" i="11"/>
  <c r="Q24" i="11" l="1"/>
  <c r="P10" i="11"/>
</calcChain>
</file>

<file path=xl/sharedStrings.xml><?xml version="1.0" encoding="utf-8"?>
<sst xmlns="http://schemas.openxmlformats.org/spreadsheetml/2006/main" count="128" uniqueCount="82">
  <si>
    <t>Cargo</t>
  </si>
  <si>
    <t>CAS</t>
  </si>
  <si>
    <t>ESPECIALISTA 1</t>
  </si>
  <si>
    <t>ESPECIALISTA 2</t>
  </si>
  <si>
    <t>ESPECIALISTA 3</t>
  </si>
  <si>
    <t>ESPECIALISTA 4</t>
  </si>
  <si>
    <t>ESPECIALISTA 5</t>
  </si>
  <si>
    <t xml:space="preserve">GERENTE </t>
  </si>
  <si>
    <t>Jefe de División</t>
  </si>
  <si>
    <t>Monitor</t>
  </si>
  <si>
    <t>Supervisor</t>
  </si>
  <si>
    <t>TÉCNICO 3</t>
  </si>
  <si>
    <t>Nro. De Orden</t>
  </si>
  <si>
    <t>UUOO</t>
  </si>
  <si>
    <t>Gerencia/División/Supervisión</t>
  </si>
  <si>
    <t>Cod Res</t>
  </si>
  <si>
    <t>Apellidos y Nombres</t>
  </si>
  <si>
    <t xml:space="preserve">PROGRAMACION </t>
  </si>
  <si>
    <t>UNIDAD DE APOYO COMPARTIDO</t>
  </si>
  <si>
    <t>TIEMPO DE APOYO (dh)</t>
  </si>
  <si>
    <t>LICENCIA Y/O VACACIONES  (dh)</t>
  </si>
  <si>
    <t>DIAS LABORADOS</t>
  </si>
  <si>
    <t>encargatura de div/supervision</t>
  </si>
  <si>
    <t>Dias hábiles del mes</t>
  </si>
  <si>
    <t>Resolutor efectivo</t>
  </si>
  <si>
    <t>7U7100</t>
  </si>
  <si>
    <t>DIVISION DE CONTROL CONCURRENTE I</t>
  </si>
  <si>
    <t>7580</t>
  </si>
  <si>
    <t>CHAVEZ SILVA VANESA GENOVEVA</t>
  </si>
  <si>
    <t xml:space="preserve">7U7101 </t>
  </si>
  <si>
    <t>DIVSION DE CONTROL CONCURRENTE I-SUP. 1</t>
  </si>
  <si>
    <t>7649</t>
  </si>
  <si>
    <t>CASTRO LAGOS ALLISON ERIKA</t>
  </si>
  <si>
    <t>Linares Alcantara Cesar Victor</t>
  </si>
  <si>
    <t>Especialista 3</t>
  </si>
  <si>
    <t xml:space="preserve">7U7201 </t>
  </si>
  <si>
    <t>DIVSION DE CONTROL CONCURRENTE II-SUP. 1</t>
  </si>
  <si>
    <t>2900</t>
  </si>
  <si>
    <t>Cavero Carrion Carolina Marcela</t>
  </si>
  <si>
    <t>Especialista 4</t>
  </si>
  <si>
    <t>7U7102</t>
  </si>
  <si>
    <t>DIVSION DE CONTROL CONCURRENTE I-SUP. 2</t>
  </si>
  <si>
    <t>3085</t>
  </si>
  <si>
    <t>Cosio Jara Edgar Fernando</t>
  </si>
  <si>
    <t>Especialista 5</t>
  </si>
  <si>
    <t>3284</t>
  </si>
  <si>
    <t>Diaz Jurado Ana Maria</t>
  </si>
  <si>
    <t>Especialista 2</t>
  </si>
  <si>
    <t>5534</t>
  </si>
  <si>
    <t>Sanchez Garrido Celso Felix</t>
  </si>
  <si>
    <t>5565</t>
  </si>
  <si>
    <t>Santa Cruz Martinez Victoria Agustina</t>
  </si>
  <si>
    <t>7625</t>
  </si>
  <si>
    <t>QUEZADA VILLAR TERESITA MILAGROS</t>
  </si>
  <si>
    <t>Jimenez Suclla Hugo Alberto</t>
  </si>
  <si>
    <t>2968</t>
  </si>
  <si>
    <t>Chire Tunque Maria Luisa</t>
  </si>
  <si>
    <t>7U7301</t>
  </si>
  <si>
    <t>DIVSION DE CONTROL POSTERIOR-SUP. 1</t>
  </si>
  <si>
    <t>3977</t>
  </si>
  <si>
    <t>Godoy Escalante William Arnaldo</t>
  </si>
  <si>
    <t>4949</t>
  </si>
  <si>
    <t>Oyarse Cruz Javier Gustavo</t>
  </si>
  <si>
    <t>7324</t>
  </si>
  <si>
    <t>Carbajal Jara Zaira</t>
  </si>
  <si>
    <t>7U7103</t>
  </si>
  <si>
    <t>5569</t>
  </si>
  <si>
    <t>Santillan Valdivia Gladys Angelita</t>
  </si>
  <si>
    <t>Sanchez Torres Jorge Luis</t>
  </si>
  <si>
    <t>2858</t>
  </si>
  <si>
    <t>Castañeda Calderon Julio Ramiro</t>
  </si>
  <si>
    <t>7U7302</t>
  </si>
  <si>
    <t>DIVISION DE CONTROL POSTERIOR-SUP. 2</t>
  </si>
  <si>
    <t>4770</t>
  </si>
  <si>
    <t>Mollinedo Catunta Maritza</t>
  </si>
  <si>
    <t>7611</t>
  </si>
  <si>
    <t>Sandoval Guevara Azhir Yussef</t>
  </si>
  <si>
    <t>DIVISION DE CONTROL POSTERIOR-SUP. 1</t>
  </si>
  <si>
    <t>7661</t>
  </si>
  <si>
    <t>Cordova Meza Luis Alberto</t>
  </si>
  <si>
    <t>7674</t>
  </si>
  <si>
    <t>Angulo Farfan Andres Eduardo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</si>
</sst>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9">
    <font>
      <sz val="11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FF0000"/>
      <name val="Calibri"/>
      <family val="2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7" tint="-0.249977111117893"/>
        <bgColor theme="4"/>
      </patternFill>
    </fill>
    <fill>
      <patternFill patternType="solid">
        <fgColor rgb="FFBDD7E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2" xfId="0" applyFont="1" applyBorder="1"/>
    <xf numFmtId="0" fontId="5" fillId="0" borderId="2" xfId="0" applyFont="1" applyBorder="1"/>
    <xf numFmtId="0" fontId="6" fillId="0" borderId="2" xfId="0" applyFont="1" applyBorder="1" applyAlignment="1">
      <alignment horizontal="right"/>
    </xf>
    <xf numFmtId="0" fontId="6" fillId="5" borderId="2" xfId="0" applyFont="1" applyFill="1" applyBorder="1"/>
    <xf numFmtId="0" fontId="6" fillId="5" borderId="2" xfId="0" applyFont="1" applyFill="1" applyBorder="1" applyAlignment="1">
      <alignment horizontal="left"/>
    </xf>
    <xf numFmtId="49" fontId="6" fillId="5" borderId="2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2" xfId="0" applyFont="1" applyBorder="1"/>
    <xf numFmtId="0" fontId="6" fillId="6" borderId="2" xfId="0" applyFont="1" applyFill="1" applyBorder="1"/>
    <xf numFmtId="0" fontId="6" fillId="6" borderId="2" xfId="0" applyFont="1" applyFill="1" applyBorder="1" applyAlignment="1">
      <alignment horizontal="left"/>
    </xf>
    <xf numFmtId="49" fontId="6" fillId="6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7" fillId="0" borderId="0" xfId="0" applyFont="1"/>
    <xf numFmtId="0" fontId="7" fillId="0" borderId="2" xfId="0" applyFont="1" applyBorder="1" applyAlignment="1">
      <alignment horizontal="center" wrapText="1"/>
    </xf>
    <xf numFmtId="0" fontId="1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6" fillId="7" borderId="2" xfId="0" applyFont="1" applyFill="1" applyBorder="1" applyAlignment="1">
      <alignment horizontal="left"/>
    </xf>
    <xf numFmtId="1" fontId="7" fillId="0" borderId="2" xfId="0" applyNumberFormat="1" applyFont="1" applyBorder="1" applyAlignment="1">
      <alignment horizontal="center"/>
    </xf>
    <xf numFmtId="0" fontId="0" fillId="0" borderId="2" xfId="0" applyBorder="1"/>
    <xf numFmtId="0" fontId="10" fillId="0" borderId="2" xfId="0" applyFont="1" applyBorder="1"/>
    <xf numFmtId="1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11" fillId="0" borderId="2" xfId="0" applyNumberFormat="1" applyFont="1" applyBorder="1" applyAlignment="1">
      <alignment vertical="center"/>
    </xf>
    <xf numFmtId="49" fontId="11" fillId="0" borderId="2" xfId="0" applyNumberFormat="1" applyFont="1" applyBorder="1" applyAlignment="1">
      <alignment horizontal="left" vertical="center"/>
    </xf>
    <xf numFmtId="49" fontId="11" fillId="0" borderId="2" xfId="0" applyNumberFormat="1" applyFont="1" applyBorder="1" applyAlignment="1">
      <alignment horizontal="center" vertical="center"/>
    </xf>
    <xf numFmtId="0" fontId="12" fillId="5" borderId="2" xfId="0" applyFont="1" applyFill="1" applyBorder="1" applyAlignment="1">
      <alignment horizontal="center"/>
    </xf>
    <xf numFmtId="49" fontId="13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/>
    <xf numFmtId="49" fontId="13" fillId="0" borderId="2" xfId="0" applyNumberFormat="1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/>
    </xf>
    <xf numFmtId="0" fontId="7" fillId="8" borderId="2" xfId="0" applyFont="1" applyFill="1" applyBorder="1"/>
    <xf numFmtId="1" fontId="7" fillId="8" borderId="2" xfId="0" applyNumberFormat="1" applyFont="1" applyFill="1" applyBorder="1"/>
    <xf numFmtId="0" fontId="14" fillId="0" borderId="2" xfId="0" applyFont="1" applyBorder="1" applyAlignment="1">
      <alignment horizontal="center"/>
    </xf>
    <xf numFmtId="164" fontId="7" fillId="0" borderId="0" xfId="0" applyNumberFormat="1" applyFont="1"/>
    <xf numFmtId="164" fontId="0" fillId="0" borderId="0" xfId="0" applyNumberFormat="1"/>
    <xf numFmtId="0" fontId="15" fillId="0" borderId="2" xfId="0" applyFont="1" applyBorder="1" applyAlignment="1">
      <alignment horizontal="center"/>
    </xf>
    <xf numFmtId="1" fontId="7" fillId="0" borderId="3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6" fillId="0" borderId="0" xfId="0" applyFont="1"/>
    <xf numFmtId="2" fontId="17" fillId="0" borderId="0" xfId="0" applyNumberFormat="1" applyFont="1" applyAlignment="1">
      <alignment horizontal="center"/>
    </xf>
    <xf numFmtId="0" fontId="18" fillId="0" borderId="2" xfId="0" applyFont="1" applyBorder="1" applyAlignment="1">
      <alignment horizontal="center"/>
    </xf>
    <xf numFmtId="0" fontId="16" fillId="0" borderId="6" xfId="0" applyFont="1" applyBorder="1"/>
    <xf numFmtId="0" fontId="0" fillId="0" borderId="0" xfId="0" applyAlignment="1">
      <alignment horizontal="center"/>
    </xf>
    <xf numFmtId="2" fontId="0" fillId="0" borderId="0" xfId="0" applyNumberFormat="1"/>
    <xf numFmtId="0" fontId="7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AF6C571-237B-4CAE-8C94-711B4791FC7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unatperu.sharepoint.com/DATA/Data/data/FILES/disco%20d/SNATI/INI/INI%20Definitiva/Gesti&#243;n/Evaluaci&#243;n%20de%20Meta/universo%20pnc%20set22%20resumen%20y%20producc%20a%20share%20poin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D Ingresos Salidas 21_22"/>
      <sheetName val="Resumen Ingresos Salidas 21_22"/>
      <sheetName val="presentacion gerentes"/>
      <sheetName val="Data Ingresos 2021_2022"/>
      <sheetName val="Dias H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95EC-1F03-47C3-BBB7-7F63784317B2}">
  <dimension ref="A1:A13"/>
  <sheetViews>
    <sheetView workbookViewId="0">
      <selection activeCell="A2" sqref="A2:A13"/>
    </sheetView>
  </sheetViews>
  <sheetFormatPr defaultColWidth="11.42578125" defaultRowHeight="14.45"/>
  <cols>
    <col min="1" max="1" width="18.140625" customWidth="1"/>
  </cols>
  <sheetData>
    <row r="1" spans="1:1" ht="18.600000000000001">
      <c r="A1" s="1" t="s">
        <v>0</v>
      </c>
    </row>
    <row r="2" spans="1:1">
      <c r="A2" s="6" t="s">
        <v>1</v>
      </c>
    </row>
    <row r="3" spans="1:1">
      <c r="A3" s="6" t="s">
        <v>2</v>
      </c>
    </row>
    <row r="4" spans="1:1">
      <c r="A4" s="6" t="s">
        <v>3</v>
      </c>
    </row>
    <row r="5" spans="1:1">
      <c r="A5" s="6" t="s">
        <v>4</v>
      </c>
    </row>
    <row r="6" spans="1:1">
      <c r="A6" s="6" t="s">
        <v>5</v>
      </c>
    </row>
    <row r="7" spans="1:1">
      <c r="A7" s="6" t="s">
        <v>6</v>
      </c>
    </row>
    <row r="8" spans="1:1">
      <c r="A8" s="6" t="s">
        <v>7</v>
      </c>
    </row>
    <row r="9" spans="1:1">
      <c r="A9" s="6" t="s">
        <v>8</v>
      </c>
    </row>
    <row r="10" spans="1:1">
      <c r="A10" s="7" t="s">
        <v>9</v>
      </c>
    </row>
    <row r="11" spans="1:1">
      <c r="A11" s="6" t="s">
        <v>10</v>
      </c>
    </row>
    <row r="12" spans="1:1">
      <c r="A12" s="6" t="s">
        <v>11</v>
      </c>
    </row>
    <row r="13" spans="1:1">
      <c r="A13" s="6"/>
    </row>
  </sheetData>
  <sortState xmlns:xlrd2="http://schemas.microsoft.com/office/spreadsheetml/2017/richdata2" ref="A2:A15">
    <sortCondition ref="A2:A1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FEE7-1F53-4003-86D6-14B4A4DAE5A4}">
  <sheetPr>
    <tabColor theme="5" tint="-0.249977111117893"/>
  </sheetPr>
  <dimension ref="A1:S28"/>
  <sheetViews>
    <sheetView tabSelected="1" zoomScale="110" zoomScaleNormal="110" workbookViewId="0">
      <pane xSplit="8" ySplit="1" topLeftCell="J2" activePane="bottomRight" state="frozen"/>
      <selection pane="bottomRight" sqref="A1:N1048576"/>
      <selection pane="bottomLeft" activeCell="A2" sqref="A2"/>
      <selection pane="topRight" activeCell="I1" sqref="I1"/>
    </sheetView>
  </sheetViews>
  <sheetFormatPr defaultColWidth="11.42578125" defaultRowHeight="14.45"/>
  <cols>
    <col min="1" max="1" width="7.7109375" customWidth="1"/>
    <col min="2" max="2" width="8.5703125" bestFit="1" customWidth="1"/>
    <col min="3" max="3" width="37.42578125" bestFit="1" customWidth="1"/>
    <col min="4" max="4" width="9.85546875" bestFit="1" customWidth="1"/>
    <col min="5" max="5" width="29.42578125" customWidth="1"/>
    <col min="6" max="6" width="12.5703125" bestFit="1" customWidth="1"/>
    <col min="7" max="7" width="12.140625" customWidth="1"/>
    <col min="8" max="8" width="18" customWidth="1"/>
    <col min="9" max="9" width="11.28515625" customWidth="1"/>
    <col min="10" max="10" width="15" customWidth="1"/>
    <col min="11" max="11" width="19.42578125" customWidth="1"/>
    <col min="12" max="12" width="15.28515625" customWidth="1"/>
    <col min="13" max="13" width="11.85546875" bestFit="1" customWidth="1"/>
    <col min="14" max="14" width="9.5703125" bestFit="1" customWidth="1"/>
    <col min="15" max="15" width="3.42578125" bestFit="1" customWidth="1"/>
    <col min="16" max="16" width="8.5703125" hidden="1" customWidth="1"/>
  </cols>
  <sheetData>
    <row r="1" spans="1:17" s="5" customFormat="1" ht="46.5">
      <c r="A1" s="21" t="s">
        <v>12</v>
      </c>
      <c r="B1" s="1" t="s">
        <v>13</v>
      </c>
      <c r="C1" s="2" t="s">
        <v>14</v>
      </c>
      <c r="D1" s="1" t="s">
        <v>15</v>
      </c>
      <c r="E1" s="1" t="s">
        <v>16</v>
      </c>
      <c r="F1" s="1" t="s">
        <v>0</v>
      </c>
      <c r="G1" s="22" t="s">
        <v>17</v>
      </c>
      <c r="H1" s="3" t="s">
        <v>18</v>
      </c>
      <c r="I1" s="3" t="s">
        <v>19</v>
      </c>
      <c r="J1" s="3" t="s">
        <v>20</v>
      </c>
      <c r="K1" s="3" t="s">
        <v>21</v>
      </c>
      <c r="L1" s="3" t="s">
        <v>22</v>
      </c>
      <c r="M1" s="4" t="s">
        <v>23</v>
      </c>
      <c r="N1" s="4" t="s">
        <v>24</v>
      </c>
    </row>
    <row r="2" spans="1:17" s="19" customFormat="1" ht="15.95" customHeight="1">
      <c r="A2" s="8"/>
      <c r="B2" s="9" t="s">
        <v>25</v>
      </c>
      <c r="C2" s="10" t="s">
        <v>26</v>
      </c>
      <c r="D2" s="11" t="s">
        <v>27</v>
      </c>
      <c r="E2" s="9" t="s">
        <v>28</v>
      </c>
      <c r="F2" s="9" t="s">
        <v>8</v>
      </c>
      <c r="G2" s="32"/>
      <c r="H2" s="12"/>
      <c r="I2" s="36">
        <v>2</v>
      </c>
      <c r="J2" s="36"/>
      <c r="K2" s="37"/>
      <c r="L2" s="36"/>
      <c r="M2" s="37"/>
      <c r="N2" s="38"/>
      <c r="O2" s="5"/>
    </row>
    <row r="3" spans="1:17" s="19" customFormat="1" ht="15.95" customHeight="1">
      <c r="A3" s="8"/>
      <c r="B3" s="15" t="s">
        <v>29</v>
      </c>
      <c r="C3" s="16" t="s">
        <v>30</v>
      </c>
      <c r="D3" s="17" t="s">
        <v>31</v>
      </c>
      <c r="E3" s="15" t="s">
        <v>32</v>
      </c>
      <c r="F3" s="15" t="s">
        <v>10</v>
      </c>
      <c r="G3" s="15"/>
      <c r="H3" s="12"/>
      <c r="I3" s="13"/>
      <c r="J3" s="13"/>
      <c r="K3" s="13"/>
      <c r="L3" s="13"/>
      <c r="M3" s="13"/>
      <c r="N3" s="13"/>
      <c r="O3" s="5"/>
    </row>
    <row r="4" spans="1:17" s="19" customFormat="1" ht="15.95" customHeight="1">
      <c r="A4" s="8"/>
      <c r="B4" s="18" t="s">
        <v>29</v>
      </c>
      <c r="C4" s="23" t="s">
        <v>30</v>
      </c>
      <c r="D4" s="33">
        <v>4561</v>
      </c>
      <c r="E4" s="29" t="s">
        <v>33</v>
      </c>
      <c r="F4" s="30" t="s">
        <v>34</v>
      </c>
      <c r="G4" s="34"/>
      <c r="H4" s="14"/>
      <c r="I4" s="13"/>
      <c r="J4" s="13"/>
      <c r="K4" s="24">
        <v>6</v>
      </c>
      <c r="L4" s="14"/>
      <c r="M4" s="27">
        <v>21</v>
      </c>
      <c r="N4" s="28">
        <f t="shared" ref="N4:N9" si="0">+K4/M4</f>
        <v>0.2857142857142857</v>
      </c>
      <c r="O4" s="5"/>
    </row>
    <row r="5" spans="1:17" s="19" customFormat="1" ht="15.95" customHeight="1">
      <c r="A5" s="8"/>
      <c r="B5" s="18" t="s">
        <v>35</v>
      </c>
      <c r="C5" s="23" t="s">
        <v>36</v>
      </c>
      <c r="D5" s="33" t="s">
        <v>37</v>
      </c>
      <c r="E5" s="29" t="s">
        <v>38</v>
      </c>
      <c r="F5" s="30" t="s">
        <v>39</v>
      </c>
      <c r="G5" s="31"/>
      <c r="H5" s="12"/>
      <c r="I5" s="13"/>
      <c r="J5" s="13">
        <v>6</v>
      </c>
      <c r="K5" s="24">
        <f>+M5-(I5+J5)</f>
        <v>15</v>
      </c>
      <c r="L5" s="13"/>
      <c r="M5" s="27">
        <v>21</v>
      </c>
      <c r="N5" s="28">
        <f t="shared" si="0"/>
        <v>0.7142857142857143</v>
      </c>
      <c r="O5" s="5"/>
    </row>
    <row r="6" spans="1:17" s="19" customFormat="1" ht="15.95" customHeight="1">
      <c r="A6" s="8"/>
      <c r="B6" s="18" t="s">
        <v>40</v>
      </c>
      <c r="C6" s="23" t="s">
        <v>41</v>
      </c>
      <c r="D6" s="33" t="s">
        <v>42</v>
      </c>
      <c r="E6" s="29" t="s">
        <v>43</v>
      </c>
      <c r="F6" s="30" t="s">
        <v>44</v>
      </c>
      <c r="G6" s="31"/>
      <c r="H6" s="12"/>
      <c r="I6" s="13"/>
      <c r="J6" s="39"/>
      <c r="K6" s="24">
        <f t="shared" ref="K6" si="1">+M6-(I6+J6+L6)</f>
        <v>21</v>
      </c>
      <c r="L6" s="13"/>
      <c r="M6" s="27">
        <v>21</v>
      </c>
      <c r="N6" s="28">
        <f t="shared" si="0"/>
        <v>1</v>
      </c>
      <c r="O6" s="5"/>
    </row>
    <row r="7" spans="1:17" s="19" customFormat="1" ht="15.95" customHeight="1">
      <c r="A7" s="8"/>
      <c r="B7" s="18" t="s">
        <v>29</v>
      </c>
      <c r="C7" s="23" t="s">
        <v>30</v>
      </c>
      <c r="D7" s="33" t="s">
        <v>45</v>
      </c>
      <c r="E7" s="29" t="s">
        <v>46</v>
      </c>
      <c r="F7" s="30" t="s">
        <v>47</v>
      </c>
      <c r="G7" s="31"/>
      <c r="H7" s="12"/>
      <c r="I7" s="13"/>
      <c r="J7" s="13"/>
      <c r="K7" s="24">
        <v>20.5</v>
      </c>
      <c r="L7" s="13"/>
      <c r="M7" s="27">
        <v>21</v>
      </c>
      <c r="N7" s="28">
        <f t="shared" si="0"/>
        <v>0.97619047619047616</v>
      </c>
      <c r="O7" s="5"/>
    </row>
    <row r="8" spans="1:17" s="19" customFormat="1" ht="15.95" customHeight="1">
      <c r="A8" s="8"/>
      <c r="B8" s="18" t="s">
        <v>29</v>
      </c>
      <c r="C8" s="23" t="s">
        <v>30</v>
      </c>
      <c r="D8" s="33" t="s">
        <v>48</v>
      </c>
      <c r="E8" s="29" t="s">
        <v>49</v>
      </c>
      <c r="F8" s="30" t="s">
        <v>44</v>
      </c>
      <c r="G8" s="31"/>
      <c r="H8" s="12"/>
      <c r="I8" s="13"/>
      <c r="J8" s="13"/>
      <c r="K8" s="24">
        <f>+M8-(I8+J8+L8)</f>
        <v>21</v>
      </c>
      <c r="L8" s="13"/>
      <c r="M8" s="27">
        <v>21</v>
      </c>
      <c r="N8" s="28">
        <f t="shared" si="0"/>
        <v>1</v>
      </c>
      <c r="O8" s="5"/>
    </row>
    <row r="9" spans="1:17" s="19" customFormat="1" ht="15.95" customHeight="1">
      <c r="A9" s="8"/>
      <c r="B9" s="18" t="s">
        <v>29</v>
      </c>
      <c r="C9" s="23" t="s">
        <v>30</v>
      </c>
      <c r="D9" s="33" t="s">
        <v>50</v>
      </c>
      <c r="E9" s="29" t="s">
        <v>51</v>
      </c>
      <c r="F9" s="30" t="s">
        <v>44</v>
      </c>
      <c r="G9" s="31"/>
      <c r="H9" s="12"/>
      <c r="I9" s="13"/>
      <c r="J9" s="13"/>
      <c r="K9" s="24">
        <v>20.5</v>
      </c>
      <c r="L9" s="13"/>
      <c r="M9" s="27">
        <v>21</v>
      </c>
      <c r="N9" s="28">
        <f t="shared" si="0"/>
        <v>0.97619047619047616</v>
      </c>
      <c r="O9" s="5"/>
    </row>
    <row r="10" spans="1:17" s="19" customFormat="1" ht="15.95" customHeight="1">
      <c r="A10" s="8"/>
      <c r="B10" s="15" t="s">
        <v>40</v>
      </c>
      <c r="C10" s="16" t="s">
        <v>41</v>
      </c>
      <c r="D10" s="17" t="s">
        <v>52</v>
      </c>
      <c r="E10" s="15" t="s">
        <v>53</v>
      </c>
      <c r="F10" s="15" t="s">
        <v>10</v>
      </c>
      <c r="G10" s="15"/>
      <c r="H10" s="12"/>
      <c r="I10" s="13"/>
      <c r="J10" s="13"/>
      <c r="K10" s="24"/>
      <c r="L10" s="20"/>
      <c r="M10" s="27"/>
      <c r="N10" s="28"/>
      <c r="O10" s="5"/>
      <c r="P10" s="40">
        <f>SUM(N4:N9)</f>
        <v>4.9523809523809526</v>
      </c>
      <c r="Q10" s="40">
        <f>+N4+N5+N6+N7+N8+N9</f>
        <v>4.9523809523809526</v>
      </c>
    </row>
    <row r="11" spans="1:17" s="19" customFormat="1" ht="15.95" customHeight="1">
      <c r="A11" s="8"/>
      <c r="B11" s="18" t="s">
        <v>29</v>
      </c>
      <c r="C11" s="23" t="s">
        <v>30</v>
      </c>
      <c r="D11" s="33">
        <v>4504</v>
      </c>
      <c r="E11" s="29" t="s">
        <v>54</v>
      </c>
      <c r="F11" s="30" t="s">
        <v>39</v>
      </c>
      <c r="G11" s="34"/>
      <c r="H11" s="14"/>
      <c r="I11" s="13"/>
      <c r="J11" s="13"/>
      <c r="K11" s="24">
        <f>+M11-(I11+J11+L11)</f>
        <v>21</v>
      </c>
      <c r="L11" s="14"/>
      <c r="M11" s="27">
        <v>21</v>
      </c>
      <c r="N11" s="28">
        <f>+K11/M11</f>
        <v>1</v>
      </c>
      <c r="O11" s="5"/>
    </row>
    <row r="12" spans="1:17" s="19" customFormat="1" ht="15.95" customHeight="1">
      <c r="A12" s="8"/>
      <c r="B12" s="18" t="s">
        <v>40</v>
      </c>
      <c r="C12" s="23" t="s">
        <v>41</v>
      </c>
      <c r="D12" s="33" t="s">
        <v>55</v>
      </c>
      <c r="E12" s="29" t="s">
        <v>56</v>
      </c>
      <c r="F12" s="30" t="s">
        <v>34</v>
      </c>
      <c r="G12" s="31"/>
      <c r="H12" s="12"/>
      <c r="I12" s="13"/>
      <c r="J12" s="13">
        <v>3</v>
      </c>
      <c r="K12" s="24">
        <f t="shared" ref="K12:K19" si="2">+M12-(I12+J12+L12)</f>
        <v>18</v>
      </c>
      <c r="L12" s="13"/>
      <c r="M12" s="27">
        <v>21</v>
      </c>
      <c r="N12" s="28">
        <f t="shared" ref="N12:N15" si="3">+K12/M12</f>
        <v>0.8571428571428571</v>
      </c>
      <c r="O12" s="5"/>
    </row>
    <row r="13" spans="1:17" s="19" customFormat="1" ht="15.95" customHeight="1">
      <c r="A13" s="8"/>
      <c r="B13" s="26" t="s">
        <v>57</v>
      </c>
      <c r="C13" s="23" t="s">
        <v>58</v>
      </c>
      <c r="D13" s="33" t="s">
        <v>59</v>
      </c>
      <c r="E13" s="29" t="s">
        <v>60</v>
      </c>
      <c r="F13" s="30" t="s">
        <v>39</v>
      </c>
      <c r="G13" s="31"/>
      <c r="H13" s="13"/>
      <c r="I13" s="13"/>
      <c r="J13" s="13"/>
      <c r="K13" s="24">
        <f>+M13-(I13+J13+L13)</f>
        <v>21</v>
      </c>
      <c r="L13" s="20"/>
      <c r="M13" s="27">
        <v>21</v>
      </c>
      <c r="N13" s="28">
        <f t="shared" si="3"/>
        <v>1</v>
      </c>
      <c r="O13" s="5"/>
    </row>
    <row r="14" spans="1:17" s="19" customFormat="1" ht="15.95" customHeight="1">
      <c r="A14" s="8"/>
      <c r="B14" s="18" t="s">
        <v>40</v>
      </c>
      <c r="C14" s="23" t="s">
        <v>41</v>
      </c>
      <c r="D14" s="33" t="s">
        <v>61</v>
      </c>
      <c r="E14" s="29" t="s">
        <v>62</v>
      </c>
      <c r="F14" s="30" t="s">
        <v>39</v>
      </c>
      <c r="G14" s="31"/>
      <c r="H14" s="12"/>
      <c r="I14" s="13"/>
      <c r="J14" s="13"/>
      <c r="K14" s="24">
        <f>+M14-(I14+J14+L14)</f>
        <v>21</v>
      </c>
      <c r="L14" s="20"/>
      <c r="M14" s="27">
        <v>21</v>
      </c>
      <c r="N14" s="28">
        <f t="shared" si="3"/>
        <v>1</v>
      </c>
      <c r="O14" s="5"/>
    </row>
    <row r="15" spans="1:17" s="19" customFormat="1" ht="15.95" customHeight="1">
      <c r="A15" s="8"/>
      <c r="B15" s="18" t="s">
        <v>35</v>
      </c>
      <c r="C15" s="23" t="s">
        <v>36</v>
      </c>
      <c r="D15" s="33" t="s">
        <v>63</v>
      </c>
      <c r="E15" s="29" t="s">
        <v>64</v>
      </c>
      <c r="F15" s="30" t="s">
        <v>47</v>
      </c>
      <c r="G15" s="31"/>
      <c r="H15" s="12"/>
      <c r="I15" s="13"/>
      <c r="J15" s="39"/>
      <c r="K15" s="24">
        <f>+M15-(I15+J15+L15)</f>
        <v>21</v>
      </c>
      <c r="L15" s="13"/>
      <c r="M15" s="27">
        <v>21</v>
      </c>
      <c r="N15" s="28">
        <f t="shared" si="3"/>
        <v>1</v>
      </c>
      <c r="O15" s="5"/>
      <c r="P15" s="40">
        <f>SUM(N11:N15)</f>
        <v>4.8571428571428577</v>
      </c>
      <c r="Q15" s="40">
        <f>+N11+N12+N13+N14+N15</f>
        <v>4.8571428571428577</v>
      </c>
    </row>
    <row r="16" spans="1:17" ht="15.95" customHeight="1">
      <c r="A16" s="8"/>
      <c r="B16" s="15" t="s">
        <v>65</v>
      </c>
      <c r="C16" s="16" t="s">
        <v>41</v>
      </c>
      <c r="D16" s="17" t="s">
        <v>66</v>
      </c>
      <c r="E16" s="15" t="s">
        <v>67</v>
      </c>
      <c r="F16" s="15" t="s">
        <v>10</v>
      </c>
      <c r="G16" s="15"/>
      <c r="H16" s="12"/>
      <c r="I16" s="13"/>
      <c r="J16" s="13"/>
      <c r="K16" s="24"/>
      <c r="L16" s="52">
        <v>6</v>
      </c>
      <c r="M16" s="27"/>
      <c r="N16" s="28"/>
    </row>
    <row r="17" spans="2:19" ht="15.95" customHeight="1">
      <c r="B17" s="18" t="s">
        <v>40</v>
      </c>
      <c r="C17" s="23" t="s">
        <v>41</v>
      </c>
      <c r="D17" s="33">
        <v>5556</v>
      </c>
      <c r="E17" s="29" t="s">
        <v>68</v>
      </c>
      <c r="F17" s="30" t="s">
        <v>44</v>
      </c>
      <c r="G17" s="34"/>
      <c r="H17" s="25"/>
      <c r="I17" s="13"/>
      <c r="J17" s="13">
        <v>8</v>
      </c>
      <c r="K17" s="43">
        <f>+M17-(I17+J17+L17)</f>
        <v>13</v>
      </c>
      <c r="L17" s="42"/>
      <c r="M17" s="44">
        <v>21</v>
      </c>
      <c r="N17" s="28">
        <f t="shared" ref="N17:N22" si="4">+K17/M17</f>
        <v>0.61904761904761907</v>
      </c>
    </row>
    <row r="18" spans="2:19" ht="15.95" customHeight="1">
      <c r="B18" s="18" t="s">
        <v>40</v>
      </c>
      <c r="C18" s="23" t="s">
        <v>41</v>
      </c>
      <c r="D18" s="33" t="s">
        <v>69</v>
      </c>
      <c r="E18" s="29" t="s">
        <v>70</v>
      </c>
      <c r="F18" s="30" t="s">
        <v>39</v>
      </c>
      <c r="G18" s="31"/>
      <c r="H18" s="12"/>
      <c r="I18" s="13"/>
      <c r="J18" s="13"/>
      <c r="K18" s="43">
        <f t="shared" si="2"/>
        <v>21</v>
      </c>
      <c r="L18" s="42"/>
      <c r="M18" s="44">
        <v>21</v>
      </c>
      <c r="N18" s="28">
        <f t="shared" si="4"/>
        <v>1</v>
      </c>
    </row>
    <row r="19" spans="2:19" ht="15.95" customHeight="1">
      <c r="B19" s="18" t="s">
        <v>71</v>
      </c>
      <c r="C19" s="23" t="s">
        <v>72</v>
      </c>
      <c r="D19" s="33" t="s">
        <v>73</v>
      </c>
      <c r="E19" s="29" t="s">
        <v>74</v>
      </c>
      <c r="F19" s="30" t="s">
        <v>34</v>
      </c>
      <c r="G19" s="31"/>
      <c r="H19" s="12"/>
      <c r="I19" s="13"/>
      <c r="J19" s="13">
        <v>2</v>
      </c>
      <c r="K19" s="43">
        <f t="shared" si="2"/>
        <v>19</v>
      </c>
      <c r="L19" s="42"/>
      <c r="M19" s="44">
        <v>21</v>
      </c>
      <c r="N19" s="28">
        <f t="shared" si="4"/>
        <v>0.90476190476190477</v>
      </c>
    </row>
    <row r="20" spans="2:19" ht="15.95" customHeight="1">
      <c r="B20" s="18" t="s">
        <v>29</v>
      </c>
      <c r="C20" s="23" t="s">
        <v>30</v>
      </c>
      <c r="D20" s="35" t="s">
        <v>75</v>
      </c>
      <c r="E20" s="29" t="s">
        <v>76</v>
      </c>
      <c r="F20" s="30" t="s">
        <v>47</v>
      </c>
      <c r="G20" s="31"/>
      <c r="H20" s="12"/>
      <c r="I20" s="13"/>
      <c r="J20" s="13"/>
      <c r="K20" s="43">
        <f>+M20-(I20+J20+L20)</f>
        <v>15</v>
      </c>
      <c r="L20" s="48">
        <v>6</v>
      </c>
      <c r="M20" s="44">
        <v>21</v>
      </c>
      <c r="N20" s="28">
        <f t="shared" si="4"/>
        <v>0.7142857142857143</v>
      </c>
    </row>
    <row r="21" spans="2:19" ht="15.95" customHeight="1">
      <c r="B21" s="18" t="s">
        <v>57</v>
      </c>
      <c r="C21" s="23" t="s">
        <v>77</v>
      </c>
      <c r="D21" s="33" t="s">
        <v>78</v>
      </c>
      <c r="E21" s="29" t="s">
        <v>79</v>
      </c>
      <c r="F21" s="30" t="s">
        <v>47</v>
      </c>
      <c r="G21" s="31"/>
      <c r="H21" s="12"/>
      <c r="I21" s="13"/>
      <c r="J21" s="13"/>
      <c r="K21" s="43">
        <f>+M21-(I21+J21+L21)</f>
        <v>21</v>
      </c>
      <c r="L21" s="48"/>
      <c r="M21" s="44">
        <v>21</v>
      </c>
      <c r="N21" s="28">
        <f t="shared" si="4"/>
        <v>1</v>
      </c>
    </row>
    <row r="22" spans="2:19" ht="15.95" customHeight="1">
      <c r="B22" s="18" t="s">
        <v>57</v>
      </c>
      <c r="C22" s="23" t="s">
        <v>77</v>
      </c>
      <c r="D22" s="33" t="s">
        <v>80</v>
      </c>
      <c r="E22" s="29" t="s">
        <v>81</v>
      </c>
      <c r="F22" s="30" t="s">
        <v>47</v>
      </c>
      <c r="G22" s="31"/>
      <c r="H22" s="13"/>
      <c r="I22" s="13"/>
      <c r="J22" s="13">
        <v>5</v>
      </c>
      <c r="K22" s="43">
        <f>+M22-(I22+J22+L22)</f>
        <v>16</v>
      </c>
      <c r="L22" s="42"/>
      <c r="M22" s="44">
        <v>21</v>
      </c>
      <c r="N22" s="28">
        <f t="shared" si="4"/>
        <v>0.76190476190476186</v>
      </c>
      <c r="P22" s="41">
        <f>SUM(N17:N22)</f>
        <v>5</v>
      </c>
      <c r="Q22" s="41">
        <f>SUM(N17:N22)</f>
        <v>5</v>
      </c>
    </row>
    <row r="24" spans="2:19">
      <c r="Q24" s="51">
        <f>SUM(Q6:Q22)</f>
        <v>14.80952380952381</v>
      </c>
      <c r="R24" s="46"/>
    </row>
    <row r="25" spans="2:19" ht="15" thickBot="1">
      <c r="M25" s="45"/>
      <c r="R25" s="46"/>
    </row>
    <row r="26" spans="2:19" ht="18.95" thickBot="1">
      <c r="M26" s="50"/>
      <c r="N26" s="49"/>
      <c r="Q26" s="41"/>
      <c r="S26" s="47"/>
    </row>
    <row r="28" spans="2:19">
      <c r="M28" s="46"/>
    </row>
  </sheetData>
  <sortState xmlns:xlrd2="http://schemas.microsoft.com/office/spreadsheetml/2017/richdata2" ref="D17:N22">
    <sortCondition ref="D17:D22"/>
  </sortState>
  <phoneticPr fontId="8" type="noConversion"/>
  <dataValidations count="2">
    <dataValidation type="list" allowBlank="1" showInputMessage="1" showErrorMessage="1" sqref="H12 H4 H6:H9 H15 H17:H22" xr:uid="{4B13DD4D-6258-42FD-A152-E6BFA6BD40A3}">
      <formula1>$Q$2:$Q$5</formula1>
    </dataValidation>
    <dataValidation type="list" allowBlank="1" showInputMessage="1" showErrorMessage="1" sqref="H2:H3 H10 H16" xr:uid="{93A7DBDF-A939-400E-8FB8-F3824A51DE78}">
      <formula1>#REF!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3A6AE8B7E4A2449C903AFD2456BD74" ma:contentTypeVersion="9" ma:contentTypeDescription="Crear nuevo documento." ma:contentTypeScope="" ma:versionID="5290519a29b5a8138c77b75f18bde323">
  <xsd:schema xmlns:xsd="http://www.w3.org/2001/XMLSchema" xmlns:xs="http://www.w3.org/2001/XMLSchema" xmlns:p="http://schemas.microsoft.com/office/2006/metadata/properties" xmlns:ns2="c4795172-acc8-41fc-abdb-af5ed44f61af" targetNamespace="http://schemas.microsoft.com/office/2006/metadata/properties" ma:root="true" ma:fieldsID="d3faadf0f6551c418eed19b25e8b9d62" ns2:_="">
    <xsd:import namespace="c4795172-acc8-41fc-abdb-af5ed44f6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Acargo" minOccurs="0"/>
                <xsd:element ref="ns2:Fecha" minOccurs="0"/>
                <xsd:element ref="ns2:Tema" minOccurs="0"/>
                <xsd:element ref="ns2:Ponente" minOccurs="0"/>
                <xsd:element ref="ns2:Areadestin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95172-acc8-41fc-abdb-af5ed44f61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Acargo" ma:index="12" nillable="true" ma:displayName="INI" ma:format="Dropdown" ma:internalName="Acargo">
      <xsd:simpleType>
        <xsd:restriction base="dms:Choice">
          <xsd:enumeration value="DCCI"/>
          <xsd:enumeration value="DCCII"/>
          <xsd:enumeration value="DCP"/>
        </xsd:restriction>
      </xsd:simpleType>
    </xsd:element>
    <xsd:element name="Fecha" ma:index="13" nillable="true" ma:displayName="Fecha " ma:format="DateOnly" ma:internalName="Fecha">
      <xsd:simpleType>
        <xsd:restriction base="dms:DateTime"/>
      </xsd:simpleType>
    </xsd:element>
    <xsd:element name="Tema" ma:index="14" nillable="true" ma:displayName="Tema" ma:format="Dropdown" ma:internalName="Tema">
      <xsd:simpleType>
        <xsd:restriction base="dms:Text">
          <xsd:maxLength value="255"/>
        </xsd:restriction>
      </xsd:simpleType>
    </xsd:element>
    <xsd:element name="Ponente" ma:index="15" nillable="true" ma:displayName="Ponente" ma:format="Dropdown" ma:internalName="Ponente">
      <xsd:simpleType>
        <xsd:restriction base="dms:Text">
          <xsd:maxLength value="255"/>
        </xsd:restriction>
      </xsd:simpleType>
    </xsd:element>
    <xsd:element name="Areadestino" ma:index="16" nillable="true" ma:displayName="Area destino" ma:format="Dropdown" ma:internalName="Areadestino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a xmlns="c4795172-acc8-41fc-abdb-af5ed44f61af" xsi:nil="true"/>
    <Areadestino xmlns="c4795172-acc8-41fc-abdb-af5ed44f61af" xsi:nil="true"/>
    <Fecha xmlns="c4795172-acc8-41fc-abdb-af5ed44f61af" xsi:nil="true"/>
    <Ponente xmlns="c4795172-acc8-41fc-abdb-af5ed44f61af" xsi:nil="true"/>
    <Acargo xmlns="c4795172-acc8-41fc-abdb-af5ed44f61a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B97785-6EA1-4095-9920-014D91EE20C6}"/>
</file>

<file path=customXml/itemProps2.xml><?xml version="1.0" encoding="utf-8"?>
<ds:datastoreItem xmlns:ds="http://schemas.openxmlformats.org/officeDocument/2006/customXml" ds:itemID="{8868935F-03C8-4D3C-B554-2694F136186F}"/>
</file>

<file path=customXml/itemProps3.xml><?xml version="1.0" encoding="utf-8"?>
<ds:datastoreItem xmlns:ds="http://schemas.openxmlformats.org/officeDocument/2006/customXml" ds:itemID="{F9AC7BFD-F17F-4E12-BB56-81492CC6AE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Padilla Rosales Maria Del Carmen</dc:creator>
  <cp:keywords/>
  <dc:description/>
  <cp:lastModifiedBy>Cortez Quispe Linda</cp:lastModifiedBy>
  <cp:revision/>
  <dcterms:created xsi:type="dcterms:W3CDTF">2023-01-19T19:37:24Z</dcterms:created>
  <dcterms:modified xsi:type="dcterms:W3CDTF">2025-09-03T16:56:45Z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0x010100863A6AE8B7E4A2449C903AFD2456BD74</vt:lpwstr>
  </property>
  <property fmtid="{D5CDD505-2E9C-101B-9397-08002B2CF9AE}" pid="3" name="MediaServiceImageTags">
    <vt:lpwstr/>
  </property>
</Properties>
</file>