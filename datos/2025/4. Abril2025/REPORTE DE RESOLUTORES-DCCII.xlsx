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PRODUCCION GENERAL\"/>
    </mc:Choice>
  </mc:AlternateContent>
  <xr:revisionPtr revIDLastSave="2" documentId="8_{A9982542-DB8B-4F74-81EF-260E5A6AF688}" xr6:coauthVersionLast="47" xr6:coauthVersionMax="47" xr10:uidLastSave="{4ECE0D12-0CFD-4A26-88C0-87765E2DFC7A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 ABR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<sst xmlns="http://schemas.openxmlformats.org/spreadsheetml/2006/main" count="114" uniqueCount="74">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</sst>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topLeftCell="B1" zoomScale="85" zoomScaleNormal="85" workbookViewId="0">
      <selection activeCell="B1" sqref="A1:N16"/>
    </sheetView>
  </sheetViews>
  <sheetFormatPr defaultColWidth="11.42578125" defaultRowHeight="14.45"/>
  <cols>
    <col min="1" max="1" width="9.42578125" bestFit="1" customWidth="1"/>
    <col min="2" max="2" width="35.140625" customWidth="1"/>
    <col min="3" max="3" width="47.42578125" bestFit="1" customWidth="1"/>
    <col min="4" max="4" width="9.5703125" bestFit="1" customWidth="1"/>
    <col min="5" max="5" width="40.42578125" bestFit="1" customWidth="1"/>
    <col min="6" max="6" width="16.42578125" customWidth="1"/>
    <col min="7" max="7" width="16.5703125" customWidth="1"/>
    <col min="8" max="8" width="18.42578125" style="8" customWidth="1"/>
    <col min="9" max="9" width="11.5703125" style="8" customWidth="1"/>
    <col min="10" max="10" width="17.5703125" style="8" bestFit="1" customWidth="1"/>
    <col min="11" max="11" width="12.42578125" style="8" bestFit="1" customWidth="1"/>
    <col min="12" max="12" width="15.42578125" style="8" bestFit="1" customWidth="1"/>
    <col min="13" max="13" width="11.5703125" style="8" bestFit="1" customWidth="1"/>
    <col min="14" max="14" width="11.140625" customWidth="1"/>
    <col min="15" max="15" width="12.42578125" customWidth="1"/>
  </cols>
  <sheetData>
    <row r="1" spans="1:17" s="5" customFormat="1" ht="46.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.600000000000001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20</v>
      </c>
      <c r="L2" s="22"/>
      <c r="M2" s="27">
        <v>20</v>
      </c>
      <c r="N2" s="41"/>
      <c r="O2" s="39"/>
    </row>
    <row r="3" spans="1:17" s="9" customFormat="1" ht="18.600000000000001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/>
      <c r="K3" s="37">
        <f t="shared" si="0"/>
        <v>20</v>
      </c>
      <c r="L3" s="22"/>
      <c r="M3" s="27">
        <v>20</v>
      </c>
      <c r="N3" s="38"/>
      <c r="O3" s="40"/>
    </row>
    <row r="4" spans="1:17" s="9" customFormat="1" ht="18.600000000000001">
      <c r="A4" s="23"/>
      <c r="B4" s="24" t="s">
        <v>30</v>
      </c>
      <c r="C4" s="25" t="s">
        <v>31</v>
      </c>
      <c r="D4" s="26">
        <v>7342</v>
      </c>
      <c r="E4" s="43" t="s">
        <v>34</v>
      </c>
      <c r="F4" s="28" t="s">
        <v>35</v>
      </c>
      <c r="G4" s="29">
        <v>6</v>
      </c>
      <c r="H4" s="22"/>
      <c r="I4" s="22"/>
      <c r="J4" s="22"/>
      <c r="K4" s="37">
        <f t="shared" si="0"/>
        <v>20</v>
      </c>
      <c r="L4" s="22"/>
      <c r="M4" s="27">
        <v>20</v>
      </c>
      <c r="N4" s="38">
        <f t="shared" ref="N4:N8" si="1">+K4/M4</f>
        <v>1</v>
      </c>
      <c r="O4" s="40"/>
    </row>
    <row r="5" spans="1:17" s="9" customFormat="1" ht="18.600000000000001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/>
      <c r="J5" s="22"/>
      <c r="K5" s="37">
        <f t="shared" si="0"/>
        <v>20</v>
      </c>
      <c r="L5" s="22"/>
      <c r="M5" s="27">
        <v>20</v>
      </c>
      <c r="N5" s="38">
        <f t="shared" si="1"/>
        <v>1</v>
      </c>
      <c r="O5" s="40"/>
    </row>
    <row r="6" spans="1:17" s="9" customFormat="1" ht="18.600000000000001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/>
      <c r="J6" s="32">
        <v>3</v>
      </c>
      <c r="K6" s="37">
        <f t="shared" si="0"/>
        <v>17</v>
      </c>
      <c r="L6" s="22"/>
      <c r="M6" s="27">
        <v>20</v>
      </c>
      <c r="N6" s="38">
        <f t="shared" si="1"/>
        <v>0.85</v>
      </c>
      <c r="O6" s="40"/>
    </row>
    <row r="7" spans="1:17" s="9" customFormat="1" ht="18.600000000000001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/>
      <c r="J7" s="22"/>
      <c r="K7" s="37">
        <f t="shared" si="0"/>
        <v>20</v>
      </c>
      <c r="L7" s="22"/>
      <c r="M7" s="27">
        <v>20</v>
      </c>
      <c r="N7" s="38">
        <f t="shared" si="1"/>
        <v>1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/>
      <c r="J8" s="22">
        <v>3</v>
      </c>
      <c r="K8" s="37">
        <f t="shared" si="0"/>
        <v>17</v>
      </c>
      <c r="L8" s="22"/>
      <c r="M8" s="27">
        <v>20</v>
      </c>
      <c r="N8" s="38">
        <f t="shared" si="1"/>
        <v>0.85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3" t="s">
        <v>42</v>
      </c>
      <c r="F9" s="9" t="s">
        <v>35</v>
      </c>
      <c r="G9" s="29">
        <v>9</v>
      </c>
      <c r="H9" s="22"/>
      <c r="I9" s="22"/>
      <c r="J9" s="22"/>
      <c r="K9" s="37">
        <f t="shared" si="0"/>
        <v>20</v>
      </c>
      <c r="L9" s="22"/>
      <c r="M9" s="27">
        <v>20</v>
      </c>
      <c r="N9" s="38">
        <f>+K9/M9</f>
        <v>1</v>
      </c>
      <c r="O9" s="44">
        <f>SUM(N4:N9)</f>
        <v>5.7</v>
      </c>
    </row>
    <row r="10" spans="1:17" s="9" customFormat="1" ht="18.600000000000001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/>
      <c r="K10" s="37">
        <f t="shared" si="0"/>
        <v>20</v>
      </c>
      <c r="L10" s="36"/>
      <c r="M10" s="27">
        <v>20</v>
      </c>
      <c r="N10" s="38"/>
      <c r="O10" s="39"/>
    </row>
    <row r="11" spans="1:17" s="9" customFormat="1" ht="18.600000000000001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/>
      <c r="J11" s="22">
        <v>6</v>
      </c>
      <c r="K11" s="37">
        <f t="shared" si="0"/>
        <v>14</v>
      </c>
      <c r="L11" s="36"/>
      <c r="M11" s="27">
        <v>20</v>
      </c>
      <c r="N11" s="38">
        <f t="shared" ref="N11:N15" si="2">+K11/M11</f>
        <v>0.7</v>
      </c>
      <c r="O11" s="40"/>
    </row>
    <row r="12" spans="1:17" s="9" customFormat="1" ht="18.600000000000001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/>
      <c r="J12" s="22"/>
      <c r="K12" s="37">
        <f t="shared" si="0"/>
        <v>20</v>
      </c>
      <c r="L12" s="36"/>
      <c r="M12" s="27">
        <v>20</v>
      </c>
      <c r="N12" s="38">
        <f t="shared" si="2"/>
        <v>1</v>
      </c>
      <c r="O12" s="40"/>
      <c r="Q12" s="11"/>
    </row>
    <row r="13" spans="1:17" s="9" customFormat="1" ht="18.600000000000001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/>
      <c r="J13" s="22"/>
      <c r="K13" s="37">
        <f t="shared" si="0"/>
        <v>20</v>
      </c>
      <c r="L13" s="36"/>
      <c r="M13" s="27">
        <v>20</v>
      </c>
      <c r="N13" s="38">
        <f t="shared" si="2"/>
        <v>1</v>
      </c>
      <c r="O13" s="40"/>
    </row>
    <row r="14" spans="1:17" s="9" customFormat="1" ht="18.600000000000001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/>
      <c r="J14" s="22">
        <v>8</v>
      </c>
      <c r="K14" s="37">
        <f t="shared" si="0"/>
        <v>12</v>
      </c>
      <c r="L14" s="22"/>
      <c r="M14" s="27">
        <v>20</v>
      </c>
      <c r="N14" s="38">
        <f t="shared" si="2"/>
        <v>0.6</v>
      </c>
      <c r="O14" s="40"/>
    </row>
    <row r="15" spans="1:17" s="9" customFormat="1" ht="18.600000000000001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/>
      <c r="J15" s="22">
        <v>9</v>
      </c>
      <c r="K15" s="37">
        <f t="shared" si="0"/>
        <v>11</v>
      </c>
      <c r="L15" s="36"/>
      <c r="M15" s="27">
        <v>20</v>
      </c>
      <c r="N15" s="38">
        <f t="shared" si="2"/>
        <v>0.55000000000000004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/>
      <c r="J16" s="22"/>
      <c r="K16" s="37">
        <f t="shared" si="0"/>
        <v>20</v>
      </c>
      <c r="L16" s="22"/>
      <c r="M16" s="27">
        <v>20</v>
      </c>
      <c r="N16" s="38">
        <f t="shared" ref="N16" si="3">+K16/M16</f>
        <v>1</v>
      </c>
      <c r="O16" s="45">
        <f>SUM(N11:N16)</f>
        <v>4.8500000000000005</v>
      </c>
    </row>
    <row r="17" spans="1:16" s="9" customFormat="1" ht="18.600000000000001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6">
        <f>SUM(N4:N16)</f>
        <v>10.55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8.1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570312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BDF347-5E99-4AA2-8A4E-320BA98AE1FF}"/>
</file>

<file path=customXml/itemProps2.xml><?xml version="1.0" encoding="utf-8"?>
<ds:datastoreItem xmlns:ds="http://schemas.openxmlformats.org/officeDocument/2006/customXml" ds:itemID="{AC2C4421-A1FB-420C-8979-96ADE81180FE}"/>
</file>

<file path=customXml/itemProps3.xml><?xml version="1.0" encoding="utf-8"?>
<ds:datastoreItem xmlns:ds="http://schemas.openxmlformats.org/officeDocument/2006/customXml" ds:itemID="{23311D80-7783-478B-B047-821FCC784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