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atperu.sharepoint.com/sites/i-ni/7U7000/7U7200/ADMINISTRATIVO/Reporte de Gestión/Reporte de producción/2025/"/>
    </mc:Choice>
  </mc:AlternateContent>
  <xr:revisionPtr revIDLastSave="13" documentId="13_ncr:1_{3A0EEE63-2AF5-4409-8971-DC0CB6B1B636}" xr6:coauthVersionLast="47" xr6:coauthVersionMax="47" xr10:uidLastSave="{D5A09E3C-77B8-4905-BEA0-5A41915D862E}"/>
  <bookViews>
    <workbookView xWindow="-110" yWindow="-110" windowWidth="19420" windowHeight="10420" tabRatio="744" xr2:uid="{0E900B61-4C67-4333-84FF-E1DD34DC1655}"/>
  </bookViews>
  <sheets>
    <sheet name="Stock po Resolutor" sheetId="46" r:id="rId1"/>
    <sheet name="Stock Reclamo" sheetId="1" r:id="rId2"/>
    <sheet name="Resumen por Resolutor" sheetId="11" r:id="rId3"/>
    <sheet name="Resumen por Resultado" sheetId="44" r:id="rId4"/>
    <sheet name="Producción Reclamo" sheetId="2" r:id="rId5"/>
    <sheet name="Hoja1" sheetId="13" state="hidden" r:id="rId6"/>
  </sheets>
  <definedNames>
    <definedName name="_xlnm._FilterDatabase" localSheetId="4" hidden="1">'Producción Reclamo'!$A$1:$P$147</definedName>
    <definedName name="_xlnm._FilterDatabase" localSheetId="1" hidden="1">'Stock Reclamo'!$A$1:$M$469</definedName>
  </definedNames>
  <calcPr calcId="191028"/>
  <pivotCaches>
    <pivotCache cacheId="3" r:id="rId7"/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1" l="1"/>
  <c r="E6" i="11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E12" i="11"/>
  <c r="D12" i="11" s="1"/>
  <c r="E9" i="11"/>
  <c r="D9" i="11" s="1"/>
  <c r="E14" i="11"/>
  <c r="D14" i="11" s="1"/>
  <c r="E13" i="11" l="1"/>
  <c r="D13" i="11" s="1"/>
  <c r="E11" i="11"/>
  <c r="D11" i="11" s="1"/>
  <c r="E16" i="11"/>
  <c r="D16" i="11" s="1"/>
  <c r="E8" i="11"/>
  <c r="D8" i="11" s="1"/>
  <c r="E15" i="11"/>
  <c r="D15" i="11" s="1"/>
  <c r="D7" i="11"/>
  <c r="E10" i="11"/>
  <c r="D10" i="11" s="1"/>
  <c r="E17" i="11"/>
  <c r="D17" i="11" s="1"/>
  <c r="D6" i="11" l="1"/>
  <c r="J12" i="11" l="1"/>
  <c r="I7" i="11"/>
  <c r="I8" i="11"/>
  <c r="I9" i="11"/>
  <c r="I10" i="11"/>
  <c r="J11" i="11"/>
  <c r="H18" i="11"/>
  <c r="G18" i="11"/>
  <c r="F18" i="11"/>
  <c r="I11" i="11"/>
  <c r="J8" i="11" l="1"/>
  <c r="J7" i="11"/>
  <c r="J9" i="11"/>
  <c r="J10" i="11"/>
  <c r="J6" i="11"/>
  <c r="E18" i="11"/>
  <c r="I6" i="11"/>
  <c r="I18" i="11" s="1"/>
  <c r="J18" i="11" l="1"/>
  <c r="D18" i="11"/>
</calcChain>
</file>

<file path=xl/sharedStrings.xml><?xml version="1.0" encoding="utf-8"?>
<sst xmlns="http://schemas.openxmlformats.org/spreadsheetml/2006/main" count="5394" uniqueCount="1556">
  <si>
    <t>Cuenta de Número de Expediente</t>
  </si>
  <si>
    <t>Etiquetas de columna</t>
  </si>
  <si>
    <t>2020</t>
  </si>
  <si>
    <t>2023</t>
  </si>
  <si>
    <t>2024</t>
  </si>
  <si>
    <t>Total general</t>
  </si>
  <si>
    <t>Etiquetas de fila</t>
  </si>
  <si>
    <t>Indicador de OEA</t>
  </si>
  <si>
    <t>Tipo de documento</t>
  </si>
  <si>
    <t>Número documento</t>
  </si>
  <si>
    <t>Nombre o Razón Social</t>
  </si>
  <si>
    <t>Número de Expediente</t>
  </si>
  <si>
    <t xml:space="preserve">Fecha de Presentación </t>
  </si>
  <si>
    <t>Fecha_vencimiento</t>
  </si>
  <si>
    <t>Etapa del Recurso</t>
  </si>
  <si>
    <t>Resolutor asignado</t>
  </si>
  <si>
    <t>Supervisor</t>
  </si>
  <si>
    <t>RUC</t>
  </si>
  <si>
    <t>20555881801</t>
  </si>
  <si>
    <t>INCAVO S.A.C.</t>
  </si>
  <si>
    <t>4090340004637</t>
  </si>
  <si>
    <t>RECURSO EN ANÁLISIS DE FONDO</t>
  </si>
  <si>
    <t>4840 ALBERTO ANTHAR MUNIVE BISETTI</t>
  </si>
  <si>
    <t>4090340004646</t>
  </si>
  <si>
    <t>4090340004656</t>
  </si>
  <si>
    <t>4090340004662</t>
  </si>
  <si>
    <t>4090340004670</t>
  </si>
  <si>
    <t>4090340004672</t>
  </si>
  <si>
    <t>4090340004679</t>
  </si>
  <si>
    <t>4090340004680</t>
  </si>
  <si>
    <t>4090340004667</t>
  </si>
  <si>
    <t>4090340004668</t>
  </si>
  <si>
    <t>4090340004651</t>
  </si>
  <si>
    <t>4090340004652</t>
  </si>
  <si>
    <t>4090340004663</t>
  </si>
  <si>
    <t>4090340004677</t>
  </si>
  <si>
    <t>4090340004681</t>
  </si>
  <si>
    <t>4090340004682</t>
  </si>
  <si>
    <t>20601311781</t>
  </si>
  <si>
    <t>RICBEL F.H. LOGISTICA S.A.</t>
  </si>
  <si>
    <t>20469317855</t>
  </si>
  <si>
    <t>PC LINK SOCIEDAD ANONIMA CERRADA</t>
  </si>
  <si>
    <t>DNI</t>
  </si>
  <si>
    <t>20418896753</t>
  </si>
  <si>
    <t>MAXIMILIAN INVERSIONES S.A.</t>
  </si>
  <si>
    <t>RECLAMOS ATENDIDOS
 DCC2</t>
  </si>
  <si>
    <t>REGISTRO</t>
  </si>
  <si>
    <t>APELLIDO PATERNO</t>
  </si>
  <si>
    <t>En Q de Expedientes</t>
  </si>
  <si>
    <t xml:space="preserve">En Q de Resoluciones </t>
  </si>
  <si>
    <t xml:space="preserve">Total Q de Resoluciones </t>
  </si>
  <si>
    <t>TOTAL Q de  Expedientes</t>
  </si>
  <si>
    <t>7342</t>
  </si>
  <si>
    <t>4644</t>
  </si>
  <si>
    <t>AO21</t>
  </si>
  <si>
    <t>7211</t>
  </si>
  <si>
    <t>7624</t>
  </si>
  <si>
    <t>5844</t>
  </si>
  <si>
    <t>2423</t>
  </si>
  <si>
    <t>7326</t>
  </si>
  <si>
    <t>AT75</t>
  </si>
  <si>
    <t>7151</t>
  </si>
  <si>
    <t>5749</t>
  </si>
  <si>
    <t>4569</t>
  </si>
  <si>
    <t>TOTAL</t>
  </si>
  <si>
    <t>estado (vencido/no vencido)</t>
  </si>
  <si>
    <t>Resolutor</t>
  </si>
  <si>
    <t>Supervisión</t>
  </si>
  <si>
    <t>División</t>
  </si>
  <si>
    <t>Número de Resolución</t>
  </si>
  <si>
    <t>Resultado</t>
  </si>
  <si>
    <t>Fecha de emisión de RI</t>
  </si>
  <si>
    <t>Fecha de depósito en SINE</t>
  </si>
  <si>
    <t>28/06/2024</t>
  </si>
  <si>
    <t>19/06/2024</t>
  </si>
  <si>
    <t>11/07/2024</t>
  </si>
  <si>
    <t>20/06/2024</t>
  </si>
  <si>
    <t>PASAPORTE</t>
  </si>
  <si>
    <t>INFUNDADO</t>
  </si>
  <si>
    <t>10060037456</t>
  </si>
  <si>
    <t>VILCHEZ COVEÑAS JULIO</t>
  </si>
  <si>
    <t>4090340011045</t>
  </si>
  <si>
    <t>MARCO ANTONIO, TREGEAR JIMENEZ</t>
  </si>
  <si>
    <t>5905 ROBERTO GABRIEL VERA TUDELA GALLESI</t>
  </si>
  <si>
    <t> 4090140010022</t>
  </si>
  <si>
    <t>20610637273</t>
  </si>
  <si>
    <t>PERU ROCKET IMPORTACIONES E.I.R.L.</t>
  </si>
  <si>
    <t>4090340010968</t>
  </si>
  <si>
    <t>07/07/2024</t>
  </si>
  <si>
    <t>5906 ROBERTO GABRIEL VERA TUDELA GALLESI</t>
  </si>
  <si>
    <t>4090140010048</t>
  </si>
  <si>
    <t>10750756714</t>
  </si>
  <si>
    <t>MIRANO PORTOCARRERO JEFERSON</t>
  </si>
  <si>
    <t>4090340010715</t>
  </si>
  <si>
    <t>5907 ROBERTO GABRIEL VERA TUDELA GALLESI</t>
  </si>
  <si>
    <t>4090140010032</t>
  </si>
  <si>
    <t>10178960721</t>
  </si>
  <si>
    <t>GONZALEZ DE AGUIRRE MARTHA YNES</t>
  </si>
  <si>
    <t>4090340010586</t>
  </si>
  <si>
    <t>24/06/2024</t>
  </si>
  <si>
    <t>5908 ROBERTO GABRIEL VERA TUDELA GALLESI</t>
  </si>
  <si>
    <t>4090140009759</t>
  </si>
  <si>
    <t>20609748347</t>
  </si>
  <si>
    <t>GROUP FOUR LOVE INTERNATIONAL S.A.C.</t>
  </si>
  <si>
    <t>4090340010799</t>
  </si>
  <si>
    <t>22/06/2024</t>
  </si>
  <si>
    <t>5909 ROBERTO GABRIEL VERA TUDELA GALLESI</t>
  </si>
  <si>
    <t>4090140009755</t>
  </si>
  <si>
    <t>4090340010610</t>
  </si>
  <si>
    <t>5910 ROBERTO GABRIEL VERA TUDELA GALLESI</t>
  </si>
  <si>
    <t>4090140009753</t>
  </si>
  <si>
    <t>10062546498</t>
  </si>
  <si>
    <t>MATIAS HUAMAN BERTHA</t>
  </si>
  <si>
    <t>4090340010544</t>
  </si>
  <si>
    <t>5911 ROBERTO GABRIEL VERA TUDELA GALLESI</t>
  </si>
  <si>
    <t>4090140010078</t>
  </si>
  <si>
    <t>4090340010306</t>
  </si>
  <si>
    <t>06/06/2024</t>
  </si>
  <si>
    <t>5912 ROBERTO GABRIEL VERA TUDELA GALLESI</t>
  </si>
  <si>
    <t>4090140009761</t>
  </si>
  <si>
    <t>10762831649</t>
  </si>
  <si>
    <t>TUME PAZO JHUNNIOR SMITH</t>
  </si>
  <si>
    <t>4090340010138</t>
  </si>
  <si>
    <t>28/05/2024</t>
  </si>
  <si>
    <t>5913 ROBERTO GABRIEL VERA TUDELA GALLESI</t>
  </si>
  <si>
    <t>4090140009760</t>
  </si>
  <si>
    <t>10446350485</t>
  </si>
  <si>
    <t>COTERA SANTOS MIRKO JHONN</t>
  </si>
  <si>
    <t>4090340010012</t>
  </si>
  <si>
    <t>06/05/2024</t>
  </si>
  <si>
    <t>5914 ROBERTO GABRIEL VERA TUDELA GALLESI</t>
  </si>
  <si>
    <t>4090140009758</t>
  </si>
  <si>
    <t>10084467630</t>
  </si>
  <si>
    <t>AGUIRRE VERAMENDI DE BARROS EMERITTA</t>
  </si>
  <si>
    <t>20521770814</t>
  </si>
  <si>
    <t>PERU CUSTOMS ADVISER S.A.C.</t>
  </si>
  <si>
    <t>2022</t>
  </si>
  <si>
    <t>Cuenta de Número de Resolución</t>
  </si>
  <si>
    <t>Nota: Todos los resolutores adicionalmente realizan labor administrativa, vinculada a a verificación y atención expedientes pendientes en bandeja e chaski (atención  de requerimiento de copias, notificaciones), verificación de validez de acuses de notificación; verificación de casos para devolver a admisibilidad, coordinación con admisibilidad y conformación de actuados, reunión TEAMS con unidades en la que se emitiría RD de nulidad, proyección de Memorándum requiriendo actuados a unidades y otros.</t>
  </si>
  <si>
    <t>20538673839</t>
  </si>
  <si>
    <t>BULLFROG PERU S.A.C.</t>
  </si>
  <si>
    <t>4090340013378</t>
  </si>
  <si>
    <t>20566330068</t>
  </si>
  <si>
    <t>ASIX TRADING S.A.C.</t>
  </si>
  <si>
    <t>BLOG ADUANAS S.A.C.</t>
  </si>
  <si>
    <t>20515521217</t>
  </si>
  <si>
    <t>20350361210</t>
  </si>
  <si>
    <t>INVERSIONES COFIMAR E.I.R.L.</t>
  </si>
  <si>
    <t>4090340010778</t>
  </si>
  <si>
    <t>Plazo vencimiento TLT</t>
  </si>
  <si>
    <t>No Gestionable</t>
  </si>
  <si>
    <t>FAMYR GROUP EIRL</t>
  </si>
  <si>
    <t>4090340001882</t>
  </si>
  <si>
    <t>Con ITOP I-665832 (30/06/2023) pendiente. Resuelto con RD 4090140003346</t>
  </si>
  <si>
    <t>COMERCIAL ARCE FASHION E.I.R.L.</t>
  </si>
  <si>
    <t>Con ITOP I-796618 (21/12/2023) pendiente. Resuelto con RD 4090140003985</t>
  </si>
  <si>
    <t>10451014353</t>
  </si>
  <si>
    <t>FLORES CANCHO JUAN CARLOS</t>
  </si>
  <si>
    <t>4090340005793</t>
  </si>
  <si>
    <t>10481404806</t>
  </si>
  <si>
    <t>ZAPATA ODAR EDISON FELIX</t>
  </si>
  <si>
    <t>20393063956</t>
  </si>
  <si>
    <t>INDUSTRIAS TRICAR S.A.C.</t>
  </si>
  <si>
    <t>20512528458</t>
  </si>
  <si>
    <t>SHALOM EMPRESARIAL S.A.C.</t>
  </si>
  <si>
    <t>Observaciones</t>
  </si>
  <si>
    <t>Plazo TLT</t>
  </si>
  <si>
    <t>2025</t>
  </si>
  <si>
    <t>20602708731</t>
  </si>
  <si>
    <t>LIZGOTEX SAC</t>
  </si>
  <si>
    <t>20607236322</t>
  </si>
  <si>
    <t>INSA ALMACEN DE CABELLOS NATURALES S.A.C.</t>
  </si>
  <si>
    <t>4090340016295</t>
  </si>
  <si>
    <t>CI</t>
  </si>
  <si>
    <t>20536126440</t>
  </si>
  <si>
    <t>MINERA VETA DORADA S.A.C.</t>
  </si>
  <si>
    <t>20567241506</t>
  </si>
  <si>
    <t>RIVERA DIESEL AMAZONICA S.A.C.</t>
  </si>
  <si>
    <t>4090340015611</t>
  </si>
  <si>
    <t>20600102932</t>
  </si>
  <si>
    <t>IMPORT CRISTO VIENE E.I.R.L.</t>
  </si>
  <si>
    <t>4090340015904</t>
  </si>
  <si>
    <t>10473493603</t>
  </si>
  <si>
    <t>VILLEGAS PANTA CESAR IVAN</t>
  </si>
  <si>
    <t>4090340016068</t>
  </si>
  <si>
    <t>20608643215</t>
  </si>
  <si>
    <t>TRANSPORTES FRONTERAS PERU S.A.C.</t>
  </si>
  <si>
    <t>4090340015695</t>
  </si>
  <si>
    <t>20384262067</t>
  </si>
  <si>
    <t>CORPORACION AMBIENTAL ALANCO PERU S.A.C. - ALANCO PERU S.A.C.</t>
  </si>
  <si>
    <t>4090340015725</t>
  </si>
  <si>
    <t>10411270861</t>
  </si>
  <si>
    <t>LOPEZ GUEVARA WILDER GUSTAVO</t>
  </si>
  <si>
    <t>4090340015724</t>
  </si>
  <si>
    <t>4090340015719</t>
  </si>
  <si>
    <t>20601311331</t>
  </si>
  <si>
    <t>NM INDUSTRIAL DEVELOPMENTS S.A.C.</t>
  </si>
  <si>
    <t>4090340015718</t>
  </si>
  <si>
    <t>20604509077</t>
  </si>
  <si>
    <t>ORTOPEDIA TRAUMATOLOGIA Y MEDICINA S.A.C.</t>
  </si>
  <si>
    <t>4090340015690</t>
  </si>
  <si>
    <t>10461225751</t>
  </si>
  <si>
    <t>ALARCON HUAMAN DENISE</t>
  </si>
  <si>
    <t>4090340015678</t>
  </si>
  <si>
    <t>4090340015674</t>
  </si>
  <si>
    <t>10180119481</t>
  </si>
  <si>
    <t>CRUZADO CHAFFO SALVADOR ENRIQUE</t>
  </si>
  <si>
    <t>4090340016030</t>
  </si>
  <si>
    <t>4090340015805</t>
  </si>
  <si>
    <t>20103913340</t>
  </si>
  <si>
    <t>ORVISA SOCIEDAD ANONIMA</t>
  </si>
  <si>
    <t>4090340015914</t>
  </si>
  <si>
    <t>10099492801</t>
  </si>
  <si>
    <t>COVEÑAS PORLLES JOSE LUIS</t>
  </si>
  <si>
    <t>4090340015829</t>
  </si>
  <si>
    <t>20408998981</t>
  </si>
  <si>
    <t>ARMANDO DAVILA ALVARADO EIRL</t>
  </si>
  <si>
    <t>4090340015923</t>
  </si>
  <si>
    <t>4090340015922</t>
  </si>
  <si>
    <t>4090340015921</t>
  </si>
  <si>
    <t>4090340015920</t>
  </si>
  <si>
    <t>4090340015917</t>
  </si>
  <si>
    <t>4090340015916</t>
  </si>
  <si>
    <t>4090340015913</t>
  </si>
  <si>
    <t>10700342641</t>
  </si>
  <si>
    <t>AMAYA MECA JHON PAUL</t>
  </si>
  <si>
    <t>20609168219</t>
  </si>
  <si>
    <t>MAQUINARIAS YURAC S.A.C.</t>
  </si>
  <si>
    <t>4090340015932</t>
  </si>
  <si>
    <t>4090340015985</t>
  </si>
  <si>
    <t>10294730295</t>
  </si>
  <si>
    <t>ZEGARRA PINTO JOSE MARIA</t>
  </si>
  <si>
    <t>4090340016012</t>
  </si>
  <si>
    <t>4090340016386</t>
  </si>
  <si>
    <t>20608673726</t>
  </si>
  <si>
    <t>J&amp;M GRUPO TEXTIL E.I.R.L.</t>
  </si>
  <si>
    <t>4090340015960</t>
  </si>
  <si>
    <t>20610193693</t>
  </si>
  <si>
    <t>SODI IMPORT SELVA S.A.C.</t>
  </si>
  <si>
    <t>4090340016063</t>
  </si>
  <si>
    <t>20600801636</t>
  </si>
  <si>
    <t>EMPRESA DE TRANSPORTES Y DE SERVICIOS PEGASO IMPERIAL SOCIEDAD COMERCIAL DE RESPONSABILIDAD LIMITADA</t>
  </si>
  <si>
    <t>4090340016105</t>
  </si>
  <si>
    <t>20519867177</t>
  </si>
  <si>
    <t>CORPORACION BLANCO'S E.I.R.L.</t>
  </si>
  <si>
    <t>4090340016016</t>
  </si>
  <si>
    <t>20551759939</t>
  </si>
  <si>
    <t>CORPORACION TEXTIL WALAS S.A.C.</t>
  </si>
  <si>
    <t>20608895630</t>
  </si>
  <si>
    <t>XIAOMI TECHNOLOGIES PERU S.A.C.</t>
  </si>
  <si>
    <t>4090340016026</t>
  </si>
  <si>
    <t>10731453735</t>
  </si>
  <si>
    <t>CALDERON GURBILLON JORGE ALBERTO</t>
  </si>
  <si>
    <t>4090340016110</t>
  </si>
  <si>
    <t>20607335801</t>
  </si>
  <si>
    <t>MOV STORE E.I.R.L.</t>
  </si>
  <si>
    <t>4090340016108</t>
  </si>
  <si>
    <t>20479364207</t>
  </si>
  <si>
    <t>MOLINO SAN FERNANDO S.R.L.</t>
  </si>
  <si>
    <t>4090340016072</t>
  </si>
  <si>
    <t>20608563343</t>
  </si>
  <si>
    <t>RIVERTOP TEXTIL S.A.C.</t>
  </si>
  <si>
    <t>4090340016128</t>
  </si>
  <si>
    <t>4090340016087</t>
  </si>
  <si>
    <t>4090340016085</t>
  </si>
  <si>
    <t>20512898891</t>
  </si>
  <si>
    <t>AGENCIA DE ADUANA VILCAPOMA HERMANOS SOCIEDAD COMERCIAL DE RESPONSABILIDAD LIMITADA</t>
  </si>
  <si>
    <t>10010777211</t>
  </si>
  <si>
    <t>JIMENEZ ACHA PEDRO JOSE</t>
  </si>
  <si>
    <t>4090340016093</t>
  </si>
  <si>
    <t>4090340016088</t>
  </si>
  <si>
    <t>20601578566</t>
  </si>
  <si>
    <t>DOMEL PRODUCE S.A.C.</t>
  </si>
  <si>
    <t>4090340016118</t>
  </si>
  <si>
    <t>4090340016100</t>
  </si>
  <si>
    <t>20609502054</t>
  </si>
  <si>
    <t>AGROINDUSTRIAS ALIMENTARIAS VETERINARIAS EMPRESA INDIVIDUAL DE RESPONSABILIDAD LIMITADA</t>
  </si>
  <si>
    <t>4090340016119</t>
  </si>
  <si>
    <t>20604533938</t>
  </si>
  <si>
    <t>TRANSPORTES GUITTON S.A.C.</t>
  </si>
  <si>
    <t>4090340016129</t>
  </si>
  <si>
    <t>20100128218</t>
  </si>
  <si>
    <t>PETROLEOS DEL PERU PETROPERU SA</t>
  </si>
  <si>
    <t>4090340016251</t>
  </si>
  <si>
    <t>10446097721</t>
  </si>
  <si>
    <t>CARDENAS YAURI KENIA NATALY</t>
  </si>
  <si>
    <t>4090340016264</t>
  </si>
  <si>
    <t>4090340016240</t>
  </si>
  <si>
    <t>4090340016152</t>
  </si>
  <si>
    <t>20601226015</t>
  </si>
  <si>
    <t>AGROCASAGRANDE S.A.C.</t>
  </si>
  <si>
    <t>4090340016183</t>
  </si>
  <si>
    <t>20517510948</t>
  </si>
  <si>
    <t>ASKHA LLIMPI S.A.C.</t>
  </si>
  <si>
    <t>4090340016200</t>
  </si>
  <si>
    <t>4090340016196</t>
  </si>
  <si>
    <t>20333363900</t>
  </si>
  <si>
    <t>ENGIE ENERGIA PERU S.A.</t>
  </si>
  <si>
    <t>4090340016198</t>
  </si>
  <si>
    <t>202168086</t>
  </si>
  <si>
    <t>SOUBLETTE TAMANI NICOLAS ESTEBAN</t>
  </si>
  <si>
    <t>4090340016248</t>
  </si>
  <si>
    <t>20604180229</t>
  </si>
  <si>
    <t>MADERACRE TIMBER S.A.C.</t>
  </si>
  <si>
    <t>4090340016211</t>
  </si>
  <si>
    <t>4090340016210</t>
  </si>
  <si>
    <t>4090340016209</t>
  </si>
  <si>
    <t>4090340016207</t>
  </si>
  <si>
    <t>20504658296</t>
  </si>
  <si>
    <t>TEXTIL RAMOS S.A.C</t>
  </si>
  <si>
    <t>4090340016215</t>
  </si>
  <si>
    <t>20553246033</t>
  </si>
  <si>
    <t>TEXTIL PUBLICIS S.A.C.</t>
  </si>
  <si>
    <t>4090340016354</t>
  </si>
  <si>
    <t>20554886575</t>
  </si>
  <si>
    <t>SERVICIOS GENERALES DE IMPORTACION Y EXPORTACION HIK SOCIEDAD ANONIMA CERRADA</t>
  </si>
  <si>
    <t>4090340016223</t>
  </si>
  <si>
    <t>4090340016232</t>
  </si>
  <si>
    <t>20600952634</t>
  </si>
  <si>
    <t>JG UNIVISION  S.A.C.</t>
  </si>
  <si>
    <t>4090340016257</t>
  </si>
  <si>
    <t>20559711960</t>
  </si>
  <si>
    <t>TINO EXCAVACIONES PERU S.A.C.</t>
  </si>
  <si>
    <t>4090340016358</t>
  </si>
  <si>
    <t>20481787743</t>
  </si>
  <si>
    <t>AGRO EXPORTACIONES PERU FOODS SAC</t>
  </si>
  <si>
    <t>4090340016350</t>
  </si>
  <si>
    <t>NO</t>
  </si>
  <si>
    <t>VICTORIA CARMEN ROSA, FLORES ALVITEZ</t>
  </si>
  <si>
    <t>ALBERTO ANTHAR, MUNIVE BISETTI</t>
  </si>
  <si>
    <t>ROBERTO GABRIEL, VERA TUDELA GALLESI</t>
  </si>
  <si>
    <t>JOSE WAGNER, LINAREZ AMACIFUEN</t>
  </si>
  <si>
    <t>LYDIA CAROLINA, ARESTEGUI PEREYRA</t>
  </si>
  <si>
    <t>CARLOS ALFREDO, MALAGA PORTOCARRERO</t>
  </si>
  <si>
    <t>YESSENIA LIZET, SALCEDO DIAZ</t>
  </si>
  <si>
    <t>SI</t>
  </si>
  <si>
    <t>ROBERTO CESAR, RIVAROLA HIDALGO</t>
  </si>
  <si>
    <t>NULIDAD</t>
  </si>
  <si>
    <t>JUAN CARLOS, CUYA VELARDE</t>
  </si>
  <si>
    <t>RICHARD, VELA NUÑEZ</t>
  </si>
  <si>
    <t>LOURDES FABIOLA, PRETEL NOBLECILLA</t>
  </si>
  <si>
    <t>WILDER ELOY, ULLOA ASCENCIO</t>
  </si>
  <si>
    <t>CECILIA JACQUELINE, ACOSTA SALAZAR</t>
  </si>
  <si>
    <t>RENIERD, RIOS GOMEZ</t>
  </si>
  <si>
    <t>FUNDADO</t>
  </si>
  <si>
    <t>POUL CRISTIAN, VALDIVIA CHARCA</t>
  </si>
  <si>
    <t>10454417874</t>
  </si>
  <si>
    <t>CARITA COTA UBER</t>
  </si>
  <si>
    <t>4090340016865</t>
  </si>
  <si>
    <t>10749017118</t>
  </si>
  <si>
    <t>PECHO ANCCO JAHAIRA REBECA</t>
  </si>
  <si>
    <t>4090340017104</t>
  </si>
  <si>
    <t>ENRIQUE ALVARO, VILLANUEVA HURTADO</t>
  </si>
  <si>
    <t>Resolución N° 4090140009542 / Notificada vía SINE -28/08/2024</t>
  </si>
  <si>
    <t>75157141</t>
  </si>
  <si>
    <t>NAYELLI FLOR CASTAÑEDA ASTURIMA</t>
  </si>
  <si>
    <t>4090340017250</t>
  </si>
  <si>
    <t>20308430457</t>
  </si>
  <si>
    <t>FABRICA DE ENVASES S.A</t>
  </si>
  <si>
    <t>4090340016323</t>
  </si>
  <si>
    <t>15337718601</t>
  </si>
  <si>
    <t>POZO MORA CLEMENTE SILVESTRE</t>
  </si>
  <si>
    <t>4090340015979</t>
  </si>
  <si>
    <t>20609732718</t>
  </si>
  <si>
    <t>SERVISORTEK S.A.C.</t>
  </si>
  <si>
    <t>4090340016420</t>
  </si>
  <si>
    <t>10453654856</t>
  </si>
  <si>
    <t>AGUILAR TOMAPASCA ESTRELLA ELIZABET</t>
  </si>
  <si>
    <t>4090340016221</t>
  </si>
  <si>
    <t>20609359651</t>
  </si>
  <si>
    <t>INVERSIONES PIANDA S.A.C.</t>
  </si>
  <si>
    <t>4090340016256</t>
  </si>
  <si>
    <t>10454874451</t>
  </si>
  <si>
    <t>VASQUEZ PUMA DENNIS DAVID</t>
  </si>
  <si>
    <t>4090340017106</t>
  </si>
  <si>
    <t>20558624605</t>
  </si>
  <si>
    <t>TRANSYACU S.A.C.</t>
  </si>
  <si>
    <t>4090340016222</t>
  </si>
  <si>
    <t>20503314585</t>
  </si>
  <si>
    <t>LAN CARGO S.A. SUCURSAL PERU</t>
  </si>
  <si>
    <t>4090340016531</t>
  </si>
  <si>
    <t>4090340016270</t>
  </si>
  <si>
    <t>4090340016259</t>
  </si>
  <si>
    <t>10440440938</t>
  </si>
  <si>
    <t>TORRES MIREZ VLADIMIR FRANZ</t>
  </si>
  <si>
    <t>4090340016526</t>
  </si>
  <si>
    <t>20306713923</t>
  </si>
  <si>
    <t>ATRACCIONES CONEY ISLAND S.A.C.</t>
  </si>
  <si>
    <t>4090340016319</t>
  </si>
  <si>
    <t>10425577200</t>
  </si>
  <si>
    <t>SOTO BELTRAN CHRISTIAN EUGENIO</t>
  </si>
  <si>
    <t>4090340016421</t>
  </si>
  <si>
    <t>4090340017322</t>
  </si>
  <si>
    <t>10306747784</t>
  </si>
  <si>
    <t>VALDEZ ZEVALLOS BRENDA ELIZABETH</t>
  </si>
  <si>
    <t>4090340016480</t>
  </si>
  <si>
    <t>20612796654</t>
  </si>
  <si>
    <t>INVERSIONES Y SERVICIOS ZAFIRO GROUP S.A.C.</t>
  </si>
  <si>
    <t>4090340016396</t>
  </si>
  <si>
    <t>10704938964</t>
  </si>
  <si>
    <t>SUAREZ ALBERTI MARIA LAURA</t>
  </si>
  <si>
    <t>4090340016385</t>
  </si>
  <si>
    <t>20409440364</t>
  </si>
  <si>
    <t>IMPORTACION ROBERT E.I.R.L</t>
  </si>
  <si>
    <t>4090340016511</t>
  </si>
  <si>
    <t>20600932749</t>
  </si>
  <si>
    <t>MOLINERIA LOS COCOS S.A.C.</t>
  </si>
  <si>
    <t>4090340016870</t>
  </si>
  <si>
    <t>10462454029</t>
  </si>
  <si>
    <t>ESPINOZA CHICLLA ROOSVERT</t>
  </si>
  <si>
    <t>4090340016527</t>
  </si>
  <si>
    <t>4090340016428</t>
  </si>
  <si>
    <t>20603319151</t>
  </si>
  <si>
    <t>IMPORTADORAUNIVERSAL.PE S.A.C.</t>
  </si>
  <si>
    <t>4090340016432</t>
  </si>
  <si>
    <t>10062043682</t>
  </si>
  <si>
    <t>SANCHEZ SALAZAR ENRIQUE FERNANDO</t>
  </si>
  <si>
    <t>4090340016437</t>
  </si>
  <si>
    <t>10477955971</t>
  </si>
  <si>
    <t>INCACUTIPA TICONA JORGE</t>
  </si>
  <si>
    <t>4090340016462</t>
  </si>
  <si>
    <t>4090340016431</t>
  </si>
  <si>
    <t>20600771877</t>
  </si>
  <si>
    <t>TRANSPORTES COPACABANA WS E.I.R.L.</t>
  </si>
  <si>
    <t>4090340016648</t>
  </si>
  <si>
    <t>20132272418</t>
  </si>
  <si>
    <t>INTERNACIONAL DE TRANSPORTE TURISTICO Y SERVICIOS SRL</t>
  </si>
  <si>
    <t>4090340016465</t>
  </si>
  <si>
    <t>20603055731</t>
  </si>
  <si>
    <t>NK WINNERS COMPANY S.A.C.</t>
  </si>
  <si>
    <t>4090340016459</t>
  </si>
  <si>
    <t>4090340016425</t>
  </si>
  <si>
    <t>10432083158</t>
  </si>
  <si>
    <t>RENGIFO BAZAN MILTON FREDY</t>
  </si>
  <si>
    <t>4090340016649</t>
  </si>
  <si>
    <t>4090340016457</t>
  </si>
  <si>
    <t>20390605235</t>
  </si>
  <si>
    <t>PHONIX WORLD S.A.C</t>
  </si>
  <si>
    <t>4090340016456</t>
  </si>
  <si>
    <t>20606793481</t>
  </si>
  <si>
    <t>IMPORT &amp; EXPORT JUNHONG S.A.C</t>
  </si>
  <si>
    <t>4090340016488</t>
  </si>
  <si>
    <t>4090340016467</t>
  </si>
  <si>
    <t>20565510348</t>
  </si>
  <si>
    <t>ACCIONES VETERINARIAS E.I.R.L.</t>
  </si>
  <si>
    <t>4090340017263</t>
  </si>
  <si>
    <t>10483996191</t>
  </si>
  <si>
    <t>AMARO ARONI OLGA</t>
  </si>
  <si>
    <t>4090340016801</t>
  </si>
  <si>
    <t>4090340016536</t>
  </si>
  <si>
    <t>4090340016550</t>
  </si>
  <si>
    <t>20131373237</t>
  </si>
  <si>
    <t>MINISTERIO DE SALUD</t>
  </si>
  <si>
    <t>4090340016549</t>
  </si>
  <si>
    <t>20608543270</t>
  </si>
  <si>
    <t>IMPORT &amp; EXPORT JEZABELL FASHION E.I.R.L.</t>
  </si>
  <si>
    <t>4090340016532</t>
  </si>
  <si>
    <t>10414217902</t>
  </si>
  <si>
    <t>MAMANI HUANCO ARMANDO</t>
  </si>
  <si>
    <t>4090340016889</t>
  </si>
  <si>
    <t>4090340016791</t>
  </si>
  <si>
    <t>10737386703</t>
  </si>
  <si>
    <t>LLANOS BALCAZAR JESSICA CARMELA</t>
  </si>
  <si>
    <t>4090340016786</t>
  </si>
  <si>
    <t>20601776201</t>
  </si>
  <si>
    <t>A &amp; G INVERSIONES SELVA E.I.R.L.</t>
  </si>
  <si>
    <t>4090340016628</t>
  </si>
  <si>
    <t>10438718422</t>
  </si>
  <si>
    <t>BUSTAMANTE DIAZ ROSA DESLY</t>
  </si>
  <si>
    <t>4090340016784</t>
  </si>
  <si>
    <t>20513320753</t>
  </si>
  <si>
    <t>REPSOL MARKETING S.A.C.</t>
  </si>
  <si>
    <t>4090340016644</t>
  </si>
  <si>
    <t>10431228543</t>
  </si>
  <si>
    <t>SANOMAMANI QUISPE MILAGROS ROSARIO</t>
  </si>
  <si>
    <t>4090340016635</t>
  </si>
  <si>
    <t>20600272200</t>
  </si>
  <si>
    <t>INVERSIONES Y NEGOCIACIONES PLUMIFERO E.I.R.L.</t>
  </si>
  <si>
    <t>4090340016645</t>
  </si>
  <si>
    <t>20119407738</t>
  </si>
  <si>
    <t>EMP. DE TRANS. FLORES HNOS. SRL.</t>
  </si>
  <si>
    <t>4090340016667</t>
  </si>
  <si>
    <t>4090340016793</t>
  </si>
  <si>
    <t>10488980543</t>
  </si>
  <si>
    <t>GARCIA LLEONART RAMON</t>
  </si>
  <si>
    <t>4090340016731</t>
  </si>
  <si>
    <t>10403052821</t>
  </si>
  <si>
    <t>CHURA CALLAHUANCA NESTOR</t>
  </si>
  <si>
    <t>4090340016899</t>
  </si>
  <si>
    <t>10714108498</t>
  </si>
  <si>
    <t>BUSTAMANTE DIAZ JIMMY FRANK</t>
  </si>
  <si>
    <t>4090340016825</t>
  </si>
  <si>
    <t>20102427891</t>
  </si>
  <si>
    <t>TURISMO CIVA S.A.C.</t>
  </si>
  <si>
    <t>4090340016994</t>
  </si>
  <si>
    <t>20335020872</t>
  </si>
  <si>
    <t>HEWLETT - PACKARD PERU S.R.L.</t>
  </si>
  <si>
    <t>4090340017024</t>
  </si>
  <si>
    <t>10423178898</t>
  </si>
  <si>
    <t>CHINO LLANOS ELVIS EUDES</t>
  </si>
  <si>
    <t>4090340016835</t>
  </si>
  <si>
    <t>4090340016954</t>
  </si>
  <si>
    <t>10430823537</t>
  </si>
  <si>
    <t>VENTURA POLO ALEYDA MARIBEL</t>
  </si>
  <si>
    <t>4090340016818</t>
  </si>
  <si>
    <t>20528410970</t>
  </si>
  <si>
    <t>PGO AMAZONICA SOCIEDAD ANONIMA CERRADA</t>
  </si>
  <si>
    <t>4090340016823</t>
  </si>
  <si>
    <t>10700852135</t>
  </si>
  <si>
    <t>MENOR VILCHEZ YESSICA ELISABET</t>
  </si>
  <si>
    <t>4090340016815</t>
  </si>
  <si>
    <t>10018481788</t>
  </si>
  <si>
    <t>MAQUERA CUSACANI ALCIDES</t>
  </si>
  <si>
    <t>4090340016816</t>
  </si>
  <si>
    <t>31667281</t>
  </si>
  <si>
    <t>ZOILO DEDICACION CABANA FIGUEROA</t>
  </si>
  <si>
    <t>4090340016900</t>
  </si>
  <si>
    <t>10316672812</t>
  </si>
  <si>
    <t>CABANA FIGUEROA ZOILO DEDICACION</t>
  </si>
  <si>
    <t>4090340016826</t>
  </si>
  <si>
    <t>10414221195</t>
  </si>
  <si>
    <t>FLORES CONDORI ROLANDO</t>
  </si>
  <si>
    <t>4090340016910</t>
  </si>
  <si>
    <t>20607752711</t>
  </si>
  <si>
    <t>ZAS LOGISTICA S.A.C.</t>
  </si>
  <si>
    <t>4090340017119</t>
  </si>
  <si>
    <t>20605770615</t>
  </si>
  <si>
    <t>ANTOFAGASTA PARTS PERU S.A.C.</t>
  </si>
  <si>
    <t>4090340017012</t>
  </si>
  <si>
    <t>4090340016848</t>
  </si>
  <si>
    <t>20533054821</t>
  </si>
  <si>
    <t>EMPRESA DE TRANSPORTES PACIFICO PULLMAN EMPRESA INDIVIDUAL DE RESPONSABILIDAD LIMITADA</t>
  </si>
  <si>
    <t>4090340016871</t>
  </si>
  <si>
    <t>4090340016872</t>
  </si>
  <si>
    <t>20608245881</t>
  </si>
  <si>
    <t>AOSTEC MAS S.A.C.</t>
  </si>
  <si>
    <t>4090340016980</t>
  </si>
  <si>
    <t>20608378660</t>
  </si>
  <si>
    <t>IMPORTACIONES CODISAG S.A.C.</t>
  </si>
  <si>
    <t>4090340016866</t>
  </si>
  <si>
    <t>10451454302</t>
  </si>
  <si>
    <t>PULIDO HERRAN ANDRES ARTURO</t>
  </si>
  <si>
    <t>4090340016981</t>
  </si>
  <si>
    <t>20231232070</t>
  </si>
  <si>
    <t>EMPRESA DE TRANSPORTES VIP PROGRESO SOCIEDAD COMERCIAL DE RESPONSABILIDAD LIMITADA</t>
  </si>
  <si>
    <t>4090340016965</t>
  </si>
  <si>
    <t>10308314168</t>
  </si>
  <si>
    <t>FLORES VEGA ROBERTO ERNESTO</t>
  </si>
  <si>
    <t>4090340016932</t>
  </si>
  <si>
    <t>4090340016988</t>
  </si>
  <si>
    <t>10473687564</t>
  </si>
  <si>
    <t>DOMINGUEZ CHUMACERO MARIA ISABEL</t>
  </si>
  <si>
    <t>4090340017127</t>
  </si>
  <si>
    <t>4090340017128</t>
  </si>
  <si>
    <t>4090340017040</t>
  </si>
  <si>
    <t>20544467647</t>
  </si>
  <si>
    <t>DISTRIBUIDORA RIVER'S SOCIEDAD ANONIMA CERRADA</t>
  </si>
  <si>
    <t>4090340016973</t>
  </si>
  <si>
    <t>20341848955</t>
  </si>
  <si>
    <t>GATE GOURMET PERU S.R.L.</t>
  </si>
  <si>
    <t>4090340017059</t>
  </si>
  <si>
    <t>4090340017061</t>
  </si>
  <si>
    <t>20609268779</t>
  </si>
  <si>
    <t>HONOR DEVICE PERU S.A.C.</t>
  </si>
  <si>
    <t>4090340017014</t>
  </si>
  <si>
    <t>20604582181</t>
  </si>
  <si>
    <t>INVERSIONES YARABAMBA S.A.C.</t>
  </si>
  <si>
    <t>4090340017141</t>
  </si>
  <si>
    <t>10097858514</t>
  </si>
  <si>
    <t>PORTILLA MINA HECTOR ERNESTO</t>
  </si>
  <si>
    <t>4090340017149</t>
  </si>
  <si>
    <t>4090340017283</t>
  </si>
  <si>
    <t>4090340017105</t>
  </si>
  <si>
    <t>10475188051</t>
  </si>
  <si>
    <t>CENA SANCHEZ YOCSEN NIXSSON</t>
  </si>
  <si>
    <t>4090340017034</t>
  </si>
  <si>
    <t>4090340017035</t>
  </si>
  <si>
    <t>4090340017100</t>
  </si>
  <si>
    <t>10816850504</t>
  </si>
  <si>
    <t>RINCON VITOR EMELY DEL ROSARIO</t>
  </si>
  <si>
    <t>4090340017044</t>
  </si>
  <si>
    <t>20548335397</t>
  </si>
  <si>
    <t>LOGISTICS CITY S.A.C.</t>
  </si>
  <si>
    <t>4090340017207</t>
  </si>
  <si>
    <t>10426361251</t>
  </si>
  <si>
    <t>ARCE MAMANI SERGIO SALVADOR</t>
  </si>
  <si>
    <t>4090340017054</t>
  </si>
  <si>
    <t>10433406708</t>
  </si>
  <si>
    <t>GAMERO LEON ALEXANDRA HILDA</t>
  </si>
  <si>
    <t>4090340017093</t>
  </si>
  <si>
    <t>10304212379</t>
  </si>
  <si>
    <t>HUAMANI CASTRO VICENTE LIZARDO</t>
  </si>
  <si>
    <t>4090340017069</t>
  </si>
  <si>
    <t>20600385055</t>
  </si>
  <si>
    <t>MERYLINE MEDIC E.I.R.L.</t>
  </si>
  <si>
    <t>4090340017099</t>
  </si>
  <si>
    <t>10049607259</t>
  </si>
  <si>
    <t>PARI ALLER EDGAR FRANCISCO</t>
  </si>
  <si>
    <t>4090340017075</t>
  </si>
  <si>
    <t>4090340017098</t>
  </si>
  <si>
    <t>10181181422</t>
  </si>
  <si>
    <t>LEIVA UGAS JUDITH ELIZABETH</t>
  </si>
  <si>
    <t>4090340017063</t>
  </si>
  <si>
    <t>10803018737</t>
  </si>
  <si>
    <t>SANCHEZ RUIZ MIRIAM ALICIA</t>
  </si>
  <si>
    <t>4090340017217</t>
  </si>
  <si>
    <t>10444639321</t>
  </si>
  <si>
    <t>INCHICSANA MENDOZA ALICIA</t>
  </si>
  <si>
    <t>4090340017088</t>
  </si>
  <si>
    <t>4090340017199</t>
  </si>
  <si>
    <t>4090340017145</t>
  </si>
  <si>
    <t>4090340017150</t>
  </si>
  <si>
    <t>4090340017173</t>
  </si>
  <si>
    <t>20501577252</t>
  </si>
  <si>
    <t>LIMA AIRPORT PARTNERS S.R.L.</t>
  </si>
  <si>
    <t>4090340017108</t>
  </si>
  <si>
    <t>20546578381</t>
  </si>
  <si>
    <t>IMPORTACIONES HINDAI S.R.L.</t>
  </si>
  <si>
    <t>4090340017166</t>
  </si>
  <si>
    <t>20372706288</t>
  </si>
  <si>
    <t>SONY PERU  S.R.L.</t>
  </si>
  <si>
    <t>4090340017158</t>
  </si>
  <si>
    <t>10424218664</t>
  </si>
  <si>
    <t>GARRAMPIE AQUINO JOSE HELDER</t>
  </si>
  <si>
    <t>4090340017170</t>
  </si>
  <si>
    <t>10068831046</t>
  </si>
  <si>
    <t>MURGA SERRANO CARLOS AMADO</t>
  </si>
  <si>
    <t>4090340017286</t>
  </si>
  <si>
    <t>20606672072</t>
  </si>
  <si>
    <t>RAYCORP PERU S.A.C.</t>
  </si>
  <si>
    <t>4090340017209</t>
  </si>
  <si>
    <t>4090340017210</t>
  </si>
  <si>
    <t>10004915173</t>
  </si>
  <si>
    <t>DIAZ ALCAZAR CHRISTIAN DENNYS</t>
  </si>
  <si>
    <t>4090340017164</t>
  </si>
  <si>
    <t>20604811041</t>
  </si>
  <si>
    <t>ASOCIACION DE PRODUCTORES AGRARIOS CANINARI CACAO VRAEM</t>
  </si>
  <si>
    <t>4090340017222</t>
  </si>
  <si>
    <t>20601892708</t>
  </si>
  <si>
    <t>LOGISTICS IMPORT SERVICE SOCIEDAD COMERCIAL DE RESPONSABILIDAD LIMITADA</t>
  </si>
  <si>
    <t>4090340017185</t>
  </si>
  <si>
    <t>20492185087</t>
  </si>
  <si>
    <t>HAPAG-LLOYD ( PERU ) S.A.C.</t>
  </si>
  <si>
    <t>4090340017190</t>
  </si>
  <si>
    <t>10044366199</t>
  </si>
  <si>
    <t>ROSADO ORTIZ BREITNER EDILTSON</t>
  </si>
  <si>
    <t>4090340017203</t>
  </si>
  <si>
    <t>20512285539</t>
  </si>
  <si>
    <t>PRO MAKEUP E.I.R.L.</t>
  </si>
  <si>
    <t>4090340017276</t>
  </si>
  <si>
    <t>20600300611</t>
  </si>
  <si>
    <t>EMPRESA DE TRANSPORTES TURISMO IÑAPARI SOCIEDAD COMERCIAL DE RESPONSABILIDAD LIMITADA</t>
  </si>
  <si>
    <t>4090340017264</t>
  </si>
  <si>
    <t>4090340017304</t>
  </si>
  <si>
    <t>10453981351</t>
  </si>
  <si>
    <t>MONTALVO GARCIA SEFERINA</t>
  </si>
  <si>
    <t>4090340017361</t>
  </si>
  <si>
    <t>10414523311</t>
  </si>
  <si>
    <t>ALEJANDRO RUIZ DE LA VEGA LISSETTE AMERICA</t>
  </si>
  <si>
    <t>4090340017280</t>
  </si>
  <si>
    <t>10459219574</t>
  </si>
  <si>
    <t>ANDIA JUÑO ISAAC</t>
  </si>
  <si>
    <t>4090340017362</t>
  </si>
  <si>
    <t>20519974925</t>
  </si>
  <si>
    <t>EMPRESA DE TRANSPORTES N°11 TACNA EXPRESS SOCIEDAD COMERCIAL DE RESPONSABILIDAD LIMITADA</t>
  </si>
  <si>
    <t>4090340017369</t>
  </si>
  <si>
    <t>20610355359</t>
  </si>
  <si>
    <t>XPORT AND IMPORT MY E.I.R.L.</t>
  </si>
  <si>
    <t>4090340017403</t>
  </si>
  <si>
    <t>4090340017402</t>
  </si>
  <si>
    <t>20507969811</t>
  </si>
  <si>
    <t>LA SEMILLA DE ORO S.A.C.</t>
  </si>
  <si>
    <t>4090340017438</t>
  </si>
  <si>
    <t>4090340017440</t>
  </si>
  <si>
    <t>4090340017441</t>
  </si>
  <si>
    <t>4090340017442</t>
  </si>
  <si>
    <t>4090340017443</t>
  </si>
  <si>
    <t>4090340017445</t>
  </si>
  <si>
    <t>Reingreso TF</t>
  </si>
  <si>
    <t>4090340018023</t>
  </si>
  <si>
    <t>561991846</t>
  </si>
  <si>
    <t>JOSEPH GRECO</t>
  </si>
  <si>
    <t>4090340017993</t>
  </si>
  <si>
    <t>4090340017378</t>
  </si>
  <si>
    <t>48621447</t>
  </si>
  <si>
    <t>ROSA ELVIRA ACARO MONTALVAN</t>
  </si>
  <si>
    <t>4090340016901</t>
  </si>
  <si>
    <t>10430113751</t>
  </si>
  <si>
    <t>SOLANO ROJAS JESUS</t>
  </si>
  <si>
    <t>4090340017645</t>
  </si>
  <si>
    <t>10484106962</t>
  </si>
  <si>
    <t>CARDENAS DOMINGUEZ JOSE LUIS</t>
  </si>
  <si>
    <t>4090340017220</t>
  </si>
  <si>
    <t>77098882</t>
  </si>
  <si>
    <t>EXON GUSTAVO CARDENAS DOMINGUEZ</t>
  </si>
  <si>
    <t>4090340017219</t>
  </si>
  <si>
    <t>20100075009</t>
  </si>
  <si>
    <t>IBM DEL PERU S A C</t>
  </si>
  <si>
    <t>4090340016902</t>
  </si>
  <si>
    <t>4090340016903</t>
  </si>
  <si>
    <t>20100478201</t>
  </si>
  <si>
    <t>COMPAÑIA DISTRIBUIDORA NACIONAL DE REVISTAS S.A.C.</t>
  </si>
  <si>
    <t>4090340017869</t>
  </si>
  <si>
    <t>70188601</t>
  </si>
  <si>
    <t>GABRIEL BALTAZAR MAMANI CONDORI</t>
  </si>
  <si>
    <t>4090340017594</t>
  </si>
  <si>
    <t>10483391574</t>
  </si>
  <si>
    <t>PEÑA CAMARA FRANK MARDEN</t>
  </si>
  <si>
    <t>4090340017992</t>
  </si>
  <si>
    <t>10407831735</t>
  </si>
  <si>
    <t>TICAHUANCA CASTILLO MELANIA BEATRIZ</t>
  </si>
  <si>
    <t>4090340017045</t>
  </si>
  <si>
    <t>10425084874</t>
  </si>
  <si>
    <t>ESTRADA VIERA FILEMON</t>
  </si>
  <si>
    <t>4090340017066</t>
  </si>
  <si>
    <t>4090340017068</t>
  </si>
  <si>
    <t>20610343377</t>
  </si>
  <si>
    <t>FRUTÍCOLA OLMUÉ PERÚ S.A.C.</t>
  </si>
  <si>
    <t>4090340017165</t>
  </si>
  <si>
    <t>10048108712</t>
  </si>
  <si>
    <t>PERDOMO CANALES YENNY MAGDALENA</t>
  </si>
  <si>
    <t>4090340017087</t>
  </si>
  <si>
    <t>4090340017236</t>
  </si>
  <si>
    <t>4090340017237</t>
  </si>
  <si>
    <t>4090340017239</t>
  </si>
  <si>
    <t>4090340017208</t>
  </si>
  <si>
    <t>20603598645</t>
  </si>
  <si>
    <t>EXPRESO ALC S.R.L.</t>
  </si>
  <si>
    <t>4090340017117</t>
  </si>
  <si>
    <t>20533111212</t>
  </si>
  <si>
    <t>REPRESENTACIONES ALE CONDOR S.R.L.</t>
  </si>
  <si>
    <t>4090340017118</t>
  </si>
  <si>
    <t>15146250031</t>
  </si>
  <si>
    <t>VARGAS VARGAS EDILBERTO</t>
  </si>
  <si>
    <t>4090340017102</t>
  </si>
  <si>
    <t>10805023134</t>
  </si>
  <si>
    <t>OJEDA VELASCO CELIA</t>
  </si>
  <si>
    <t>4090340017216</t>
  </si>
  <si>
    <t>10447946683</t>
  </si>
  <si>
    <t>RETAMOZO AQUIJE SANDRO MANUEL</t>
  </si>
  <si>
    <t>4090340017599</t>
  </si>
  <si>
    <t>20608151771</t>
  </si>
  <si>
    <t>ANGEL DIVINO BUS S.A.C.</t>
  </si>
  <si>
    <t>4090340017242</t>
  </si>
  <si>
    <t>20605723331</t>
  </si>
  <si>
    <t>M&amp;H TECHNOLOGY PERU EMPRESA INDIVIDUAL DE RESPONSABILIDAD LIMITADA</t>
  </si>
  <si>
    <t>4090340017500</t>
  </si>
  <si>
    <t>20100091896</t>
  </si>
  <si>
    <t>TOURING Y AUTOMOVIL CLUB DEL PERU</t>
  </si>
  <si>
    <t>4090340017592</t>
  </si>
  <si>
    <t>4090340017526</t>
  </si>
  <si>
    <t>4090340017527</t>
  </si>
  <si>
    <t>4090340017528</t>
  </si>
  <si>
    <t>4090340017529</t>
  </si>
  <si>
    <t>4090340017765</t>
  </si>
  <si>
    <t>10439356371</t>
  </si>
  <si>
    <t>ARTEAGA GUEVARA MARIA TEODORA</t>
  </si>
  <si>
    <t>4090340017352</t>
  </si>
  <si>
    <t>20611522364</t>
  </si>
  <si>
    <t>CACTELECOM PERU E.I.R.L.</t>
  </si>
  <si>
    <t>4090340017354</t>
  </si>
  <si>
    <t>10767552900</t>
  </si>
  <si>
    <t>CARRASCO FLORES FIORELLA FERNANDA</t>
  </si>
  <si>
    <t>4090340017316</t>
  </si>
  <si>
    <t>20563297060</t>
  </si>
  <si>
    <t>CL ADUANA S.A.C.</t>
  </si>
  <si>
    <t>4090340017303</t>
  </si>
  <si>
    <t>15604466706</t>
  </si>
  <si>
    <t>DA TRINDADE JULIANA</t>
  </si>
  <si>
    <t>4090340017772</t>
  </si>
  <si>
    <t>1104887516</t>
  </si>
  <si>
    <t>JEFFERSON PATRICIO TORRES CABRERA</t>
  </si>
  <si>
    <t>4090340017628</t>
  </si>
  <si>
    <t>43068957</t>
  </si>
  <si>
    <t>PEDRO YANAYACO JIMENEZ</t>
  </si>
  <si>
    <t>4090340017372</t>
  </si>
  <si>
    <t>4090340017376</t>
  </si>
  <si>
    <t>20547438583</t>
  </si>
  <si>
    <t>UPS ADUANAS PERU S.A.C.</t>
  </si>
  <si>
    <t>4090340017400</t>
  </si>
  <si>
    <t>10089951629</t>
  </si>
  <si>
    <t>HUERTA ACHIC RAUL</t>
  </si>
  <si>
    <t>4090340017633</t>
  </si>
  <si>
    <t>20606419318</t>
  </si>
  <si>
    <t>TRANSPORTES MB E.I.R.L.</t>
  </si>
  <si>
    <t>4090340017598</t>
  </si>
  <si>
    <t>20606499401</t>
  </si>
  <si>
    <t>BUSVALL S.A.C</t>
  </si>
  <si>
    <t>4090340017595</t>
  </si>
  <si>
    <t>20545804795</t>
  </si>
  <si>
    <t>GOLDEN MEDICAL TECH S.A.C</t>
  </si>
  <si>
    <t>4090340017413</t>
  </si>
  <si>
    <t>20100013747</t>
  </si>
  <si>
    <t>BIOCON DEL PERU S.A.C.</t>
  </si>
  <si>
    <t>4090340017436</t>
  </si>
  <si>
    <t>20607826146</t>
  </si>
  <si>
    <t>CENTRO QUIRURGICO VETERINARIO E.I.R.L.</t>
  </si>
  <si>
    <t>4090340017485</t>
  </si>
  <si>
    <t>20528275312</t>
  </si>
  <si>
    <t>IM SELVA S.A.C.</t>
  </si>
  <si>
    <t>4090340017637</t>
  </si>
  <si>
    <t>4090340017469</t>
  </si>
  <si>
    <t>4090340017471</t>
  </si>
  <si>
    <t>4090340017636</t>
  </si>
  <si>
    <t>4090340017473</t>
  </si>
  <si>
    <t>4090340017492</t>
  </si>
  <si>
    <t>20549997636</t>
  </si>
  <si>
    <t>SC &amp; D AGENTES DE ADUANA S.A.C.</t>
  </si>
  <si>
    <t>4090340017572</t>
  </si>
  <si>
    <t>20605970371</t>
  </si>
  <si>
    <t>TECH-MOVIE E.I.R.L.</t>
  </si>
  <si>
    <t>4090340017509</t>
  </si>
  <si>
    <t>20503458234</t>
  </si>
  <si>
    <t>XYLEM WATER SOLUTIONS PERU S.A.</t>
  </si>
  <si>
    <t>4090340017548</t>
  </si>
  <si>
    <t>10239584735</t>
  </si>
  <si>
    <t>UGARTE DEL CASTILLO MIRIAM</t>
  </si>
  <si>
    <t>4090340017523</t>
  </si>
  <si>
    <t>PAULO AMARAL</t>
  </si>
  <si>
    <t>4090340017515</t>
  </si>
  <si>
    <t>10066693100</t>
  </si>
  <si>
    <t>GUTIERREZ DIAZ ALFREDO GUILLERMO</t>
  </si>
  <si>
    <t>4090340017530</t>
  </si>
  <si>
    <t>10414744783</t>
  </si>
  <si>
    <t>ASUNCION HONORIO NICOLAS</t>
  </si>
  <si>
    <t>4090340017519</t>
  </si>
  <si>
    <t>20608661221</t>
  </si>
  <si>
    <t>SEBAS TEXTIL E.I.R.L.</t>
  </si>
  <si>
    <t>4090340018012</t>
  </si>
  <si>
    <t>20605491945</t>
  </si>
  <si>
    <t>SHANDONG IRAETA DEL PERU E.I.R.L. - IRAETA</t>
  </si>
  <si>
    <t>4090340017550</t>
  </si>
  <si>
    <t>10414952351</t>
  </si>
  <si>
    <t>VASQUEZ MEJIA ALADINO</t>
  </si>
  <si>
    <t>4090340017551</t>
  </si>
  <si>
    <t>4090340017553</t>
  </si>
  <si>
    <t>4090340017600</t>
  </si>
  <si>
    <t>20610237411</t>
  </si>
  <si>
    <t>N &amp; D ELECTRONICS E.I.R.L.</t>
  </si>
  <si>
    <t>4090340017558</t>
  </si>
  <si>
    <t>20227393956</t>
  </si>
  <si>
    <t>EMPRESA DE TRANSPORTES SANTA CRUZ EXPRESS S.R.L.</t>
  </si>
  <si>
    <t>4090340017767</t>
  </si>
  <si>
    <t>20606480238</t>
  </si>
  <si>
    <t>AJAN &amp; WHC SERVICIOS GENERALES S.A.C</t>
  </si>
  <si>
    <t>4090340017571</t>
  </si>
  <si>
    <t>15503497481</t>
  </si>
  <si>
    <t>LORA ROJAS JAVIER ENRIQUE</t>
  </si>
  <si>
    <t>4090340017610</t>
  </si>
  <si>
    <t>4090340017612</t>
  </si>
  <si>
    <t>20601716691</t>
  </si>
  <si>
    <t>ARVIEX E.I.R.L.</t>
  </si>
  <si>
    <t>4090340017623</t>
  </si>
  <si>
    <t>20504898173</t>
  </si>
  <si>
    <t>SERVICIOS PETROLEROS Y CONSTRUCCIONES SEPCON S.A.C.</t>
  </si>
  <si>
    <t>4090340017614</t>
  </si>
  <si>
    <t>4090340017615</t>
  </si>
  <si>
    <t>4090340017616</t>
  </si>
  <si>
    <t>4090340017617</t>
  </si>
  <si>
    <t>4090340017618</t>
  </si>
  <si>
    <t>4090340017619</t>
  </si>
  <si>
    <t>4090340017620</t>
  </si>
  <si>
    <t>4090340017642</t>
  </si>
  <si>
    <t>4090340017621</t>
  </si>
  <si>
    <t>4090340017685</t>
  </si>
  <si>
    <t>4090340017647</t>
  </si>
  <si>
    <t>20610186972</t>
  </si>
  <si>
    <t>COURIER &amp; LOGISTICA INTEGRAL S.A.C.</t>
  </si>
  <si>
    <t>4090340017667</t>
  </si>
  <si>
    <t>4090340017649</t>
  </si>
  <si>
    <t>20611468114</t>
  </si>
  <si>
    <t>HAIYU S.A.C.</t>
  </si>
  <si>
    <t>4090340017817</t>
  </si>
  <si>
    <t>20606390247</t>
  </si>
  <si>
    <t>CORPORACION ARROCERA J &amp; J S.A.C.</t>
  </si>
  <si>
    <t>4090340017630</t>
  </si>
  <si>
    <t>4090340017661</t>
  </si>
  <si>
    <t>4090340017662</t>
  </si>
  <si>
    <t>20606542730</t>
  </si>
  <si>
    <t>BGZ IMPORTADORA INTERNACIONAL SOCIEDAD ANONIMA CERRADA</t>
  </si>
  <si>
    <t>4090340017831</t>
  </si>
  <si>
    <t>4090340017672</t>
  </si>
  <si>
    <t>4090340017673</t>
  </si>
  <si>
    <t>10457331440</t>
  </si>
  <si>
    <t>GUERRERO ZUMBA KATERIN ANILU</t>
  </si>
  <si>
    <t>4090340017641</t>
  </si>
  <si>
    <t>20606218371</t>
  </si>
  <si>
    <t>CURIMAPU PERU SOCIEDAD ANONIMA CERRADA</t>
  </si>
  <si>
    <t>4090340017787</t>
  </si>
  <si>
    <t>20612629961</t>
  </si>
  <si>
    <t>SINOMIN PERU S.A.C.</t>
  </si>
  <si>
    <t>4090340017802</t>
  </si>
  <si>
    <t>20527721173</t>
  </si>
  <si>
    <t>DECO HOGAR EMPRESA INDIVIDUAL DE RESPONSABILIDAD LIMITADA</t>
  </si>
  <si>
    <t>4090340017711</t>
  </si>
  <si>
    <t>4090340017715</t>
  </si>
  <si>
    <t>10450131127</t>
  </si>
  <si>
    <t>VILCA QUISPE EDGAR</t>
  </si>
  <si>
    <t>4090340017716</t>
  </si>
  <si>
    <t>Ana Belén LUZURIAGA JIMÉNEZ</t>
  </si>
  <si>
    <t>4090340017691</t>
  </si>
  <si>
    <t>10405006532</t>
  </si>
  <si>
    <t>OBREGON ESPINOZA FREDDY CESAR</t>
  </si>
  <si>
    <t>4090340017696</t>
  </si>
  <si>
    <t>77014076</t>
  </si>
  <si>
    <t>HEBERT MAMANI TEVES</t>
  </si>
  <si>
    <t>4090340017692</t>
  </si>
  <si>
    <t>4090340017713</t>
  </si>
  <si>
    <t>20259880603</t>
  </si>
  <si>
    <t>TERPEL COMERCIAL DEL PERU S.R.L.</t>
  </si>
  <si>
    <t>4090340017699</t>
  </si>
  <si>
    <t>4090340017989</t>
  </si>
  <si>
    <t>4090340017990</t>
  </si>
  <si>
    <t>20603181795</t>
  </si>
  <si>
    <t>IMPORTACIONES DAVOS SOCIEDAD ANONIMA CERRADA - IMPORTACIONES DAVOS S.A.C.</t>
  </si>
  <si>
    <t>4090340017814</t>
  </si>
  <si>
    <t>20490440462</t>
  </si>
  <si>
    <t>BATERIAS MALDONADO EMPRESA INDIVIDUAL DE RESPONSABILIDAD LIMITADA -  BM E.I.R.L.</t>
  </si>
  <si>
    <t>4090340017733</t>
  </si>
  <si>
    <t>4090340017749</t>
  </si>
  <si>
    <t>4090340017751</t>
  </si>
  <si>
    <t>4090340017752</t>
  </si>
  <si>
    <t>4090340017753</t>
  </si>
  <si>
    <t>4090340017755</t>
  </si>
  <si>
    <t>4090340017756</t>
  </si>
  <si>
    <t>20393820161</t>
  </si>
  <si>
    <t>MARAÑON HEAVY EQUIPMENT S.A.C.</t>
  </si>
  <si>
    <t>4090340017725</t>
  </si>
  <si>
    <t>10804436753</t>
  </si>
  <si>
    <t>SEQUEIROS MAMANI JUAN CARLOS</t>
  </si>
  <si>
    <t>4090340018141</t>
  </si>
  <si>
    <t>20611623331</t>
  </si>
  <si>
    <t>KBA FUENTES S.A.C.</t>
  </si>
  <si>
    <t>4090340017996</t>
  </si>
  <si>
    <t>4090340017998</t>
  </si>
  <si>
    <t>4090340017999</t>
  </si>
  <si>
    <t>4090340018000</t>
  </si>
  <si>
    <t>4090340018001</t>
  </si>
  <si>
    <t>4090340017746</t>
  </si>
  <si>
    <t>4090340017757</t>
  </si>
  <si>
    <t>4090340017758</t>
  </si>
  <si>
    <t>4090340017759</t>
  </si>
  <si>
    <t>4090340017760</t>
  </si>
  <si>
    <t>4090340017761</t>
  </si>
  <si>
    <t>10423107770</t>
  </si>
  <si>
    <t>HUAHUASONCCO PARI RENE HERMOGENES</t>
  </si>
  <si>
    <t>4090340017880</t>
  </si>
  <si>
    <t>4090340017881</t>
  </si>
  <si>
    <t>10700667141</t>
  </si>
  <si>
    <t>MENDOZA MORON JEFRY HEINERS</t>
  </si>
  <si>
    <t>4090340017722</t>
  </si>
  <si>
    <t>4090340017892</t>
  </si>
  <si>
    <t>20472156251</t>
  </si>
  <si>
    <t>COMERCIAL PONGO E.I.R.L.</t>
  </si>
  <si>
    <t>4090340017928</t>
  </si>
  <si>
    <t>20537082934</t>
  </si>
  <si>
    <t>GREEN GROUP PE SOCIEDAD ANONIMA CERRADA</t>
  </si>
  <si>
    <t>4090340017924</t>
  </si>
  <si>
    <t>10250038963</t>
  </si>
  <si>
    <t>VENTURA NINA LUIS RAPHAEL</t>
  </si>
  <si>
    <t>4090340017967</t>
  </si>
  <si>
    <t>10461451212</t>
  </si>
  <si>
    <t>ROMERO URURI MARGARITA</t>
  </si>
  <si>
    <t>4090340018162</t>
  </si>
  <si>
    <t>4090340018049</t>
  </si>
  <si>
    <t>4090340018016</t>
  </si>
  <si>
    <t>4090340018120</t>
  </si>
  <si>
    <t>4090340018101</t>
  </si>
  <si>
    <t>4090340018103</t>
  </si>
  <si>
    <t>4090340018105</t>
  </si>
  <si>
    <t>20608323725</t>
  </si>
  <si>
    <t>DASIN PERU S.A.C.</t>
  </si>
  <si>
    <t>4090340018093</t>
  </si>
  <si>
    <t>10308363029</t>
  </si>
  <si>
    <t>TICONA GOMEZ MIGUEL ANGEL</t>
  </si>
  <si>
    <t>4090340018202</t>
  </si>
  <si>
    <t>4090340018169</t>
  </si>
  <si>
    <t>4090340018178</t>
  </si>
  <si>
    <t>4090340018181</t>
  </si>
  <si>
    <t>4090340018182</t>
  </si>
  <si>
    <t>4090340018183</t>
  </si>
  <si>
    <t>4090340018154</t>
  </si>
  <si>
    <t>20507646051</t>
  </si>
  <si>
    <t>TERMINALES PORTUARIOS PERUANOS SAC</t>
  </si>
  <si>
    <t>4090340018195</t>
  </si>
  <si>
    <t>10479049128</t>
  </si>
  <si>
    <t>AGURTO ROMAN ODAR JAVIER</t>
  </si>
  <si>
    <t>4090340017697</t>
  </si>
  <si>
    <t>Alberto Anthar Munive Bisetti</t>
  </si>
  <si>
    <t>20507840290</t>
  </si>
  <si>
    <t>20537690713</t>
  </si>
  <si>
    <t>4090340003679</t>
  </si>
  <si>
    <t>10024056746</t>
  </si>
  <si>
    <t>CANASA CASTILLO ARMANDO</t>
  </si>
  <si>
    <t>4090340018526</t>
  </si>
  <si>
    <t>45504864</t>
  </si>
  <si>
    <t>HERMES MICHEL CARRILLO ROMERO</t>
  </si>
  <si>
    <t>4090340017654</t>
  </si>
  <si>
    <t>20609024225</t>
  </si>
  <si>
    <t>SUMAC TRUCKS S.A.C.S</t>
  </si>
  <si>
    <t>4090340018567</t>
  </si>
  <si>
    <t>4090340017477</t>
  </si>
  <si>
    <t>10200444162</t>
  </si>
  <si>
    <t>HUAMAN PEREZ MARILUZ</t>
  </si>
  <si>
    <t>4090340018095</t>
  </si>
  <si>
    <t>4090340017766</t>
  </si>
  <si>
    <t>20482262644</t>
  </si>
  <si>
    <t>M&amp;J DISTRIBUCIONES E.I.R.L.</t>
  </si>
  <si>
    <t>4090340017836</t>
  </si>
  <si>
    <t>10013178726</t>
  </si>
  <si>
    <t>FORAQUITA YARATICONA ANGEL OSCAR</t>
  </si>
  <si>
    <t>4090340017770</t>
  </si>
  <si>
    <t>20522865576</t>
  </si>
  <si>
    <t>LAFAYETTE DEL PERU S.A.C.</t>
  </si>
  <si>
    <t>4090340017792</t>
  </si>
  <si>
    <t>4090340017794</t>
  </si>
  <si>
    <t>4090340017796</t>
  </si>
  <si>
    <t>4090340017797</t>
  </si>
  <si>
    <t>10803124413</t>
  </si>
  <si>
    <t>ZEGARRA MAGUEÑO FERNANDO PABLO</t>
  </si>
  <si>
    <t>4090340018238</t>
  </si>
  <si>
    <t>4090340018239</t>
  </si>
  <si>
    <t>80312441</t>
  </si>
  <si>
    <t>FERNANDO PABLO ZEGARRA MAGUEÑO</t>
  </si>
  <si>
    <t>4090340017783</t>
  </si>
  <si>
    <t>20480706987</t>
  </si>
  <si>
    <t>CORPORACION AMAZONAS IMPORT &amp; EXPORT SOCIEDAD ANONIMA CERRADA</t>
  </si>
  <si>
    <t>4090340017824</t>
  </si>
  <si>
    <t>20100127912</t>
  </si>
  <si>
    <t>CARGILL AMERICAS PERU S.R.L.</t>
  </si>
  <si>
    <t>4090340017860</t>
  </si>
  <si>
    <t>20308100317</t>
  </si>
  <si>
    <t>AMERICA SUR INTERNACIONAL S.A.C.</t>
  </si>
  <si>
    <t>4090340018015</t>
  </si>
  <si>
    <t>4090340018043</t>
  </si>
  <si>
    <t>10815638358</t>
  </si>
  <si>
    <t>HUAYTALLA MALLMA ALEXANDER FREDY</t>
  </si>
  <si>
    <t>4090340017856</t>
  </si>
  <si>
    <t>4090340018096</t>
  </si>
  <si>
    <t>10482209560</t>
  </si>
  <si>
    <t>QUISPE AJALLA LOLA SEGUNDA</t>
  </si>
  <si>
    <t>4090340018621</t>
  </si>
  <si>
    <t>4090340018024</t>
  </si>
  <si>
    <t>20521346257</t>
  </si>
  <si>
    <t>CORPORACION MAYKEVIN S.A.C.</t>
  </si>
  <si>
    <t>4090340017921</t>
  </si>
  <si>
    <t>20522199495</t>
  </si>
  <si>
    <t>HOUSEMART PERU S.A.C.</t>
  </si>
  <si>
    <t>4090340018207</t>
  </si>
  <si>
    <t>20545234590</t>
  </si>
  <si>
    <t>MAINSTREAM GLOBAL PERU S.A.C.</t>
  </si>
  <si>
    <t>4090340018013</t>
  </si>
  <si>
    <t>4090340018327</t>
  </si>
  <si>
    <t>10459141249</t>
  </si>
  <si>
    <t>CHACHAQUE PILCO WILBER</t>
  </si>
  <si>
    <t>4090340018161</t>
  </si>
  <si>
    <t>10429379968</t>
  </si>
  <si>
    <t>MARTINEZ HIDROGO ELMER AINES</t>
  </si>
  <si>
    <t>4090340018022</t>
  </si>
  <si>
    <t>10107011957</t>
  </si>
  <si>
    <t>MENDOZA HUAMPA ROBERTO</t>
  </si>
  <si>
    <t>4090340018045</t>
  </si>
  <si>
    <t>4090340018668</t>
  </si>
  <si>
    <t>4090340018320</t>
  </si>
  <si>
    <t>10438627401</t>
  </si>
  <si>
    <t>QUEVEDO CASTILLO GLEIDI MARIELA</t>
  </si>
  <si>
    <t>4090340018244</t>
  </si>
  <si>
    <t>4090340018058</t>
  </si>
  <si>
    <t>20454254105</t>
  </si>
  <si>
    <t>EMPRESA DE TRANSPORTE Y TURISMO WAYRA SOCIEDAD ANONIMA CERRADA - TRANSPORTE WAYRA S.A.C.</t>
  </si>
  <si>
    <t>4090340018208</t>
  </si>
  <si>
    <t>4090340018371</t>
  </si>
  <si>
    <t>4090340018108</t>
  </si>
  <si>
    <t>4090340018107</t>
  </si>
  <si>
    <t>10411058692</t>
  </si>
  <si>
    <t>PEREZ CASTILLO JOSE SAULO</t>
  </si>
  <si>
    <t>4090340018100</t>
  </si>
  <si>
    <t>10404375178</t>
  </si>
  <si>
    <t>NARVAEZ ORTECHO OMAR IVAN</t>
  </si>
  <si>
    <t>4090340018369</t>
  </si>
  <si>
    <t>20607788406</t>
  </si>
  <si>
    <t>D´DARIEMS INTERNATIONAL S.A.C.</t>
  </si>
  <si>
    <t>4090340018315</t>
  </si>
  <si>
    <t>4090340018146</t>
  </si>
  <si>
    <t>4090340018187</t>
  </si>
  <si>
    <t>4090340018452</t>
  </si>
  <si>
    <t>10327327491</t>
  </si>
  <si>
    <t>AZNARAN CABALLERO ANGEL ANTONIO</t>
  </si>
  <si>
    <t>4090340018245</t>
  </si>
  <si>
    <t>10727179637</t>
  </si>
  <si>
    <t>TTUPA VALDEZ NEFALY</t>
  </si>
  <si>
    <t>4090340018197</t>
  </si>
  <si>
    <t>4090340018568</t>
  </si>
  <si>
    <t>20610756566</t>
  </si>
  <si>
    <t>INTERNATIONAL ENERGY SERVICES SOUTH AMERICA CO. LTD SUCURSAL PERU</t>
  </si>
  <si>
    <t>4090340018475</t>
  </si>
  <si>
    <t>20608435914</t>
  </si>
  <si>
    <t>BIOLAB SCIENTIFIC E.I.R.L.</t>
  </si>
  <si>
    <t>4090340018222</t>
  </si>
  <si>
    <t>20602272151</t>
  </si>
  <si>
    <t>DREYCOM ELECTRONIC'S S.A.C.</t>
  </si>
  <si>
    <t>4090340018226</t>
  </si>
  <si>
    <t>4090340018230</t>
  </si>
  <si>
    <t>4090340018388</t>
  </si>
  <si>
    <t>10410721347</t>
  </si>
  <si>
    <t>LIVIAPOMA SANTOS KARINA INGRID</t>
  </si>
  <si>
    <t>4090340018215</t>
  </si>
  <si>
    <t>4090340018553</t>
  </si>
  <si>
    <t>10480427152</t>
  </si>
  <si>
    <t>CAMPOS REATEGUI THALIA TAISY</t>
  </si>
  <si>
    <t>4090340018381</t>
  </si>
  <si>
    <t>10467035971</t>
  </si>
  <si>
    <t>NINA FLORES RAUL BRINH</t>
  </si>
  <si>
    <t>4090340018273</t>
  </si>
  <si>
    <t>4090340018278</t>
  </si>
  <si>
    <t>20503650186</t>
  </si>
  <si>
    <t>SPECTRUM INGENIEROS SOCIEDAD ANONIMA CERRADA</t>
  </si>
  <si>
    <t>4090340018283</t>
  </si>
  <si>
    <t>10426738851</t>
  </si>
  <si>
    <t>GUILLEN ESPINOZA JUDITH BELINDA</t>
  </si>
  <si>
    <t>4090340018338</t>
  </si>
  <si>
    <t>4090340018316</t>
  </si>
  <si>
    <t>4090340018295</t>
  </si>
  <si>
    <t>10411458909</t>
  </si>
  <si>
    <t>BARBA CRESPO JULIO CESAR</t>
  </si>
  <si>
    <t>4090340018401</t>
  </si>
  <si>
    <t>10282979395</t>
  </si>
  <si>
    <t>LOPEZ MANTILLA TITO</t>
  </si>
  <si>
    <t>4090340018379</t>
  </si>
  <si>
    <t>20601260345</t>
  </si>
  <si>
    <t>PACHACUTECH INDUSTRIAL E.I.R.L.</t>
  </si>
  <si>
    <t>4090340018349</t>
  </si>
  <si>
    <t>10108660819</t>
  </si>
  <si>
    <t>MOURRE RIVAS JEAN PIERRE</t>
  </si>
  <si>
    <t>4090340018343</t>
  </si>
  <si>
    <t>10471458053</t>
  </si>
  <si>
    <t>LAZO CAHUI NATALI YAMILA</t>
  </si>
  <si>
    <t>4090340018414</t>
  </si>
  <si>
    <t>10472359687</t>
  </si>
  <si>
    <t>MAMANI RAMOS BANEZA ROXANA</t>
  </si>
  <si>
    <t>4090340018380</t>
  </si>
  <si>
    <t>20381034071</t>
  </si>
  <si>
    <t>NOVOPAN PERU S.A.C.</t>
  </si>
  <si>
    <t>4090340018390</t>
  </si>
  <si>
    <t>20257364357</t>
  </si>
  <si>
    <t>MOLINOS &amp; CIA S.A.</t>
  </si>
  <si>
    <t>4090340018391</t>
  </si>
  <si>
    <t>10000939914</t>
  </si>
  <si>
    <t>SALDAÑA GARCIA PABLO</t>
  </si>
  <si>
    <t>4090340018587</t>
  </si>
  <si>
    <t>4090340018413</t>
  </si>
  <si>
    <t>4090340018754</t>
  </si>
  <si>
    <t>20612760111</t>
  </si>
  <si>
    <t>GOLDEN BOY PERU E.I.R.L.</t>
  </si>
  <si>
    <t>4090340018464</t>
  </si>
  <si>
    <t>20608919601</t>
  </si>
  <si>
    <t>JOYERIA SALDAÑEZ S.A.C.</t>
  </si>
  <si>
    <t>4090340018504</t>
  </si>
  <si>
    <t>20601833621</t>
  </si>
  <si>
    <t>MAQTRUCK S.A.C.</t>
  </si>
  <si>
    <t>4090340018432</t>
  </si>
  <si>
    <t>20100027021</t>
  </si>
  <si>
    <t>UNIMAQ S.A.</t>
  </si>
  <si>
    <t>4090340018442</t>
  </si>
  <si>
    <t>10424737050</t>
  </si>
  <si>
    <t>CHARA APAZA MARITZA</t>
  </si>
  <si>
    <t>4090340018418</t>
  </si>
  <si>
    <t>20603164823</t>
  </si>
  <si>
    <t>G &amp; G LATIN AMERICA CORPORATION S.A.C.</t>
  </si>
  <si>
    <t>4090340018463</t>
  </si>
  <si>
    <t>20603248288</t>
  </si>
  <si>
    <t>AGROINDUSTRIAS LIMATERRA S.A.C. - AGROLIMATERRA S.A.C.</t>
  </si>
  <si>
    <t>4090340018461</t>
  </si>
  <si>
    <t>10419038046</t>
  </si>
  <si>
    <t>DEZA JIMENEZ RUTH EVA</t>
  </si>
  <si>
    <t>4090340018485</t>
  </si>
  <si>
    <t>20601654696</t>
  </si>
  <si>
    <t>TECHNOLOGY NUTRITION PERU S.A.C.</t>
  </si>
  <si>
    <t>4090340018519</t>
  </si>
  <si>
    <t>10080016471</t>
  </si>
  <si>
    <t>MENDEZ BANDA DANIEL RICHARD</t>
  </si>
  <si>
    <t>4090340018457</t>
  </si>
  <si>
    <t>4090340018474</t>
  </si>
  <si>
    <t>4090340018491</t>
  </si>
  <si>
    <t>20600324421</t>
  </si>
  <si>
    <t>DULCE MODA EIRL</t>
  </si>
  <si>
    <t>4090340018538</t>
  </si>
  <si>
    <t>4090340018520</t>
  </si>
  <si>
    <t>10282079181</t>
  </si>
  <si>
    <t>HUAMAN GAMBOA PRIMITIVO</t>
  </si>
  <si>
    <t>4090340018629</t>
  </si>
  <si>
    <t>10017762279</t>
  </si>
  <si>
    <t>PARI ATAHUACHI CRISTOBAL</t>
  </si>
  <si>
    <t>4090340018661</t>
  </si>
  <si>
    <t>4090340018662</t>
  </si>
  <si>
    <t>20601420881</t>
  </si>
  <si>
    <t>CARGO WORLD ADUANAS S.A.C.</t>
  </si>
  <si>
    <t>4090340018616</t>
  </si>
  <si>
    <t>4090140015606</t>
  </si>
  <si>
    <t>4090140015688</t>
  </si>
  <si>
    <t>4090140015733</t>
  </si>
  <si>
    <t>4090140015687</t>
  </si>
  <si>
    <t>4090140015788</t>
  </si>
  <si>
    <t>4090140015529</t>
  </si>
  <si>
    <t>4090140015528</t>
  </si>
  <si>
    <t>4090140015527</t>
  </si>
  <si>
    <t>4090140015536</t>
  </si>
  <si>
    <t>4090140015503</t>
  </si>
  <si>
    <t>4090140015538</t>
  </si>
  <si>
    <t>4090140015537</t>
  </si>
  <si>
    <t>4090140015580</t>
  </si>
  <si>
    <t>4090140015787</t>
  </si>
  <si>
    <t>4090140015470</t>
  </si>
  <si>
    <t>4090140015710</t>
  </si>
  <si>
    <t>4090140015711</t>
  </si>
  <si>
    <t>4090140015734</t>
  </si>
  <si>
    <t>4090340018949</t>
  </si>
  <si>
    <t>4090140015790</t>
  </si>
  <si>
    <t>4090140015794</t>
  </si>
  <si>
    <t>4090140015793</t>
  </si>
  <si>
    <t>4090140015663</t>
  </si>
  <si>
    <t>4090140015530</t>
  </si>
  <si>
    <t>4090140015532</t>
  </si>
  <si>
    <t>4090140015579</t>
  </si>
  <si>
    <t>4090140015578</t>
  </si>
  <si>
    <t>4090140015598</t>
  </si>
  <si>
    <t>4090140015650</t>
  </si>
  <si>
    <t>4090140015604</t>
  </si>
  <si>
    <t>4090140015509</t>
  </si>
  <si>
    <t>4090140015647</t>
  </si>
  <si>
    <t>4090140015741</t>
  </si>
  <si>
    <t>4090140015740</t>
  </si>
  <si>
    <t>4090140015599</t>
  </si>
  <si>
    <t>4090140015596</t>
  </si>
  <si>
    <t>4090140015743</t>
  </si>
  <si>
    <t>4090140015742</t>
  </si>
  <si>
    <t>4090140015505</t>
  </si>
  <si>
    <t>4090140015492</t>
  </si>
  <si>
    <t>4090140015506</t>
  </si>
  <si>
    <t>4090140015662</t>
  </si>
  <si>
    <t>4090140015708</t>
  </si>
  <si>
    <t>4090140015732</t>
  </si>
  <si>
    <t>4090140015569</t>
  </si>
  <si>
    <t>4090140015640</t>
  </si>
  <si>
    <t>4090140015664</t>
  </si>
  <si>
    <t>4090140015493</t>
  </si>
  <si>
    <t>4090140015623</t>
  </si>
  <si>
    <t>4090140015630</t>
  </si>
  <si>
    <t>4090140015731</t>
  </si>
  <si>
    <t>4090140015738</t>
  </si>
  <si>
    <t>4090140015622</t>
  </si>
  <si>
    <t>4090140015472</t>
  </si>
  <si>
    <t>4090140015487</t>
  </si>
  <si>
    <t>4090140015501</t>
  </si>
  <si>
    <t>4090140015500</t>
  </si>
  <si>
    <t>4090140015471</t>
  </si>
  <si>
    <t>4090140015739</t>
  </si>
  <si>
    <t>4090140015550</t>
  </si>
  <si>
    <t>4090140015577</t>
  </si>
  <si>
    <t>4090140015576</t>
  </si>
  <si>
    <t>4090140015841</t>
  </si>
  <si>
    <t>4090140015661</t>
  </si>
  <si>
    <t>4090140015833</t>
  </si>
  <si>
    <t>4090140015791</t>
  </si>
  <si>
    <t>4090140015792</t>
  </si>
  <si>
    <t>4090140015789</t>
  </si>
  <si>
    <t>4090140015494</t>
  </si>
  <si>
    <t>4090140015605</t>
  </si>
  <si>
    <t>4090140015502</t>
  </si>
  <si>
    <t>4090140015531</t>
  </si>
  <si>
    <t>4090140015504</t>
  </si>
  <si>
    <t>4090140015686</t>
  </si>
  <si>
    <t>4090140015641</t>
  </si>
  <si>
    <t>4090140015629</t>
  </si>
  <si>
    <t>4090140015568</t>
  </si>
  <si>
    <t>4090140015649</t>
  </si>
  <si>
    <t>4090140015535</t>
  </si>
  <si>
    <t>4090140015462</t>
  </si>
  <si>
    <t>4090140015463</t>
  </si>
  <si>
    <t>4090140015464</t>
  </si>
  <si>
    <t>4090140015465</t>
  </si>
  <si>
    <t>4090140015466</t>
  </si>
  <si>
    <t>4090140015467</t>
  </si>
  <si>
    <t>4090140015468</t>
  </si>
  <si>
    <t>4090140015773</t>
  </si>
  <si>
    <t>4090140015603</t>
  </si>
  <si>
    <t>4090140015510</t>
  </si>
  <si>
    <t>4090140015675</t>
  </si>
  <si>
    <t>4090140015549</t>
  </si>
  <si>
    <t>4090140015486</t>
  </si>
  <si>
    <t>4090140015646</t>
  </si>
  <si>
    <t>4090140015469</t>
  </si>
  <si>
    <t>4090140015499</t>
  </si>
  <si>
    <t>4090140015595</t>
  </si>
  <si>
    <t>4090140015665</t>
  </si>
  <si>
    <t>4090140015666</t>
  </si>
  <si>
    <t>4090140015786</t>
  </si>
  <si>
    <t>4090140015709</t>
  </si>
  <si>
    <t>4090140015597</t>
  </si>
  <si>
    <t>I-1297584</t>
  </si>
  <si>
    <t>SCAD 250279</t>
  </si>
  <si>
    <t>SCAD 250280</t>
  </si>
  <si>
    <t>Resultado Agosto 2025</t>
  </si>
  <si>
    <t>Producción Agosto 2025</t>
  </si>
  <si>
    <t>SCAD 250286</t>
  </si>
  <si>
    <t>SCAD 250285</t>
  </si>
  <si>
    <t>20101128777</t>
  </si>
  <si>
    <t>DHL EXPRESS PERÚ S.A.C.</t>
  </si>
  <si>
    <t>4090340019069</t>
  </si>
  <si>
    <t>20607724432</t>
  </si>
  <si>
    <t>CONSTRUCTORA E IMPORTADORA ROCCA DEL NORTE EMPRESA INDIVIDUAL DE RESPONSABILIDAD LIMITADA</t>
  </si>
  <si>
    <t>4090340019541</t>
  </si>
  <si>
    <t>20601448310</t>
  </si>
  <si>
    <t>IMPORTACIONES XIAO JIN S.A.C.</t>
  </si>
  <si>
    <t>4090340019328</t>
  </si>
  <si>
    <t>20273155938</t>
  </si>
  <si>
    <t>MOLINERA INDUSTRIAL PERUANA S.A.C.</t>
  </si>
  <si>
    <t>4090340019388</t>
  </si>
  <si>
    <t>Rengreso TF</t>
  </si>
  <si>
    <t>I-1297584 pendiente .Resuelto RD 4090140015549</t>
  </si>
  <si>
    <t>SCAD 250279 RD 4090140015663</t>
  </si>
  <si>
    <t>FK194435</t>
  </si>
  <si>
    <t>BIANCA CASTANHOLA</t>
  </si>
  <si>
    <t>4090340017313</t>
  </si>
  <si>
    <t>SCAD 250285 RD 4090140015793</t>
  </si>
  <si>
    <t>SCAD 250286 RD 4090140015794</t>
  </si>
  <si>
    <t>20605681892</t>
  </si>
  <si>
    <t>VALTRAC E.I.R.L.</t>
  </si>
  <si>
    <t>4090340018942</t>
  </si>
  <si>
    <t>20610792953</t>
  </si>
  <si>
    <t>PANTHER ENERGY TRADER S.A.C.</t>
  </si>
  <si>
    <t>4090340018006</t>
  </si>
  <si>
    <t>10022928347</t>
  </si>
  <si>
    <t>TAPARA PACHA JACINTO</t>
  </si>
  <si>
    <t>4090340018954</t>
  </si>
  <si>
    <t>FZ634620</t>
  </si>
  <si>
    <t>20153045021</t>
  </si>
  <si>
    <t>SIGDELO S.A.</t>
  </si>
  <si>
    <t>4090340019530</t>
  </si>
  <si>
    <t>20538225763</t>
  </si>
  <si>
    <t>SIGDELO S.A.C.</t>
  </si>
  <si>
    <t>4090340019531</t>
  </si>
  <si>
    <t>B0437399</t>
  </si>
  <si>
    <t>SCAD 250280 RD 4090140015686</t>
  </si>
  <si>
    <t>20602195750</t>
  </si>
  <si>
    <t>MODA MILENIUM EMPRESA INDIVIDUAL DE RESPONSABILIDAD LIMITADA</t>
  </si>
  <si>
    <t>4090340018149</t>
  </si>
  <si>
    <t>4090340018913</t>
  </si>
  <si>
    <t>112846182</t>
  </si>
  <si>
    <t>Jaque Castro Eduardo Alejandro</t>
  </si>
  <si>
    <t>4090340018246</t>
  </si>
  <si>
    <t>JAQUE CASTRO EDUARDO ALEJANDRO</t>
  </si>
  <si>
    <t>4090340018248</t>
  </si>
  <si>
    <t>20286155317</t>
  </si>
  <si>
    <t>JULSA ANGELES TOURS S.A.C.</t>
  </si>
  <si>
    <t>4090340018311</t>
  </si>
  <si>
    <t>4090340019484</t>
  </si>
  <si>
    <t>20613070355</t>
  </si>
  <si>
    <t>JC JOEL CELL S.A.C.</t>
  </si>
  <si>
    <t>4090340018446</t>
  </si>
  <si>
    <t>4090340018447</t>
  </si>
  <si>
    <t>20603607555</t>
  </si>
  <si>
    <t>GRUPO FEY SOCIEDAD ANONIMA CERRADA - GRUPOS FEY S.A.C</t>
  </si>
  <si>
    <t>4090340018506</t>
  </si>
  <si>
    <t>20613154982</t>
  </si>
  <si>
    <t>FZ SPORT E.I.R.L.</t>
  </si>
  <si>
    <t>4090340019018</t>
  </si>
  <si>
    <t>0706777760</t>
  </si>
  <si>
    <t>CARREÑO LOAYZA DAYANARA ANGELY</t>
  </si>
  <si>
    <t>4090340019303</t>
  </si>
  <si>
    <t>20600681932</t>
  </si>
  <si>
    <t>D.C.C. INVERSIONES E.I.R.L.</t>
  </si>
  <si>
    <t>4090340018533</t>
  </si>
  <si>
    <t>10415684211</t>
  </si>
  <si>
    <t>LOPEZ PEREIRA BASILIA</t>
  </si>
  <si>
    <t>4090340019471</t>
  </si>
  <si>
    <t>20602817921</t>
  </si>
  <si>
    <t>ORTOPEDIA SOLIDARIA DEL NORTE S.R.L.</t>
  </si>
  <si>
    <t>4090340018592</t>
  </si>
  <si>
    <t>1103307250</t>
  </si>
  <si>
    <t>MARCO LUIS QUISHPE PINZÓN</t>
  </si>
  <si>
    <t>4090340018664</t>
  </si>
  <si>
    <t>10482365707</t>
  </si>
  <si>
    <t>BENAVIDES RAMIREZ BRUSS BRANDO LEE</t>
  </si>
  <si>
    <t>4090340019210</t>
  </si>
  <si>
    <t>10701222232</t>
  </si>
  <si>
    <t>VARGAS FLORES YENNI</t>
  </si>
  <si>
    <t>4090340018618</t>
  </si>
  <si>
    <t>10419610114</t>
  </si>
  <si>
    <t>TORRES PAZ MIGUEL ANGEL</t>
  </si>
  <si>
    <t>4090340018709</t>
  </si>
  <si>
    <t>10306688141</t>
  </si>
  <si>
    <t>INCA CHUE LUZGARDO</t>
  </si>
  <si>
    <t>4090340018759</t>
  </si>
  <si>
    <t>4090340018761</t>
  </si>
  <si>
    <t>10724330997</t>
  </si>
  <si>
    <t>PARI GOMEZ ANTHONY WILLYAN</t>
  </si>
  <si>
    <t>4090340018611</t>
  </si>
  <si>
    <t>10756049602</t>
  </si>
  <si>
    <t>ACEDO ROJAS JESUS MAYCOL</t>
  </si>
  <si>
    <t>4090340018703</t>
  </si>
  <si>
    <t>10308563397</t>
  </si>
  <si>
    <t>FLORES VEGA RAIMUNDO RENE</t>
  </si>
  <si>
    <t>4090340018615</t>
  </si>
  <si>
    <t>20609096501</t>
  </si>
  <si>
    <t>AVICOLA MEZA S.R.L.</t>
  </si>
  <si>
    <t>4090340018628</t>
  </si>
  <si>
    <t>20100227461</t>
  </si>
  <si>
    <t>TRANSPORTES CRUZ DEL SUR S.A.C.</t>
  </si>
  <si>
    <t>4090340018651</t>
  </si>
  <si>
    <t>20602274803</t>
  </si>
  <si>
    <t>NHT GLOBAL PERU S.A.C.</t>
  </si>
  <si>
    <t>4090340018653</t>
  </si>
  <si>
    <t>20501523837</t>
  </si>
  <si>
    <t>EXPLOMIN DEL PERU S.A.C.</t>
  </si>
  <si>
    <t>4090340018665</t>
  </si>
  <si>
    <t>10404135398</t>
  </si>
  <si>
    <t>CURO NAZARIO ERMELINDA LUZ</t>
  </si>
  <si>
    <t>4090340018660</t>
  </si>
  <si>
    <t>4090340018736</t>
  </si>
  <si>
    <t>10447297961</t>
  </si>
  <si>
    <t>ESPINOZA ZUÑIGA RICARDO MANUEL</t>
  </si>
  <si>
    <t>4090340018679</t>
  </si>
  <si>
    <t>10004865206</t>
  </si>
  <si>
    <t>APAZA SIHUAYRO CIRIACO</t>
  </si>
  <si>
    <t>4090340018699</t>
  </si>
  <si>
    <t>4090340018756</t>
  </si>
  <si>
    <t>20607405591</t>
  </si>
  <si>
    <t>INTERNACIONAL SOL ANDINO S.A.C.</t>
  </si>
  <si>
    <t>4090340018799</t>
  </si>
  <si>
    <t>4090340018803</t>
  </si>
  <si>
    <t>20137913250</t>
  </si>
  <si>
    <t>ANGLO AMERICAN QUELLAVECO S.A.</t>
  </si>
  <si>
    <t>4090340018810</t>
  </si>
  <si>
    <t>20493910052</t>
  </si>
  <si>
    <t>GRUPO INVERSIONES DE LA SELVA SAC</t>
  </si>
  <si>
    <t>4090340018894</t>
  </si>
  <si>
    <t>4090340018719</t>
  </si>
  <si>
    <t>10438783534</t>
  </si>
  <si>
    <t>TICONA JINEZ GILMER LIZANDRO</t>
  </si>
  <si>
    <t>4090340018731</t>
  </si>
  <si>
    <t>4090340018751</t>
  </si>
  <si>
    <t>10266764320</t>
  </si>
  <si>
    <t>TEJADA RODRIGUEZ ROBERTO WILDER</t>
  </si>
  <si>
    <t>4090340018755</t>
  </si>
  <si>
    <t>10422836956</t>
  </si>
  <si>
    <t>ROJAS HERRERA DILVER</t>
  </si>
  <si>
    <t>4090340018780</t>
  </si>
  <si>
    <t>4090340018827</t>
  </si>
  <si>
    <t>10417404649</t>
  </si>
  <si>
    <t>VASQUEZ SOLORZANO YAMBERT FABRICIO</t>
  </si>
  <si>
    <t>4090340018932</t>
  </si>
  <si>
    <t>10461024012</t>
  </si>
  <si>
    <t>TUNQUE GARCIA VICTOR ALEX</t>
  </si>
  <si>
    <t>4090340019012</t>
  </si>
  <si>
    <t>10433853313</t>
  </si>
  <si>
    <t>CCENTE CISNEROS LUZ ZARITA</t>
  </si>
  <si>
    <t>4090340018776</t>
  </si>
  <si>
    <t>20601468787</t>
  </si>
  <si>
    <t>NUEVO MUNDO DE RELOJES E.I.R.L.</t>
  </si>
  <si>
    <t>4090340018903</t>
  </si>
  <si>
    <t>20556620882</t>
  </si>
  <si>
    <t>GROUP KNUP SOCIEDAD ANONIMA CERRADA - GROUP KNUP S.A.C.</t>
  </si>
  <si>
    <t>4090340018929</t>
  </si>
  <si>
    <t>10751865941</t>
  </si>
  <si>
    <t>BOZA HINOSTROZA JOEL KENGUI</t>
  </si>
  <si>
    <t>4090340019463</t>
  </si>
  <si>
    <t>4090340019466</t>
  </si>
  <si>
    <t>4090340018912</t>
  </si>
  <si>
    <t>10419636610</t>
  </si>
  <si>
    <t>CABALLERO MAMANI RENE ANSELMO</t>
  </si>
  <si>
    <t>4090340018997</t>
  </si>
  <si>
    <t>4090340018998</t>
  </si>
  <si>
    <t>17989876</t>
  </si>
  <si>
    <t>JOEL SANCHEZ CESPEDES</t>
  </si>
  <si>
    <t>4090340018899</t>
  </si>
  <si>
    <t>10067405825</t>
  </si>
  <si>
    <t>INGAROCA CORONADO ABEL SIMON</t>
  </si>
  <si>
    <t>4090340019408</t>
  </si>
  <si>
    <t>10448899735</t>
  </si>
  <si>
    <t>ORTIZ CASTILLO HISABELL ROCIO</t>
  </si>
  <si>
    <t>4090340019007</t>
  </si>
  <si>
    <t>10487560265</t>
  </si>
  <si>
    <t>ESPINOZA ORTIZ GIAN PIERRE</t>
  </si>
  <si>
    <t>4090340018900</t>
  </si>
  <si>
    <t>4090340018960</t>
  </si>
  <si>
    <t>4090340019005</t>
  </si>
  <si>
    <t>20613658638</t>
  </si>
  <si>
    <t>INTESOL DISTRIBUCION S.A.C.</t>
  </si>
  <si>
    <t>4090340018937</t>
  </si>
  <si>
    <t>20601789184</t>
  </si>
  <si>
    <t>TELAS &amp; DISEÑOS APACHE E.I.R.L.</t>
  </si>
  <si>
    <t>4090340018977</t>
  </si>
  <si>
    <t>4090340018950</t>
  </si>
  <si>
    <t>20612116521</t>
  </si>
  <si>
    <t>COSMETICOS AMERICANOS DE VANGUARDIA PERU S.A.C.</t>
  </si>
  <si>
    <t>4090340018985</t>
  </si>
  <si>
    <t>4090340018986</t>
  </si>
  <si>
    <t>20100204330</t>
  </si>
  <si>
    <t>LABORATORIOS PORTUGAL S R L</t>
  </si>
  <si>
    <t>4090340018995</t>
  </si>
  <si>
    <t>20545649455</t>
  </si>
  <si>
    <t>HC-GROUP PERU SOCIEDAD ANONIMA CERRADA</t>
  </si>
  <si>
    <t>4090340019003</t>
  </si>
  <si>
    <t>4090340019056</t>
  </si>
  <si>
    <t>20110353538</t>
  </si>
  <si>
    <t>CRAMER PERU SOCIEDAD ANONIMA CERRADA</t>
  </si>
  <si>
    <t>4090340019065</t>
  </si>
  <si>
    <t>4090340019074</t>
  </si>
  <si>
    <t>20610133305</t>
  </si>
  <si>
    <t>XCELLANCE INDUSTRIES S.A.C.</t>
  </si>
  <si>
    <t>4090340019083</t>
  </si>
  <si>
    <t>20612906425</t>
  </si>
  <si>
    <t>CONFECCIONES SOALI E.I.R.L.</t>
  </si>
  <si>
    <t>4090340019084</t>
  </si>
  <si>
    <t>4090340019086</t>
  </si>
  <si>
    <t>20532620580</t>
  </si>
  <si>
    <t>LOGISTIC TRAVEL ILO S.A.C.</t>
  </si>
  <si>
    <t>4090340019104</t>
  </si>
  <si>
    <t>20100398606</t>
  </si>
  <si>
    <t>SERPAC PORTUARIA S.A.C.</t>
  </si>
  <si>
    <t>4090340019109</t>
  </si>
  <si>
    <t>20612001937</t>
  </si>
  <si>
    <t>CORPORACION TEXTIL ALITEX S.A.C.</t>
  </si>
  <si>
    <t>4090340019100</t>
  </si>
  <si>
    <t>4090340019123</t>
  </si>
  <si>
    <t>20492483428</t>
  </si>
  <si>
    <t>REPRESENTACIONES FRANK YAVEL´S E.I.R.L.</t>
  </si>
  <si>
    <t>4090340019136</t>
  </si>
  <si>
    <t>20293774308</t>
  </si>
  <si>
    <t>TRACTO CAMIONES USA S.A.C.</t>
  </si>
  <si>
    <t>4090340019138</t>
  </si>
  <si>
    <t>20603781385</t>
  </si>
  <si>
    <t>IMPORTACIONES YOSUKA S.A.C.</t>
  </si>
  <si>
    <t>4090340019172</t>
  </si>
  <si>
    <t>20601043557</t>
  </si>
  <si>
    <t>PROLIDER EMPRESARIAL S.A.C.</t>
  </si>
  <si>
    <t>4090340019414</t>
  </si>
  <si>
    <t>4090340019416</t>
  </si>
  <si>
    <t>10258437891</t>
  </si>
  <si>
    <t>OLAZABAL GUARNIZO OSCAR</t>
  </si>
  <si>
    <t>4090340019429</t>
  </si>
  <si>
    <t>10062293697</t>
  </si>
  <si>
    <t>POMACHAGUA PEREZ GERMAN ELIAS</t>
  </si>
  <si>
    <t>4090340019158</t>
  </si>
  <si>
    <t>10087762438</t>
  </si>
  <si>
    <t>CONROY LANATTA CARLOS GUILLERMO</t>
  </si>
  <si>
    <t>4090340019208</t>
  </si>
  <si>
    <t>10445275412</t>
  </si>
  <si>
    <t>PEREYRA AGUILAR ROSA GLADYS</t>
  </si>
  <si>
    <t>4090340019439</t>
  </si>
  <si>
    <t>20542821508</t>
  </si>
  <si>
    <t>REPUESTOS MALDONADO EMPRESA INDIVIDUAL DE RESPONSABILIDAD LIMITADA - REPUESTOS MALDONADO E.I.R.L.</t>
  </si>
  <si>
    <t>4090340019447</t>
  </si>
  <si>
    <t>4090340019247</t>
  </si>
  <si>
    <t>4090340019252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</si>
</sst>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9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0" borderId="0" xfId="0" pivotButton="1"/>
    <xf numFmtId="0" fontId="1" fillId="0" borderId="0" xfId="0" applyFont="1"/>
    <xf numFmtId="0" fontId="2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0" fontId="0" fillId="0" borderId="6" xfId="0" applyBorder="1"/>
    <xf numFmtId="0" fontId="2" fillId="5" borderId="7" xfId="0" applyFont="1" applyFill="1" applyBorder="1" applyAlignment="1">
      <alignment horizontal="center" vertical="center" wrapText="1"/>
    </xf>
    <xf numFmtId="49" fontId="1" fillId="0" borderId="1" xfId="0" applyNumberFormat="1" applyFont="1" applyBorder="1"/>
    <xf numFmtId="0" fontId="1" fillId="0" borderId="1" xfId="0" applyFont="1" applyBorder="1"/>
    <xf numFmtId="49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4" fontId="1" fillId="2" borderId="1" xfId="0" applyNumberFormat="1" applyFont="1" applyFill="1" applyBorder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14" fontId="0" fillId="0" borderId="9" xfId="0" applyNumberFormat="1" applyBorder="1"/>
    <xf numFmtId="0" fontId="0" fillId="0" borderId="10" xfId="0" applyBorder="1"/>
    <xf numFmtId="14" fontId="0" fillId="0" borderId="11" xfId="0" applyNumberFormat="1" applyBorder="1"/>
    <xf numFmtId="0" fontId="0" fillId="0" borderId="12" xfId="0" applyBorder="1"/>
    <xf numFmtId="49" fontId="3" fillId="0" borderId="13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left" vertical="center"/>
    </xf>
    <xf numFmtId="49" fontId="3" fillId="3" borderId="15" xfId="0" applyNumberFormat="1" applyFont="1" applyFill="1" applyBorder="1" applyAlignment="1">
      <alignment horizontal="center" vertical="center"/>
    </xf>
    <xf numFmtId="49" fontId="4" fillId="3" borderId="16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17" xfId="0" applyBorder="1"/>
    <xf numFmtId="14" fontId="0" fillId="0" borderId="0" xfId="0" applyNumberFormat="1"/>
    <xf numFmtId="14" fontId="0" fillId="0" borderId="18" xfId="0" applyNumberFormat="1" applyBorder="1"/>
    <xf numFmtId="14" fontId="0" fillId="0" borderId="1" xfId="0" applyNumberFormat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nive Bisetti Alberto Anthar" refreshedDate="45901.411811342594" createdVersion="7" refreshedVersion="7" minRefreshableVersion="3" recordCount="100" xr:uid="{B4867C09-B826-457B-AE35-B9D4D46AF1A0}">
  <cacheSource type="worksheet">
    <worksheetSource ref="A1:P101" sheet="Producción Reclamo"/>
  </cacheSource>
  <cacheFields count="16">
    <cacheField name="Indicador de OEA" numFmtId="0">
      <sharedItems/>
    </cacheField>
    <cacheField name="Tipo de documento" numFmtId="0">
      <sharedItems/>
    </cacheField>
    <cacheField name="Número documento" numFmtId="0">
      <sharedItems/>
    </cacheField>
    <cacheField name="Nombre o Razón Social" numFmtId="0">
      <sharedItems/>
    </cacheField>
    <cacheField name="Número de Expediente" numFmtId="0">
      <sharedItems/>
    </cacheField>
    <cacheField name="Fecha de Presentación " numFmtId="14">
      <sharedItems containsSemiMixedTypes="0" containsNonDate="0" containsDate="1" containsString="0" minDate="2022-08-10T00:00:00" maxDate="2025-07-01T00:00:00"/>
    </cacheField>
    <cacheField name="Plazo vencimiento TLT" numFmtId="0">
      <sharedItems containsSemiMixedTypes="0" containsString="0" containsNumber="1" containsInteger="1" minValue="60" maxValue="125"/>
    </cacheField>
    <cacheField name="Fecha_vencimiento" numFmtId="14">
      <sharedItems containsSemiMixedTypes="0" containsNonDate="0" containsDate="1" containsString="0" minDate="2023-02-07T00:00:00" maxDate="2026-01-02T00:00:00"/>
    </cacheField>
    <cacheField name="estado (vencido/no vencido)" numFmtId="14">
      <sharedItems/>
    </cacheField>
    <cacheField name="Resolutor" numFmtId="0">
      <sharedItems/>
    </cacheField>
    <cacheField name="Supervisión" numFmtId="0">
      <sharedItems/>
    </cacheField>
    <cacheField name="División" numFmtId="0">
      <sharedItems/>
    </cacheField>
    <cacheField name="Número de Resolución" numFmtId="0">
      <sharedItems/>
    </cacheField>
    <cacheField name="Resultado" numFmtId="0">
      <sharedItems count="3">
        <s v="INFUNDADO"/>
        <s v="NULIDAD"/>
        <s v="FUNDADO"/>
      </sharedItems>
    </cacheField>
    <cacheField name="Fecha de emisión de RI" numFmtId="14">
      <sharedItems containsSemiMixedTypes="0" containsNonDate="0" containsDate="1" containsString="0" minDate="2025-08-01T00:00:00" maxDate="2025-08-30T00:00:00"/>
    </cacheField>
    <cacheField name="Fecha de depósito en SINE" numFmtId="0">
      <sharedItems containsDate="1" containsMixedTypes="1" minDate="2025-08-01T00:00:00" maxDate="2025-08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nive Bisetti Alberto Anthar" refreshedDate="45901.41200462963" createdVersion="7" refreshedVersion="7" minRefreshableVersion="3" recordCount="463" xr:uid="{699BA9D5-EE09-479B-8331-F9E43F4C008A}">
  <cacheSource type="worksheet">
    <worksheetSource ref="A1:M464" sheet="Stock Reclamo"/>
  </cacheSource>
  <cacheFields count="15">
    <cacheField name="Indicador de OEA" numFmtId="0">
      <sharedItems/>
    </cacheField>
    <cacheField name="Tipo de documento" numFmtId="0">
      <sharedItems/>
    </cacheField>
    <cacheField name="Número documento" numFmtId="0">
      <sharedItems/>
    </cacheField>
    <cacheField name="Nombre o Razón Social" numFmtId="0">
      <sharedItems/>
    </cacheField>
    <cacheField name="Número de Expediente" numFmtId="0">
      <sharedItems/>
    </cacheField>
    <cacheField name="Fecha de Presentación " numFmtId="14">
      <sharedItems containsSemiMixedTypes="0" containsNonDate="0" containsDate="1" containsString="0" minDate="2020-09-25T00:00:00" maxDate="2025-08-19T00:00:00" count="124">
        <d v="2020-09-25T00:00:00"/>
        <d v="2022-05-19T00:00:00"/>
        <d v="2022-07-21T00:00:00"/>
        <d v="2022-10-27T00:00:00"/>
        <d v="2022-11-11T00:00:00"/>
        <d v="2022-11-22T00:00:00"/>
        <d v="2023-03-09T00:00:00"/>
        <d v="2023-03-29T00:00:00"/>
        <d v="2023-06-05T00:00:00"/>
        <d v="2023-07-17T00:00:00"/>
        <d v="2023-08-08T00:00:00"/>
        <d v="2023-10-12T00:00:00"/>
        <d v="2024-07-03T00:00:00"/>
        <d v="2024-09-24T00:00:00"/>
        <d v="2025-02-14T00:00:00"/>
        <d v="2025-03-06T00:00:00"/>
        <d v="2025-03-07T00:00:00"/>
        <d v="2025-03-12T00:00:00"/>
        <d v="2025-03-14T00:00:00"/>
        <d v="2025-03-17T00:00:00"/>
        <d v="2025-03-18T00:00:00"/>
        <d v="2025-03-19T00:00:00"/>
        <d v="2025-03-20T00:00:00"/>
        <d v="2025-03-24T00:00:00"/>
        <d v="2025-03-26T00:00:00"/>
        <d v="2025-03-28T00:00:00"/>
        <d v="2025-03-29T00:00:00"/>
        <d v="2025-03-3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4T00:00:00"/>
        <d v="2025-04-15T00:00:00"/>
        <d v="2025-04-16T00:00:00"/>
        <d v="2025-04-19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2T00:00:00"/>
        <d v="2025-05-04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6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4T00:00:00"/>
        <d v="2025-07-25T00:00:00"/>
        <d v="2025-07-30T00:00:00"/>
        <d v="2025-07-31T00:00:00"/>
        <d v="2025-08-01T00:00:00"/>
        <d v="2025-08-02T00:00:00"/>
        <d v="2025-08-04T00:00:00"/>
        <d v="2025-08-05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6T00:00:00"/>
        <d v="2025-08-18T00:00:00"/>
      </sharedItems>
      <fieldGroup par="14" base="5">
        <rangePr groupBy="months" startDate="2020-09-25T00:00:00" endDate="2025-08-19T00:00:00"/>
        <groupItems count="14">
          <s v="&lt;25/09/2020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9/08/2025"/>
        </groupItems>
      </fieldGroup>
    </cacheField>
    <cacheField name="Plazo TLT" numFmtId="0">
      <sharedItems containsSemiMixedTypes="0" containsString="0" containsNumber="1" containsInteger="1" minValue="60" maxValue="125"/>
    </cacheField>
    <cacheField name="Fecha_vencimiento" numFmtId="14">
      <sharedItems containsSemiMixedTypes="0" containsNonDate="0" containsDate="1" containsString="0" minDate="2021-03-24T00:00:00" maxDate="2026-02-14T00:00:00"/>
    </cacheField>
    <cacheField name="Etapa del Recurso" numFmtId="0">
      <sharedItems/>
    </cacheField>
    <cacheField name="Resolutor asignado" numFmtId="0">
      <sharedItems count="15">
        <s v="CECILIA JACQUELINE, ACOSTA SALAZAR"/>
        <s v="LOURDES FABIOLA, PRETEL NOBLECILLA"/>
        <s v="Alberto Anthar Munive Bisetti"/>
        <s v="RICHARD, VELA NUÑEZ"/>
        <s v="WILDER ELOY, ULLOA ASCENCIO"/>
        <s v="LYDIA CAROLINA, ARESTEGUI PEREYRA"/>
        <s v="VICTORIA CARMEN ROSA, FLORES ALVITEZ"/>
        <s v="CARLOS ALFREDO, MALAGA PORTOCARRERO"/>
        <s v="ENRIQUE ALVARO, VILLANUEVA HURTADO"/>
        <s v="POUL CRISTIAN, VALDIVIA CHARCA"/>
        <s v="ROBERTO CESAR, RIVAROLA HIDALGO"/>
        <s v="RENIERD, RIOS GOMEZ"/>
        <s v="JOSE WAGNER, LINAREZ AMACIFUEN"/>
        <s v="JUAN CARLOS, CUYA VELARDE"/>
        <s v="YESSENIA LIZET, SALCEDO DIAZ"/>
      </sharedItems>
    </cacheField>
    <cacheField name="Supervisor" numFmtId="0">
      <sharedItems count="3">
        <s v="ALBERTO ANTHAR, MUNIVE BISETTI"/>
        <s v="JUAN CARLOS, CUYA VELARDE"/>
        <s v="YESSENIA LIZET, SALCEDO DIAZ"/>
      </sharedItems>
    </cacheField>
    <cacheField name="División" numFmtId="0">
      <sharedItems/>
    </cacheField>
    <cacheField name="Observaciones" numFmtId="0">
      <sharedItems containsBlank="1"/>
    </cacheField>
    <cacheField name="Trimestres" numFmtId="0" databaseField="0">
      <fieldGroup base="5">
        <rangePr groupBy="quarters" startDate="2020-09-25T00:00:00" endDate="2025-08-19T00:00:00"/>
        <groupItems count="6">
          <s v="&lt;25/09/2020"/>
          <s v="Trim.1"/>
          <s v="Trim.2"/>
          <s v="Trim.3"/>
          <s v="Trim.4"/>
          <s v="&gt;19/08/2025"/>
        </groupItems>
      </fieldGroup>
    </cacheField>
    <cacheField name="Años" numFmtId="0" databaseField="0">
      <fieldGroup base="5">
        <rangePr groupBy="years" startDate="2020-09-25T00:00:00" endDate="2025-08-19T00:00:00"/>
        <groupItems count="8">
          <s v="&lt;25/09/2020"/>
          <s v="2020"/>
          <s v="2021"/>
          <s v="2022"/>
          <s v="2023"/>
          <s v="2024"/>
          <s v="2025"/>
          <s v="&gt;19/0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NO"/>
    <s v="RUC"/>
    <s v="10018481788"/>
    <s v="MAQUERA CUSACANI ALCIDES"/>
    <s v="4090340016816"/>
    <d v="2025-04-22T00:00:00"/>
    <n v="125"/>
    <d v="2025-10-22T00:00:00"/>
    <s v="NO"/>
    <s v="CARLOS ALFREDO, MALAGA PORTOCARRERO"/>
    <s v="JUAN CARLOS, CUYA VELARDE"/>
    <s v="ROBERTO GABRIEL, VERA TUDELA GALLESI"/>
    <s v="4090140015606"/>
    <x v="0"/>
    <d v="2025-08-21T00:00:00"/>
    <d v="2025-08-21T00:00:00"/>
  </r>
  <r>
    <s v="NO"/>
    <s v="RUC"/>
    <s v="10018481788"/>
    <s v="MAQUERA CUSACANI ALCIDES"/>
    <s v="4090340016848"/>
    <d v="2025-04-23T00:00:00"/>
    <n v="125"/>
    <d v="2025-10-23T00:00:00"/>
    <s v="NO"/>
    <s v="CARLOS ALFREDO, MALAGA PORTOCARRERO"/>
    <s v="JUAN CARLOS, CUYA VELARDE"/>
    <s v="ROBERTO GABRIEL, VERA TUDELA GALLESI"/>
    <s v="4090140015688"/>
    <x v="0"/>
    <d v="2025-08-26T00:00:00"/>
    <d v="2025-08-26T00:00:00"/>
  </r>
  <r>
    <s v="NO"/>
    <s v="RUC"/>
    <s v="20533054821"/>
    <s v="EMPRESA DE TRANSPORTES PACIFICO PULLMAN EMPRESA INDIVIDUAL DE RESPONSABILIDAD LIMITADA"/>
    <s v="4090340016871"/>
    <d v="2025-04-23T00:00:00"/>
    <n v="125"/>
    <d v="2025-10-23T00:00:00"/>
    <s v="NO"/>
    <s v="CARLOS ALFREDO, MALAGA PORTOCARRERO"/>
    <s v="JUAN CARLOS, CUYA VELARDE"/>
    <s v="ROBERTO GABRIEL, VERA TUDELA GALLESI"/>
    <s v="4090140015733"/>
    <x v="0"/>
    <d v="2025-08-28T00:00:00"/>
    <d v="2025-08-28T00:00:00"/>
  </r>
  <r>
    <s v="NO"/>
    <s v="RUC"/>
    <s v="20533054821"/>
    <s v="EMPRESA DE TRANSPORTES PACIFICO PULLMAN EMPRESA INDIVIDUAL DE RESPONSABILIDAD LIMITADA"/>
    <s v="4090340016872"/>
    <d v="2025-04-23T00:00:00"/>
    <n v="125"/>
    <d v="2025-10-23T00:00:00"/>
    <s v="NO"/>
    <s v="CARLOS ALFREDO, MALAGA PORTOCARRERO"/>
    <s v="JUAN CARLOS, CUYA VELARDE"/>
    <s v="ROBERTO GABRIEL, VERA TUDELA GALLESI"/>
    <s v="4090140015687"/>
    <x v="0"/>
    <d v="2025-08-26T00:00:00"/>
    <d v="2025-08-26T00:00:00"/>
  </r>
  <r>
    <s v="NO"/>
    <s v="RUC"/>
    <s v="20566330068"/>
    <s v="ASIX TRADING S.A.C."/>
    <s v="4090340017173"/>
    <d v="2025-05-08T00:00:00"/>
    <n v="125"/>
    <d v="2025-11-06T00:00:00"/>
    <s v="NO"/>
    <s v="CARLOS ALFREDO, MALAGA PORTOCARRERO"/>
    <s v="JUAN CARLOS, CUYA VELARDE"/>
    <s v="ROBERTO GABRIEL, VERA TUDELA GALLESI"/>
    <s v="4090140015788"/>
    <x v="0"/>
    <d v="2025-08-29T00:00:00"/>
    <d v="2025-08-29T00:00:00"/>
  </r>
  <r>
    <s v="NO"/>
    <s v="RUC"/>
    <s v="20517510948"/>
    <s v="ASKHA LLIMPI S.A.C."/>
    <s v="4090340016200"/>
    <d v="2025-03-14T00:00:00"/>
    <n v="125"/>
    <d v="2025-09-16T00:00:00"/>
    <s v="NO"/>
    <s v="CECILIA JACQUELINE, ACOSTA SALAZAR"/>
    <s v="ALBERTO ANTHAR, MUNIVE BISETTI"/>
    <s v="ROBERTO GABRIEL, VERA TUDELA GALLESI"/>
    <s v="4090140015529"/>
    <x v="0"/>
    <d v="2025-08-13T00:00:00"/>
    <d v="2025-08-13T00:00:00"/>
  </r>
  <r>
    <s v="NO"/>
    <s v="RUC"/>
    <s v="20517510948"/>
    <s v="ASKHA LLIMPI S.A.C."/>
    <s v="4090340016270"/>
    <d v="2025-03-20T00:00:00"/>
    <n v="125"/>
    <d v="2025-09-22T00:00:00"/>
    <s v="NO"/>
    <s v="CECILIA JACQUELINE, ACOSTA SALAZAR"/>
    <s v="ALBERTO ANTHAR, MUNIVE BISETTI"/>
    <s v="ROBERTO GABRIEL, VERA TUDELA GALLESI"/>
    <s v="4090140015528"/>
    <x v="0"/>
    <d v="2025-08-13T00:00:00"/>
    <d v="2025-08-13T00:00:00"/>
  </r>
  <r>
    <s v="NO"/>
    <s v="RUC"/>
    <s v="20517510948"/>
    <s v="ASKHA LLIMPI S.A.C."/>
    <s v="4090340016259"/>
    <d v="2025-03-20T00:00:00"/>
    <n v="125"/>
    <d v="2025-09-22T00:00:00"/>
    <s v="NO"/>
    <s v="CECILIA JACQUELINE, ACOSTA SALAZAR"/>
    <s v="ALBERTO ANTHAR, MUNIVE BISETTI"/>
    <s v="ROBERTO GABRIEL, VERA TUDELA GALLESI"/>
    <s v="4090140015527"/>
    <x v="0"/>
    <d v="2025-08-13T00:00:00"/>
    <d v="2025-08-13T00:00:00"/>
  </r>
  <r>
    <s v="SI"/>
    <s v="RUC"/>
    <s v="20563297060"/>
    <s v="CL ADUANA S.A.C."/>
    <s v="4090340017303"/>
    <d v="2025-05-19T00:00:00"/>
    <n v="60"/>
    <d v="2025-08-15T00:00:00"/>
    <s v="NO"/>
    <s v="CECILIA JACQUELINE, ACOSTA SALAZAR"/>
    <s v="ALBERTO ANTHAR, MUNIVE BISETTI"/>
    <s v="ROBERTO GABRIEL, VERA TUDELA GALLESI"/>
    <s v="4090140015536"/>
    <x v="0"/>
    <d v="2025-08-14T00:00:00"/>
    <d v="2025-08-14T00:00:00"/>
  </r>
  <r>
    <s v="NO"/>
    <s v="RUC"/>
    <s v="10084467630"/>
    <s v="AGUIRRE VERAMENDI DE BARROS EMERITTA"/>
    <s v="4090340015904"/>
    <d v="2025-02-09T00:00:00"/>
    <n v="125"/>
    <d v="2025-08-12T00:00:00"/>
    <s v="NO"/>
    <s v="CECILIA JACQUELINE, ACOSTA SALAZAR"/>
    <s v="ALBERTO ANTHAR, MUNIVE BISETTI"/>
    <s v="ROBERTO GABRIEL, VERA TUDELA GALLESI"/>
    <s v="4090140015503"/>
    <x v="0"/>
    <d v="2025-08-08T00:00:00"/>
    <d v="2025-08-08T00:00:00"/>
  </r>
  <r>
    <s v="NO"/>
    <s v="RUC"/>
    <s v="20308430457"/>
    <s v="FABRICA DE ENVASES S.A"/>
    <s v="4090340016323"/>
    <d v="2025-02-11T00:00:00"/>
    <n v="125"/>
    <d v="2025-08-14T00:00:00"/>
    <s v="NO"/>
    <s v="CECILIA JACQUELINE, ACOSTA SALAZAR"/>
    <s v="ALBERTO ANTHAR, MUNIVE BISETTI"/>
    <s v="ROBERTO GABRIEL, VERA TUDELA GALLESI"/>
    <s v="4090140015538"/>
    <x v="0"/>
    <d v="2025-08-14T00:00:00"/>
    <d v="2025-08-14T00:00:00"/>
  </r>
  <r>
    <s v="NO"/>
    <s v="RUC"/>
    <s v="10411270861"/>
    <s v="LOPEZ GUEVARA WILDER GUSTAVO"/>
    <s v="4090340015724"/>
    <d v="2025-02-11T00:00:00"/>
    <n v="125"/>
    <d v="2025-08-14T00:00:00"/>
    <s v="NO"/>
    <s v="CECILIA JACQUELINE, ACOSTA SALAZAR"/>
    <s v="ALBERTO ANTHAR, MUNIVE BISETTI"/>
    <s v="ROBERTO GABRIEL, VERA TUDELA GALLESI"/>
    <s v="4090140015537"/>
    <x v="1"/>
    <d v="2025-08-14T00:00:00"/>
    <d v="2025-08-14T00:00:00"/>
  </r>
  <r>
    <s v="NO"/>
    <s v="RUC"/>
    <s v="10099492801"/>
    <s v="COVEÑAS PORLLES JOSE LUIS"/>
    <s v="4090340015829"/>
    <d v="2025-02-17T00:00:00"/>
    <n v="125"/>
    <d v="2025-08-20T00:00:00"/>
    <s v="NO"/>
    <s v="CECILIA JACQUELINE, ACOSTA SALAZAR"/>
    <s v="ALBERTO ANTHAR, MUNIVE BISETTI"/>
    <s v="ROBERTO GABRIEL, VERA TUDELA GALLESI"/>
    <s v="4090140015580"/>
    <x v="0"/>
    <d v="2025-08-19T00:00:00"/>
    <d v="2025-08-19T00:00:00"/>
  </r>
  <r>
    <s v="NO"/>
    <s v="RUC"/>
    <s v="10010777211"/>
    <s v="JIMENEZ ACHA PEDRO JOSE"/>
    <s v="4090340016093"/>
    <d v="2025-03-06T00:00:00"/>
    <n v="125"/>
    <d v="2025-09-08T00:00:00"/>
    <s v="NO"/>
    <s v="JOSE WAGNER, LINAREZ AMACIFUEN"/>
    <s v="ALBERTO ANTHAR, MUNIVE BISETTI"/>
    <s v="ROBERTO GABRIEL, VERA TUDELA GALLESI"/>
    <s v="4090140015787"/>
    <x v="0"/>
    <d v="2025-08-29T00:00:00"/>
    <d v="2025-08-29T00:00:00"/>
  </r>
  <r>
    <s v="NO"/>
    <s v="RUC"/>
    <s v="20567241506"/>
    <s v="RIVERA DIESEL AMAZONICA S.A.C."/>
    <s v="4090340015611"/>
    <d v="2025-02-05T00:00:00"/>
    <n v="125"/>
    <d v="2025-08-08T00:00:00"/>
    <s v="NO"/>
    <s v="JOSE WAGNER, LINAREZ AMACIFUEN"/>
    <s v="ALBERTO ANTHAR, MUNIVE BISETTI"/>
    <s v="ROBERTO GABRIEL, VERA TUDELA GALLESI"/>
    <s v="4090140015470"/>
    <x v="0"/>
    <d v="2025-08-04T00:00:00"/>
    <d v="2025-08-04T00:00:00"/>
  </r>
  <r>
    <s v="NO"/>
    <s v="RUC"/>
    <s v="10446097721"/>
    <s v="CARDENAS YAURI KENIA NATALY"/>
    <s v="4090340016152"/>
    <d v="2025-03-12T00:00:00"/>
    <n v="125"/>
    <d v="2025-09-12T00:00:00"/>
    <s v="NO"/>
    <s v="JOSE WAGNER, LINAREZ AMACIFUEN"/>
    <s v="ALBERTO ANTHAR, MUNIVE BISETTI"/>
    <s v="ROBERTO GABRIEL, VERA TUDELA GALLESI"/>
    <s v="4090140015710"/>
    <x v="2"/>
    <d v="2025-08-27T00:00:00"/>
    <d v="2025-08-27T00:00:00"/>
  </r>
  <r>
    <s v="NO"/>
    <s v="RUC"/>
    <s v="10446097721"/>
    <s v="CARDENAS YAURI KENIA NATALY"/>
    <s v="4090340016264"/>
    <d v="2025-03-12T00:00:00"/>
    <n v="125"/>
    <d v="2025-09-12T00:00:00"/>
    <s v="NO"/>
    <s v="JOSE WAGNER, LINAREZ AMACIFUEN"/>
    <s v="ALBERTO ANTHAR, MUNIVE BISETTI"/>
    <s v="ROBERTO GABRIEL, VERA TUDELA GALLESI"/>
    <s v="4090140015711"/>
    <x v="2"/>
    <d v="2025-08-27T00:00:00"/>
    <d v="2025-08-27T00:00:00"/>
  </r>
  <r>
    <s v="NO"/>
    <s v="RUC"/>
    <s v="20102427891"/>
    <s v="TURISMO CIVA S.A.C."/>
    <s v="4090340016994"/>
    <d v="2025-04-21T00:00:00"/>
    <n v="125"/>
    <d v="2025-10-21T00:00:00"/>
    <s v="NO"/>
    <s v="JUAN CARLOS, CUYA VELARDE"/>
    <s v="JUAN CARLOS, CUYA VELARDE"/>
    <s v="ROBERTO GABRIEL, VERA TUDELA GALLESI"/>
    <s v="4090140015734"/>
    <x v="1"/>
    <d v="2025-08-28T00:00:00"/>
    <d v="2025-08-28T00:00:00"/>
  </r>
  <r>
    <s v="NO"/>
    <s v="RUC"/>
    <s v="20102427891"/>
    <s v="TURISMO CIVA S.A.C."/>
    <s v="4090340018949"/>
    <d v="2025-05-02T00:00:00"/>
    <n v="125"/>
    <d v="2025-10-31T00:00:00"/>
    <s v="NO"/>
    <s v="JUAN CARLOS, CUYA VELARDE"/>
    <s v="JUAN CARLOS, CUYA VELARDE"/>
    <s v="ROBERTO GABRIEL, VERA TUDELA GALLESI"/>
    <s v="4090140015790"/>
    <x v="1"/>
    <d v="2025-08-29T00:00:00"/>
    <d v="2025-08-29T00:00:00"/>
  </r>
  <r>
    <s v="NO"/>
    <s v="DNI"/>
    <s v="31667281"/>
    <s v="ZOILO DEDICACION CABANA FIGUEROA"/>
    <s v="4090340016900"/>
    <d v="2025-04-22T00:00:00"/>
    <n v="125"/>
    <d v="2025-10-22T00:00:00"/>
    <s v="NO"/>
    <s v="JUAN CARLOS, CUYA VELARDE"/>
    <s v="JUAN CARLOS, CUYA VELARDE"/>
    <s v="ROBERTO GABRIEL, VERA TUDELA GALLESI"/>
    <s v="4090140015794"/>
    <x v="1"/>
    <d v="2025-08-29T00:00:00"/>
    <s v="SCAD 250286"/>
  </r>
  <r>
    <s v="NO"/>
    <s v="RUC"/>
    <s v="10316672812"/>
    <s v="CABANA FIGUEROA ZOILO DEDICACION"/>
    <s v="4090340016826"/>
    <d v="2025-04-22T00:00:00"/>
    <n v="125"/>
    <d v="2025-10-22T00:00:00"/>
    <s v="NO"/>
    <s v="JUAN CARLOS, CUYA VELARDE"/>
    <s v="JUAN CARLOS, CUYA VELARDE"/>
    <s v="ROBERTO GABRIEL, VERA TUDELA GALLESI"/>
    <s v="4090140015793"/>
    <x v="1"/>
    <d v="2025-08-29T00:00:00"/>
    <s v="SCAD 250285"/>
  </r>
  <r>
    <s v="NO"/>
    <s v="RUC"/>
    <s v="10432083158"/>
    <s v="RENGIFO BAZAN MILTON FREDY"/>
    <s v="4090340016649"/>
    <d v="2025-04-02T00:00:00"/>
    <n v="125"/>
    <d v="2025-10-03T00:00:00"/>
    <s v="NO"/>
    <s v="JUAN CARLOS, CUYA VELARDE"/>
    <s v="JUAN CARLOS, CUYA VELARDE"/>
    <s v="ROBERTO GABRIEL, VERA TUDELA GALLESI"/>
    <s v="4090140015663"/>
    <x v="0"/>
    <d v="2025-08-26T00:00:00"/>
    <s v="SCAD 250279"/>
  </r>
  <r>
    <s v="NO"/>
    <s v="RUC"/>
    <s v="20604509077"/>
    <s v="ORTOPEDIA TRAUMATOLOGIA Y MEDICINA S.A.C."/>
    <s v="4090340015690"/>
    <d v="2025-02-11T00:00:00"/>
    <n v="125"/>
    <d v="2025-08-14T00:00:00"/>
    <s v="NO"/>
    <s v="LOURDES FABIOLA, PRETEL NOBLECILLA"/>
    <s v="ALBERTO ANTHAR, MUNIVE BISETTI"/>
    <s v="ROBERTO GABRIEL, VERA TUDELA GALLESI"/>
    <s v="4090140015530"/>
    <x v="0"/>
    <d v="2025-08-13T00:00:00"/>
    <d v="2025-08-13T00:00:00"/>
  </r>
  <r>
    <s v="NO"/>
    <s v="RUC"/>
    <s v="20384262067"/>
    <s v="CORPORACION AMBIENTAL ALANCO PERU S.A.C. - ALANCO PERU S.A.C."/>
    <s v="4090340015725"/>
    <d v="2025-02-11T00:00:00"/>
    <n v="125"/>
    <d v="2025-08-14T00:00:00"/>
    <s v="NO"/>
    <s v="LOURDES FABIOLA, PRETEL NOBLECILLA"/>
    <s v="ALBERTO ANTHAR, MUNIVE BISETTI"/>
    <s v="ROBERTO GABRIEL, VERA TUDELA GALLESI"/>
    <s v="4090140015532"/>
    <x v="0"/>
    <d v="2025-08-13T00:00:00"/>
    <d v="2025-08-13T00:00:00"/>
  </r>
  <r>
    <s v="NO"/>
    <s v="RUC"/>
    <s v="10700342641"/>
    <s v="AMAYA MECA JHON PAUL"/>
    <s v="4090340015985"/>
    <d v="2025-02-24T00:00:00"/>
    <n v="125"/>
    <d v="2025-08-27T00:00:00"/>
    <s v="NO"/>
    <s v="LOURDES FABIOLA, PRETEL NOBLECILLA"/>
    <s v="ALBERTO ANTHAR, MUNIVE BISETTI"/>
    <s v="ROBERTO GABRIEL, VERA TUDELA GALLESI"/>
    <s v="4090140015579"/>
    <x v="0"/>
    <d v="2025-08-19T00:00:00"/>
    <d v="2025-08-19T00:00:00"/>
  </r>
  <r>
    <s v="NO"/>
    <s v="RUC"/>
    <s v="20607335801"/>
    <s v="MOV STORE E.I.R.L."/>
    <s v="4090340016108"/>
    <d v="2025-02-28T00:00:00"/>
    <n v="125"/>
    <d v="2025-09-02T00:00:00"/>
    <s v="NO"/>
    <s v="LOURDES FABIOLA, PRETEL NOBLECILLA"/>
    <s v="ALBERTO ANTHAR, MUNIVE BISETTI"/>
    <s v="ROBERTO GABRIEL, VERA TUDELA GALLESI"/>
    <s v="4090140015578"/>
    <x v="0"/>
    <d v="2025-08-19T00:00:00"/>
    <d v="2025-08-19T00:00:00"/>
  </r>
  <r>
    <s v="NO"/>
    <s v="RUC"/>
    <s v="10731453735"/>
    <s v="CALDERON GURBILLON JORGE ALBERTO"/>
    <s v="4090340016110"/>
    <d v="2025-02-28T00:00:00"/>
    <n v="125"/>
    <d v="2025-09-02T00:00:00"/>
    <s v="NO"/>
    <s v="LOURDES FABIOLA, PRETEL NOBLECILLA"/>
    <s v="ALBERTO ANTHAR, MUNIVE BISETTI"/>
    <s v="ROBERTO GABRIEL, VERA TUDELA GALLESI"/>
    <s v="4090140015598"/>
    <x v="0"/>
    <d v="2025-08-20T00:00:00"/>
    <d v="2025-08-20T00:00:00"/>
  </r>
  <r>
    <s v="NO"/>
    <s v="RUC"/>
    <s v="10488980543"/>
    <s v="GARCIA LLEONART RAMON"/>
    <s v="4090340016731"/>
    <d v="2025-04-16T00:00:00"/>
    <n v="125"/>
    <d v="2025-10-20T00:00:00"/>
    <s v="NO"/>
    <s v="LOURDES FABIOLA, PRETEL NOBLECILLA"/>
    <s v="ALBERTO ANTHAR, MUNIVE BISETTI"/>
    <s v="ROBERTO GABRIEL, VERA TUDELA GALLESI"/>
    <s v="4090140015650"/>
    <x v="0"/>
    <d v="2025-08-25T00:00:00"/>
    <d v="2025-08-25T00:00:00"/>
  </r>
  <r>
    <s v="SI"/>
    <s v="RUC"/>
    <s v="20259880603"/>
    <s v="TERPEL COMERCIAL DEL PERU S.R.L."/>
    <s v="4090340017699"/>
    <d v="2025-06-10T00:00:00"/>
    <n v="60"/>
    <d v="2025-09-08T00:00:00"/>
    <s v="NO"/>
    <s v="LOURDES FABIOLA, PRETEL NOBLECILLA"/>
    <s v="ALBERTO ANTHAR, MUNIVE BISETTI"/>
    <s v="ROBERTO GABRIEL, VERA TUDELA GALLESI"/>
    <s v="4090140015604"/>
    <x v="2"/>
    <d v="2025-08-21T00:00:00"/>
    <d v="2025-08-21T00:00:00"/>
  </r>
  <r>
    <s v="NO"/>
    <s v="RUC"/>
    <s v="10473493603"/>
    <s v="VILLEGAS PANTA CESAR IVAN"/>
    <s v="4090340016068"/>
    <d v="2025-02-10T00:00:00"/>
    <n v="125"/>
    <d v="2025-08-13T00:00:00"/>
    <s v="NO"/>
    <s v="LOURDES FABIOLA, PRETEL NOBLECILLA"/>
    <s v="ALBERTO ANTHAR, MUNIVE BISETTI"/>
    <s v="ROBERTO GABRIEL, VERA TUDELA GALLESI"/>
    <s v="4090140015509"/>
    <x v="0"/>
    <d v="2025-08-11T00:00:00"/>
    <d v="2025-08-11T00:00:00"/>
  </r>
  <r>
    <s v="NO"/>
    <s v="RUC"/>
    <s v="15337718601"/>
    <s v="POZO MORA CLEMENTE SILVESTRE"/>
    <s v="4090340015979"/>
    <d v="2025-02-26T00:00:00"/>
    <n v="125"/>
    <d v="2025-08-29T00:00:00"/>
    <s v="NO"/>
    <s v="LOURDES FABIOLA, PRETEL NOBLECILLA"/>
    <s v="ALBERTO ANTHAR, MUNIVE BISETTI"/>
    <s v="ROBERTO GABRIEL, VERA TUDELA GALLESI"/>
    <s v="4090140015647"/>
    <x v="0"/>
    <d v="2025-08-25T00:00:00"/>
    <d v="2025-08-25T00:00:00"/>
  </r>
  <r>
    <s v="NO"/>
    <s v="RUC"/>
    <s v="20481787743"/>
    <s v="AGRO EXPORTACIONES PERU FOODS SAC"/>
    <s v="4090340016350"/>
    <d v="2025-03-26T00:00:00"/>
    <n v="125"/>
    <d v="2025-09-26T00:00:00"/>
    <s v="NO"/>
    <s v="LYDIA CAROLINA, ARESTEGUI PEREYRA"/>
    <s v="ALBERTO ANTHAR, MUNIVE BISETTI"/>
    <s v="ROBERTO GABRIEL, VERA TUDELA GALLESI"/>
    <s v="4090140015741"/>
    <x v="0"/>
    <d v="2025-08-28T00:00:00"/>
    <d v="2025-08-28T00:00:00"/>
  </r>
  <r>
    <s v="NO"/>
    <s v="RUC"/>
    <s v="20559711960"/>
    <s v="TINO EXCAVACIONES PERU S.A.C."/>
    <s v="4090340016358"/>
    <d v="2025-03-26T00:00:00"/>
    <n v="125"/>
    <d v="2025-09-26T00:00:00"/>
    <s v="NO"/>
    <s v="LYDIA CAROLINA, ARESTEGUI PEREYRA"/>
    <s v="ALBERTO ANTHAR, MUNIVE BISETTI"/>
    <s v="ROBERTO GABRIEL, VERA TUDELA GALLESI"/>
    <s v="4090140015740"/>
    <x v="0"/>
    <d v="2025-08-28T00:00:00"/>
    <d v="2025-08-28T00:00:00"/>
  </r>
  <r>
    <s v="NO"/>
    <s v="RUC"/>
    <s v="20608673726"/>
    <s v="J&amp;M GRUPO TEXTIL E.I.R.L."/>
    <s v="4090340015960"/>
    <d v="2025-02-24T00:00:00"/>
    <n v="125"/>
    <d v="2025-08-27T00:00:00"/>
    <s v="NO"/>
    <s v="LYDIA CAROLINA, ARESTEGUI PEREYRA"/>
    <s v="ALBERTO ANTHAR, MUNIVE BISETTI"/>
    <s v="ROBERTO GABRIEL, VERA TUDELA GALLESI"/>
    <s v="4090140015599"/>
    <x v="0"/>
    <d v="2025-08-20T00:00:00"/>
    <d v="2025-08-20T00:00:00"/>
  </r>
  <r>
    <s v="NO"/>
    <s v="RUC"/>
    <s v="20608673726"/>
    <s v="J&amp;M GRUPO TEXTIL E.I.R.L."/>
    <s v="4090340016088"/>
    <d v="2025-03-06T00:00:00"/>
    <n v="125"/>
    <d v="2025-09-08T00:00:00"/>
    <s v="NO"/>
    <s v="LYDIA CAROLINA, ARESTEGUI PEREYRA"/>
    <s v="ALBERTO ANTHAR, MUNIVE BISETTI"/>
    <s v="ROBERTO GABRIEL, VERA TUDELA GALLESI"/>
    <s v="4090140015596"/>
    <x v="0"/>
    <d v="2025-08-20T00:00:00"/>
    <d v="2025-08-20T00:00:00"/>
  </r>
  <r>
    <s v="NO"/>
    <s v="RUC"/>
    <s v="20601578566"/>
    <s v="DOMEL PRODUCE S.A.C."/>
    <s v="4090340016118"/>
    <d v="2025-03-06T00:00:00"/>
    <n v="125"/>
    <d v="2025-09-08T00:00:00"/>
    <s v="NO"/>
    <s v="LYDIA CAROLINA, ARESTEGUI PEREYRA"/>
    <s v="ALBERTO ANTHAR, MUNIVE BISETTI"/>
    <s v="ROBERTO GABRIEL, VERA TUDELA GALLESI"/>
    <s v="4090140015743"/>
    <x v="0"/>
    <d v="2025-08-28T00:00:00"/>
    <d v="2025-08-28T00:00:00"/>
  </r>
  <r>
    <s v="NO"/>
    <s v="RUC"/>
    <s v="20604533938"/>
    <s v="TRANSPORTES GUITTON S.A.C."/>
    <s v="4090340016129"/>
    <d v="2025-03-10T00:00:00"/>
    <n v="125"/>
    <d v="2025-09-10T00:00:00"/>
    <s v="NO"/>
    <s v="LYDIA CAROLINA, ARESTEGUI PEREYRA"/>
    <s v="ALBERTO ANTHAR, MUNIVE BISETTI"/>
    <s v="ROBERTO GABRIEL, VERA TUDELA GALLESI"/>
    <s v="4090140015742"/>
    <x v="0"/>
    <d v="2025-08-28T00:00:00"/>
    <d v="2025-08-28T00:00:00"/>
  </r>
  <r>
    <s v="NO"/>
    <s v="RUC"/>
    <s v="10461225751"/>
    <s v="ALARCON HUAMAN DENISE"/>
    <s v="4090340015674"/>
    <d v="2025-02-11T00:00:00"/>
    <n v="125"/>
    <d v="2025-08-14T00:00:00"/>
    <s v="NO"/>
    <s v="POUL CRISTIAN, VALDIVIA CHARCA"/>
    <s v="JUAN CARLOS, CUYA VELARDE"/>
    <s v="ROBERTO GABRIEL, VERA TUDELA GALLESI"/>
    <s v="4090140015505"/>
    <x v="0"/>
    <d v="2025-08-08T00:00:00"/>
    <d v="2025-08-08T00:00:00"/>
  </r>
  <r>
    <s v="NO"/>
    <s v="RUC"/>
    <s v="10461225751"/>
    <s v="ALARCON HUAMAN DENISE"/>
    <s v="4090340015678"/>
    <d v="2025-02-11T00:00:00"/>
    <n v="125"/>
    <d v="2025-08-14T00:00:00"/>
    <s v="NO"/>
    <s v="POUL CRISTIAN, VALDIVIA CHARCA"/>
    <s v="JUAN CARLOS, CUYA VELARDE"/>
    <s v="ROBERTO GABRIEL, VERA TUDELA GALLESI"/>
    <s v="4090140015492"/>
    <x v="0"/>
    <d v="2025-08-07T00:00:00"/>
    <d v="2025-08-07T00:00:00"/>
  </r>
  <r>
    <s v="NO"/>
    <s v="RUC"/>
    <s v="20418896753"/>
    <s v="MAXIMILIAN INVERSIONES S.A."/>
    <s v="4090340015805"/>
    <d v="2025-02-17T00:00:00"/>
    <n v="125"/>
    <d v="2025-08-20T00:00:00"/>
    <s v="NO"/>
    <s v="POUL CRISTIAN, VALDIVIA CHARCA"/>
    <s v="JUAN CARLOS, CUYA VELARDE"/>
    <s v="ROBERTO GABRIEL, VERA TUDELA GALLESI"/>
    <s v="4090140015506"/>
    <x v="1"/>
    <d v="2025-08-08T00:00:00"/>
    <d v="2025-08-08T00:00:00"/>
  </r>
  <r>
    <s v="NO"/>
    <s v="RUC"/>
    <s v="20418896753"/>
    <s v="MAXIMILIAN INVERSIONES S.A."/>
    <s v="4090340017402"/>
    <d v="2025-05-23T00:00:00"/>
    <n v="125"/>
    <d v="2025-11-21T00:00:00"/>
    <s v="NO"/>
    <s v="POUL CRISTIAN, VALDIVIA CHARCA"/>
    <s v="JUAN CARLOS, CUYA VELARDE"/>
    <s v="ROBERTO GABRIEL, VERA TUDELA GALLESI"/>
    <s v="4090140015662"/>
    <x v="1"/>
    <d v="2025-08-26T00:00:00"/>
    <d v="2025-08-26T00:00:00"/>
  </r>
  <r>
    <s v="NO"/>
    <s v="RUC"/>
    <s v="20507969811"/>
    <s v="LA SEMILLA DE ORO S.A.C."/>
    <s v="4090340017469"/>
    <d v="2025-05-27T00:00:00"/>
    <n v="125"/>
    <d v="2025-11-25T00:00:00"/>
    <s v="NO"/>
    <s v="POUL CRISTIAN, VALDIVIA CHARCA"/>
    <s v="JUAN CARLOS, CUYA VELARDE"/>
    <s v="ROBERTO GABRIEL, VERA TUDELA GALLESI"/>
    <s v="4090140015708"/>
    <x v="1"/>
    <d v="2025-08-27T00:00:00"/>
    <d v="2025-08-27T00:00:00"/>
  </r>
  <r>
    <s v="NO"/>
    <s v="RUC"/>
    <s v="20507969811"/>
    <s v="LA SEMILLA DE ORO S.A.C."/>
    <s v="4090340017471"/>
    <d v="2025-05-27T00:00:00"/>
    <n v="125"/>
    <d v="2025-11-25T00:00:00"/>
    <s v="NO"/>
    <s v="POUL CRISTIAN, VALDIVIA CHARCA"/>
    <s v="JUAN CARLOS, CUYA VELARDE"/>
    <s v="ROBERTO GABRIEL, VERA TUDELA GALLESI"/>
    <s v="4090140015732"/>
    <x v="1"/>
    <d v="2025-08-28T00:00:00"/>
    <d v="2025-08-28T00:00:00"/>
  </r>
  <r>
    <s v="NO"/>
    <s v="RUC"/>
    <s v="20600801636"/>
    <s v="EMPRESA DE TRANSPORTES Y DE SERVICIOS PEGASO IMPERIAL SOCIEDAD COMERCIAL DE RESPONSABILIDAD LIMITADA"/>
    <s v="4090340016105"/>
    <d v="2025-02-26T00:00:00"/>
    <n v="125"/>
    <d v="2025-08-29T00:00:00"/>
    <s v="NO"/>
    <s v="POUL CRISTIAN, VALDIVIA CHARCA"/>
    <s v="JUAN CARLOS, CUYA VELARDE"/>
    <s v="ROBERTO GABRIEL, VERA TUDELA GALLESI"/>
    <s v="4090140015569"/>
    <x v="0"/>
    <d v="2025-08-18T00:00:00"/>
    <d v="2025-08-18T00:00:00"/>
  </r>
  <r>
    <s v="NO"/>
    <s v="RUC"/>
    <s v="20100128218"/>
    <s v="PETROLEOS DEL PERU PETROPERU SA"/>
    <s v="4090340016240"/>
    <d v="2025-03-12T00:00:00"/>
    <n v="125"/>
    <d v="2025-09-12T00:00:00"/>
    <s v="NO"/>
    <s v="POUL CRISTIAN, VALDIVIA CHARCA"/>
    <s v="JUAN CARLOS, CUYA VELARDE"/>
    <s v="ROBERTO GABRIEL, VERA TUDELA GALLESI"/>
    <s v="4090140015640"/>
    <x v="0"/>
    <d v="2025-08-25T00:00:00"/>
    <d v="2025-08-25T00:00:00"/>
  </r>
  <r>
    <s v="NO"/>
    <s v="RUC"/>
    <s v="20100128218"/>
    <s v="PETROLEOS DEL PERU PETROPERU SA"/>
    <s v="4090340016251"/>
    <d v="2025-03-12T00:00:00"/>
    <n v="125"/>
    <d v="2025-09-12T00:00:00"/>
    <s v="NO"/>
    <s v="POUL CRISTIAN, VALDIVIA CHARCA"/>
    <s v="JUAN CARLOS, CUYA VELARDE"/>
    <s v="ROBERTO GABRIEL, VERA TUDELA GALLESI"/>
    <s v="4090140015664"/>
    <x v="0"/>
    <d v="2025-08-26T00:00:00"/>
    <d v="2025-08-26T00:00:00"/>
  </r>
  <r>
    <s v="NO"/>
    <s v="RUC"/>
    <s v="10462454029"/>
    <s v="ESPINOZA CHICLLA ROOSVERT"/>
    <s v="4090340016527"/>
    <d v="2025-03-31T00:00:00"/>
    <n v="125"/>
    <d v="2025-10-01T00:00:00"/>
    <s v="NO"/>
    <s v="RENIERD, RIOS GOMEZ"/>
    <s v="JUAN CARLOS, CUYA VELARDE"/>
    <s v="ROBERTO GABRIEL, VERA TUDELA GALLESI"/>
    <s v="4090140015493"/>
    <x v="0"/>
    <d v="2025-08-07T00:00:00"/>
    <d v="2025-08-07T00:00:00"/>
  </r>
  <r>
    <s v="NO"/>
    <s v="RUC"/>
    <s v="20512528458"/>
    <s v="SHALOM EMPRESARIAL S.A.C."/>
    <s v="4090340017473"/>
    <d v="2025-05-27T00:00:00"/>
    <n v="125"/>
    <d v="2025-11-25T00:00:00"/>
    <s v="NO"/>
    <s v="RENIERD, RIOS GOMEZ"/>
    <s v="JUAN CARLOS, CUYA VELARDE"/>
    <s v="ROBERTO GABRIEL, VERA TUDELA GALLESI"/>
    <s v="4090140015623"/>
    <x v="0"/>
    <d v="2025-08-22T00:00:00"/>
    <d v="2025-08-22T00:00:00"/>
  </r>
  <r>
    <s v="NO"/>
    <s v="RUC"/>
    <s v="20512528458"/>
    <s v="SHALOM EMPRESARIAL S.A.C."/>
    <s v="4090340017492"/>
    <d v="2025-05-27T00:00:00"/>
    <n v="125"/>
    <d v="2025-11-25T00:00:00"/>
    <s v="NO"/>
    <s v="RENIERD, RIOS GOMEZ"/>
    <s v="JUAN CARLOS, CUYA VELARDE"/>
    <s v="ROBERTO GABRIEL, VERA TUDELA GALLESI"/>
    <s v="4090140015630"/>
    <x v="0"/>
    <d v="2025-08-22T00:00:00"/>
    <d v="2025-08-22T00:00:00"/>
  </r>
  <r>
    <s v="NO"/>
    <s v="RUC"/>
    <s v="10200444162"/>
    <s v="HUAMAN PEREZ MARILUZ"/>
    <s v="4090340018095"/>
    <d v="2025-06-02T00:00:00"/>
    <n v="125"/>
    <d v="2025-12-01T00:00:00"/>
    <s v="NO"/>
    <s v="RENIERD, RIOS GOMEZ"/>
    <s v="JUAN CARLOS, CUYA VELARDE"/>
    <s v="ROBERTO GABRIEL, VERA TUDELA GALLESI"/>
    <s v="4090140015731"/>
    <x v="0"/>
    <d v="2025-08-28T00:00:00"/>
    <d v="2025-08-28T00:00:00"/>
  </r>
  <r>
    <s v="NO"/>
    <s v="RUC"/>
    <s v="10804436753"/>
    <s v="SEQUEIROS MAMANI JUAN CARLOS"/>
    <s v="4090340018141"/>
    <d v="2025-06-11T00:00:00"/>
    <n v="125"/>
    <d v="2025-12-12T00:00:00"/>
    <s v="NO"/>
    <s v="RENIERD, RIOS GOMEZ"/>
    <s v="JUAN CARLOS, CUYA VELARDE"/>
    <s v="ROBERTO GABRIEL, VERA TUDELA GALLESI"/>
    <s v="4090140015738"/>
    <x v="0"/>
    <d v="2025-08-28T00:00:00"/>
    <d v="2025-08-28T00:00:00"/>
  </r>
  <r>
    <s v="NO"/>
    <s v="RUC"/>
    <s v="10107011957"/>
    <s v="MENDOZA HUAMPA ROBERTO"/>
    <s v="4090340018045"/>
    <d v="2025-06-23T00:00:00"/>
    <n v="125"/>
    <d v="2025-12-24T00:00:00"/>
    <s v="NO"/>
    <s v="RENIERD, RIOS GOMEZ"/>
    <s v="JUAN CARLOS, CUYA VELARDE"/>
    <s v="ROBERTO GABRIEL, VERA TUDELA GALLESI"/>
    <s v="4090140015622"/>
    <x v="0"/>
    <d v="2025-08-22T00:00:00"/>
    <d v="2025-08-22T00:00:00"/>
  </r>
  <r>
    <s v="NO"/>
    <s v="RUC"/>
    <s v="10414217902"/>
    <s v="MAMANI HUANCO ARMANDO"/>
    <s v="4090340016889"/>
    <d v="2025-04-09T00:00:00"/>
    <n v="125"/>
    <d v="2025-10-13T00:00:00"/>
    <s v="NO"/>
    <s v="RENIERD, RIOS GOMEZ"/>
    <s v="JUAN CARLOS, CUYA VELARDE"/>
    <s v="ROBERTO GABRIEL, VERA TUDELA GALLESI"/>
    <s v="4090140015472"/>
    <x v="0"/>
    <d v="2025-08-04T00:00:00"/>
    <d v="2025-08-04T00:00:00"/>
  </r>
  <r>
    <s v="NO"/>
    <s v="RUC"/>
    <s v="10414217902"/>
    <s v="MAMANI HUANCO ARMANDO"/>
    <s v="4090340016791"/>
    <d v="2025-04-09T00:00:00"/>
    <n v="125"/>
    <d v="2025-10-13T00:00:00"/>
    <s v="NO"/>
    <s v="RENIERD, RIOS GOMEZ"/>
    <s v="JUAN CARLOS, CUYA VELARDE"/>
    <s v="ROBERTO GABRIEL, VERA TUDELA GALLESI"/>
    <s v="4090140015487"/>
    <x v="0"/>
    <d v="2025-08-07T00:00:00"/>
    <d v="2025-08-07T00:00:00"/>
  </r>
  <r>
    <s v="NO"/>
    <s v="RUC"/>
    <s v="10423178898"/>
    <s v="CHINO LLANOS ELVIS EUDES"/>
    <s v="4090340016835"/>
    <d v="2025-04-21T00:00:00"/>
    <n v="125"/>
    <d v="2025-10-21T00:00:00"/>
    <s v="NO"/>
    <s v="RENIERD, RIOS GOMEZ"/>
    <s v="JUAN CARLOS, CUYA VELARDE"/>
    <s v="ROBERTO GABRIEL, VERA TUDELA GALLESI"/>
    <s v="4090140015501"/>
    <x v="0"/>
    <d v="2025-08-08T00:00:00"/>
    <d v="2025-08-08T00:00:00"/>
  </r>
  <r>
    <s v="NO"/>
    <s v="RUC"/>
    <s v="10423178898"/>
    <s v="CHINO LLANOS ELVIS EUDES"/>
    <s v="4090340016954"/>
    <d v="2025-04-21T00:00:00"/>
    <n v="125"/>
    <d v="2025-10-21T00:00:00"/>
    <s v="NO"/>
    <s v="RENIERD, RIOS GOMEZ"/>
    <s v="JUAN CARLOS, CUYA VELARDE"/>
    <s v="ROBERTO GABRIEL, VERA TUDELA GALLESI"/>
    <s v="4090140015500"/>
    <x v="0"/>
    <d v="2025-08-08T00:00:00"/>
    <d v="2025-08-08T00:00:00"/>
  </r>
  <r>
    <s v="NO"/>
    <s v="RUC"/>
    <s v="20600102932"/>
    <s v="IMPORT CRISTO VIENE E.I.R.L."/>
    <s v="4090340015719"/>
    <d v="2025-02-11T00:00:00"/>
    <n v="125"/>
    <d v="2025-08-14T00:00:00"/>
    <s v="NO"/>
    <s v="RICHARD, VELA NUÑEZ"/>
    <s v="JUAN CARLOS, CUYA VELARDE"/>
    <s v="ROBERTO GABRIEL, VERA TUDELA GALLESI"/>
    <s v="4090140015471"/>
    <x v="0"/>
    <d v="2025-08-04T00:00:00"/>
    <d v="2025-08-04T00:00:00"/>
  </r>
  <r>
    <s v="NO"/>
    <s v="RUC"/>
    <s v="20519867177"/>
    <s v="CORPORACION BLANCO'S E.I.R.L."/>
    <s v="4090340016016"/>
    <d v="2025-02-26T00:00:00"/>
    <n v="125"/>
    <d v="2025-08-29T00:00:00"/>
    <s v="NO"/>
    <s v="RICHARD, VELA NUÑEZ"/>
    <s v="JUAN CARLOS, CUYA VELARDE"/>
    <s v="ROBERTO GABRIEL, VERA TUDELA GALLESI"/>
    <s v="4090140015739"/>
    <x v="0"/>
    <d v="2025-08-28T00:00:00"/>
    <d v="2025-08-28T00:00:00"/>
  </r>
  <r>
    <s v="NO"/>
    <s v="RUC"/>
    <s v="20504658296"/>
    <s v="TEXTIL RAMOS S.A.C"/>
    <s v="4090340016215"/>
    <d v="2025-03-18T00:00:00"/>
    <n v="125"/>
    <d v="2025-09-18T00:00:00"/>
    <s v="NO"/>
    <s v="RICHARD, VELA NUÑEZ"/>
    <s v="JUAN CARLOS, CUYA VELARDE"/>
    <s v="ROBERTO GABRIEL, VERA TUDELA GALLESI"/>
    <s v="4090140015550"/>
    <x v="1"/>
    <d v="2025-08-18T00:00:00"/>
    <d v="2025-08-18T00:00:00"/>
  </r>
  <r>
    <s v="NO"/>
    <s v="RUC"/>
    <s v="10454874451"/>
    <s v="VASQUEZ PUMA DENNIS DAVID"/>
    <s v="4090340017106"/>
    <d v="2025-03-19T00:00:00"/>
    <n v="125"/>
    <d v="2025-09-19T00:00:00"/>
    <s v="NO"/>
    <s v="RICHARD, VELA NUÑEZ"/>
    <s v="JUAN CARLOS, CUYA VELARDE"/>
    <s v="ROBERTO GABRIEL, VERA TUDELA GALLESI"/>
    <s v="4090140015577"/>
    <x v="0"/>
    <d v="2025-08-19T00:00:00"/>
    <d v="2025-08-19T00:00:00"/>
  </r>
  <r>
    <s v="NO"/>
    <s v="RUC"/>
    <s v="20558624605"/>
    <s v="TRANSYACU S.A.C."/>
    <s v="4090340016222"/>
    <d v="2025-03-19T00:00:00"/>
    <n v="125"/>
    <d v="2025-09-19T00:00:00"/>
    <s v="NO"/>
    <s v="RICHARD, VELA NUÑEZ"/>
    <s v="JUAN CARLOS, CUYA VELARDE"/>
    <s v="ROBERTO GABRIEL, VERA TUDELA GALLESI"/>
    <s v="4090140015576"/>
    <x v="0"/>
    <d v="2025-08-19T00:00:00"/>
    <d v="2025-08-19T00:00:00"/>
  </r>
  <r>
    <s v="NO"/>
    <s v="RUC"/>
    <s v="20600952634"/>
    <s v="JG UNIVISION  S.A.C."/>
    <s v="4090340016257"/>
    <d v="2025-03-20T00:00:00"/>
    <n v="125"/>
    <d v="2025-09-22T00:00:00"/>
    <s v="NO"/>
    <s v="RICHARD, VELA NUÑEZ"/>
    <s v="JUAN CARLOS, CUYA VELARDE"/>
    <s v="ROBERTO GABRIEL, VERA TUDELA GALLESI"/>
    <s v="4090140015841"/>
    <x v="1"/>
    <d v="2025-08-29T00:00:00"/>
    <d v="2025-08-29T00:00:00"/>
  </r>
  <r>
    <s v="NO"/>
    <s v="RUC"/>
    <s v="10467035971"/>
    <s v="NINA FLORES RAUL BRINH"/>
    <s v="4090340018273"/>
    <d v="2025-06-30T00:00:00"/>
    <n v="125"/>
    <d v="2026-01-01T00:00:00"/>
    <s v="NO"/>
    <s v="RICHARD, VELA NUÑEZ"/>
    <s v="JUAN CARLOS, CUYA VELARDE"/>
    <s v="ROBERTO GABRIEL, VERA TUDELA GALLESI"/>
    <s v="4090140015661"/>
    <x v="0"/>
    <d v="2025-08-26T00:00:00"/>
    <d v="2025-08-26T00:00:00"/>
  </r>
  <r>
    <s v="NO"/>
    <s v="RUC"/>
    <s v="10477955971"/>
    <s v="INCACUTIPA TICONA JORGE"/>
    <s v="4090340016462"/>
    <d v="2025-04-02T00:00:00"/>
    <n v="125"/>
    <d v="2025-10-03T00:00:00"/>
    <s v="NO"/>
    <s v="RICHARD, VELA NUÑEZ"/>
    <s v="JUAN CARLOS, CUYA VELARDE"/>
    <s v="ROBERTO GABRIEL, VERA TUDELA GALLESI"/>
    <s v="4090140015833"/>
    <x v="0"/>
    <d v="2025-08-29T00:00:00"/>
    <d v="2025-08-29T00:00:00"/>
  </r>
  <r>
    <s v="NO"/>
    <s v="RUC"/>
    <s v="10477955971"/>
    <s v="INCACUTIPA TICONA JORGE"/>
    <s v="4090340016431"/>
    <d v="2025-04-02T00:00:00"/>
    <n v="125"/>
    <d v="2025-10-03T00:00:00"/>
    <s v="NO"/>
    <s v="RICHARD, VELA NUÑEZ"/>
    <s v="JUAN CARLOS, CUYA VELARDE"/>
    <s v="ROBERTO GABRIEL, VERA TUDELA GALLESI"/>
    <s v="4090140015791"/>
    <x v="0"/>
    <d v="2025-08-29T00:00:00"/>
    <d v="2025-08-29T00:00:00"/>
  </r>
  <r>
    <s v="NO"/>
    <s v="RUC"/>
    <s v="20600771877"/>
    <s v="TRANSPORTES COPACABANA WS E.I.R.L."/>
    <s v="4090340016648"/>
    <d v="2025-04-02T00:00:00"/>
    <n v="125"/>
    <d v="2025-10-03T00:00:00"/>
    <s v="NO"/>
    <s v="RICHARD, VELA NUÑEZ"/>
    <s v="JUAN CARLOS, CUYA VELARDE"/>
    <s v="ROBERTO GABRIEL, VERA TUDELA GALLESI"/>
    <s v="4090140015792"/>
    <x v="0"/>
    <d v="2025-08-29T00:00:00"/>
    <d v="2025-08-29T00:00:00"/>
  </r>
  <r>
    <s v="NO"/>
    <s v="RUC"/>
    <s v="10454417874"/>
    <s v="CARITA COTA UBER"/>
    <s v="4090340016865"/>
    <d v="2022-08-10T00:00:00"/>
    <n v="125"/>
    <d v="2023-02-07T00:00:00"/>
    <s v="SI"/>
    <s v="ROBERTO CESAR, RIVAROLA HIDALGO"/>
    <s v="JUAN CARLOS, CUYA VELARDE"/>
    <s v="ROBERTO GABRIEL, VERA TUDELA GALLESI"/>
    <s v="4090140015789"/>
    <x v="0"/>
    <d v="2025-08-29T00:00:00"/>
    <d v="2025-08-29T00:00:00"/>
  </r>
  <r>
    <s v="NO"/>
    <s v="RUC"/>
    <s v="10048108712"/>
    <s v="PERDOMO CANALES YENNY MAGDALENA"/>
    <s v="4090340017087"/>
    <d v="2025-05-06T00:00:00"/>
    <n v="125"/>
    <d v="2025-11-04T00:00:00"/>
    <s v="NO"/>
    <s v="ROBERTO CESAR, RIVAROLA HIDALGO"/>
    <s v="JUAN CARLOS, CUYA VELARDE"/>
    <s v="ROBERTO GABRIEL, VERA TUDELA GALLESI"/>
    <s v="4090140015494"/>
    <x v="0"/>
    <d v="2025-08-07T00:00:00"/>
    <d v="2025-08-07T00:00:00"/>
  </r>
  <r>
    <s v="NO"/>
    <s v="RUC"/>
    <s v="10444639321"/>
    <s v="INCHICSANA MENDOZA ALICIA"/>
    <s v="4090340017088"/>
    <d v="2025-05-06T00:00:00"/>
    <n v="125"/>
    <d v="2025-11-04T00:00:00"/>
    <s v="NO"/>
    <s v="ROBERTO CESAR, RIVAROLA HIDALGO"/>
    <s v="JUAN CARLOS, CUYA VELARDE"/>
    <s v="ROBERTO GABRIEL, VERA TUDELA GALLESI"/>
    <s v="4090140015605"/>
    <x v="0"/>
    <d v="2025-08-21T00:00:00"/>
    <d v="2025-08-21T00:00:00"/>
  </r>
  <r>
    <s v="NO"/>
    <s v="RUC"/>
    <s v="10049607259"/>
    <s v="PARI ALLER EDGAR FRANCISCO"/>
    <s v="4090340017075"/>
    <d v="2025-05-06T00:00:00"/>
    <n v="125"/>
    <d v="2025-11-04T00:00:00"/>
    <s v="NO"/>
    <s v="ROBERTO CESAR, RIVAROLA HIDALGO"/>
    <s v="JUAN CARLOS, CUYA VELARDE"/>
    <s v="ROBERTO GABRIEL, VERA TUDELA GALLESI"/>
    <s v="4090140015502"/>
    <x v="0"/>
    <d v="2025-08-08T00:00:00"/>
    <d v="2025-08-08T00:00:00"/>
  </r>
  <r>
    <s v="NO"/>
    <s v="RUC"/>
    <s v="20600300611"/>
    <s v="EMPRESA DE TRANSPORTES TURISMO IÑAPARI SOCIEDAD COMERCIAL DE RESPONSABILIDAD LIMITADA"/>
    <s v="4090340017264"/>
    <d v="2025-05-16T00:00:00"/>
    <n v="125"/>
    <d v="2025-11-14T00:00:00"/>
    <s v="NO"/>
    <s v="ROBERTO CESAR, RIVAROLA HIDALGO"/>
    <s v="JUAN CARLOS, CUYA VELARDE"/>
    <s v="ROBERTO GABRIEL, VERA TUDELA GALLESI"/>
    <s v="4090140015531"/>
    <x v="0"/>
    <d v="2025-08-13T00:00:00"/>
    <d v="2025-08-13T00:00:00"/>
  </r>
  <r>
    <s v="NO"/>
    <s v="RUC"/>
    <s v="10049607259"/>
    <s v="PARI ALLER EDGAR FRANCISCO"/>
    <s v="4090340017304"/>
    <d v="2025-05-16T00:00:00"/>
    <n v="125"/>
    <d v="2025-11-14T00:00:00"/>
    <s v="NO"/>
    <s v="ROBERTO CESAR, RIVAROLA HIDALGO"/>
    <s v="JUAN CARLOS, CUYA VELARDE"/>
    <s v="ROBERTO GABRIEL, VERA TUDELA GALLESI"/>
    <s v="4090140015504"/>
    <x v="0"/>
    <d v="2025-08-08T00:00:00"/>
    <d v="2025-08-08T00:00:00"/>
  </r>
  <r>
    <s v="NO"/>
    <s v="DNI"/>
    <s v="77014076"/>
    <s v="HEBERT MAMANI TEVES"/>
    <s v="4090340017692"/>
    <d v="2025-06-10T00:00:00"/>
    <n v="125"/>
    <d v="2025-12-11T00:00:00"/>
    <s v="NO"/>
    <s v="ROBERTO CESAR, RIVAROLA HIDALGO"/>
    <s v="JUAN CARLOS, CUYA VELARDE"/>
    <s v="ROBERTO GABRIEL, VERA TUDELA GALLESI"/>
    <s v="4090140015686"/>
    <x v="0"/>
    <d v="2025-08-26T00:00:00"/>
    <s v="SCAD 250280"/>
  </r>
  <r>
    <s v="NO"/>
    <s v="RUC"/>
    <s v="20515521217"/>
    <s v="BLOG ADUANAS S.A.C."/>
    <s v="4090340016386"/>
    <d v="2025-02-24T00:00:00"/>
    <n v="125"/>
    <d v="2025-08-27T00:00:00"/>
    <s v="NO"/>
    <s v="ROBERTO CESAR, RIVAROLA HIDALGO"/>
    <s v="JUAN CARLOS, CUYA VELARDE"/>
    <s v="ROBERTO GABRIEL, VERA TUDELA GALLESI"/>
    <s v="4090140015641"/>
    <x v="1"/>
    <d v="2025-08-25T00:00:00"/>
    <d v="2025-08-25T00:00:00"/>
  </r>
  <r>
    <s v="NO"/>
    <s v="RUC"/>
    <s v="10294730295"/>
    <s v="ZEGARRA PINTO JOSE MARIA"/>
    <s v="4090340016012"/>
    <d v="2025-02-24T00:00:00"/>
    <n v="125"/>
    <d v="2025-08-27T00:00:00"/>
    <s v="NO"/>
    <s v="ROBERTO CESAR, RIVAROLA HIDALGO"/>
    <s v="JUAN CARLOS, CUYA VELARDE"/>
    <s v="ROBERTO GABRIEL, VERA TUDELA GALLESI"/>
    <s v="4090140015629"/>
    <x v="1"/>
    <d v="2025-08-22T00:00:00"/>
    <d v="2025-08-22T00:00:00"/>
  </r>
  <r>
    <s v="NO"/>
    <s v="RUC"/>
    <s v="20103913340"/>
    <s v="ORVISA SOCIEDAD ANONIMA"/>
    <s v="4090340015914"/>
    <d v="2025-02-17T00:00:00"/>
    <n v="125"/>
    <d v="2025-08-20T00:00:00"/>
    <s v="NO"/>
    <s v="VICTORIA CARMEN ROSA, FLORES ALVITEZ"/>
    <s v="ALBERTO ANTHAR, MUNIVE BISETTI"/>
    <s v="ROBERTO GABRIEL, VERA TUDELA GALLESI"/>
    <s v="4090140015568"/>
    <x v="0"/>
    <d v="2025-08-18T00:00:00"/>
    <d v="2025-08-18T00:00:00"/>
  </r>
  <r>
    <s v="NO"/>
    <s v="RUC"/>
    <s v="20610193693"/>
    <s v="SODI IMPORT SELVA S.A.C."/>
    <s v="4090340016063"/>
    <d v="2025-02-26T00:00:00"/>
    <n v="125"/>
    <d v="2025-08-29T00:00:00"/>
    <s v="NO"/>
    <s v="VICTORIA CARMEN ROSA, FLORES ALVITEZ"/>
    <s v="ALBERTO ANTHAR, MUNIVE BISETTI"/>
    <s v="ROBERTO GABRIEL, VERA TUDELA GALLESI"/>
    <s v="4090140015649"/>
    <x v="0"/>
    <d v="2025-08-25T00:00:00"/>
    <d v="2025-08-25T00:00:00"/>
  </r>
  <r>
    <s v="NO"/>
    <s v="RUC"/>
    <s v="20601311331"/>
    <s v="NM INDUSTRIAL DEVELOPMENTS S.A.C."/>
    <s v="4090340015718"/>
    <d v="2025-02-11T00:00:00"/>
    <n v="125"/>
    <d v="2025-08-14T00:00:00"/>
    <s v="NO"/>
    <s v="VICTORIA CARMEN ROSA, FLORES ALVITEZ"/>
    <s v="ALBERTO ANTHAR, MUNIVE BISETTI"/>
    <s v="ROBERTO GABRIEL, VERA TUDELA GALLESI"/>
    <s v="4090140015535"/>
    <x v="1"/>
    <d v="2025-08-14T00:00:00"/>
    <d v="2025-08-14T00:00:00"/>
  </r>
  <r>
    <s v="NO"/>
    <s v="RUC"/>
    <s v="20408998981"/>
    <s v="ARMANDO DAVILA ALVARADO EIRL"/>
    <s v="4090340015913"/>
    <d v="2025-02-18T00:00:00"/>
    <n v="125"/>
    <d v="2025-08-21T00:00:00"/>
    <s v="NO"/>
    <s v="VICTORIA CARMEN ROSA, FLORES ALVITEZ"/>
    <s v="ALBERTO ANTHAR, MUNIVE BISETTI"/>
    <s v="ROBERTO GABRIEL, VERA TUDELA GALLESI"/>
    <s v="4090140015462"/>
    <x v="0"/>
    <d v="2025-08-01T00:00:00"/>
    <d v="2025-08-01T00:00:00"/>
  </r>
  <r>
    <s v="NO"/>
    <s v="RUC"/>
    <s v="20408998981"/>
    <s v="ARMANDO DAVILA ALVARADO EIRL"/>
    <s v="4090340015916"/>
    <d v="2025-02-18T00:00:00"/>
    <n v="125"/>
    <d v="2025-08-21T00:00:00"/>
    <s v="NO"/>
    <s v="VICTORIA CARMEN ROSA, FLORES ALVITEZ"/>
    <s v="ALBERTO ANTHAR, MUNIVE BISETTI"/>
    <s v="ROBERTO GABRIEL, VERA TUDELA GALLESI"/>
    <s v="4090140015463"/>
    <x v="0"/>
    <d v="2025-08-01T00:00:00"/>
    <d v="2025-08-01T00:00:00"/>
  </r>
  <r>
    <s v="NO"/>
    <s v="RUC"/>
    <s v="20408998981"/>
    <s v="ARMANDO DAVILA ALVARADO EIRL"/>
    <s v="4090340015917"/>
    <d v="2025-02-18T00:00:00"/>
    <n v="125"/>
    <d v="2025-08-21T00:00:00"/>
    <s v="NO"/>
    <s v="VICTORIA CARMEN ROSA, FLORES ALVITEZ"/>
    <s v="ALBERTO ANTHAR, MUNIVE BISETTI"/>
    <s v="ROBERTO GABRIEL, VERA TUDELA GALLESI"/>
    <s v="4090140015464"/>
    <x v="0"/>
    <d v="2025-08-01T00:00:00"/>
    <d v="2025-08-01T00:00:00"/>
  </r>
  <r>
    <s v="NO"/>
    <s v="RUC"/>
    <s v="20408998981"/>
    <s v="ARMANDO DAVILA ALVARADO EIRL"/>
    <s v="4090340015920"/>
    <d v="2025-02-18T00:00:00"/>
    <n v="125"/>
    <d v="2025-08-21T00:00:00"/>
    <s v="NO"/>
    <s v="VICTORIA CARMEN ROSA, FLORES ALVITEZ"/>
    <s v="ALBERTO ANTHAR, MUNIVE BISETTI"/>
    <s v="ROBERTO GABRIEL, VERA TUDELA GALLESI"/>
    <s v="4090140015465"/>
    <x v="0"/>
    <d v="2025-08-01T00:00:00"/>
    <d v="2025-08-01T00:00:00"/>
  </r>
  <r>
    <s v="NO"/>
    <s v="RUC"/>
    <s v="20408998981"/>
    <s v="ARMANDO DAVILA ALVARADO EIRL"/>
    <s v="4090340015921"/>
    <d v="2025-02-18T00:00:00"/>
    <n v="125"/>
    <d v="2025-08-21T00:00:00"/>
    <s v="NO"/>
    <s v="VICTORIA CARMEN ROSA, FLORES ALVITEZ"/>
    <s v="ALBERTO ANTHAR, MUNIVE BISETTI"/>
    <s v="ROBERTO GABRIEL, VERA TUDELA GALLESI"/>
    <s v="4090140015466"/>
    <x v="0"/>
    <d v="2025-08-01T00:00:00"/>
    <d v="2025-08-01T00:00:00"/>
  </r>
  <r>
    <s v="NO"/>
    <s v="RUC"/>
    <s v="20408998981"/>
    <s v="ARMANDO DAVILA ALVARADO EIRL"/>
    <s v="4090340015922"/>
    <d v="2025-02-18T00:00:00"/>
    <n v="125"/>
    <d v="2025-08-21T00:00:00"/>
    <s v="NO"/>
    <s v="VICTORIA CARMEN ROSA, FLORES ALVITEZ"/>
    <s v="ALBERTO ANTHAR, MUNIVE BISETTI"/>
    <s v="ROBERTO GABRIEL, VERA TUDELA GALLESI"/>
    <s v="4090140015467"/>
    <x v="0"/>
    <d v="2025-08-01T00:00:00"/>
    <d v="2025-08-01T00:00:00"/>
  </r>
  <r>
    <s v="NO"/>
    <s v="RUC"/>
    <s v="20408998981"/>
    <s v="ARMANDO DAVILA ALVARADO EIRL"/>
    <s v="4090340015923"/>
    <d v="2025-02-18T00:00:00"/>
    <n v="125"/>
    <d v="2025-08-21T00:00:00"/>
    <s v="NO"/>
    <s v="VICTORIA CARMEN ROSA, FLORES ALVITEZ"/>
    <s v="ALBERTO ANTHAR, MUNIVE BISETTI"/>
    <s v="ROBERTO GABRIEL, VERA TUDELA GALLESI"/>
    <s v="4090140015468"/>
    <x v="0"/>
    <d v="2025-08-01T00:00:00"/>
    <d v="2025-08-01T00:00:00"/>
  </r>
  <r>
    <s v="NO"/>
    <s v="RUC"/>
    <s v="20609502054"/>
    <s v="AGROINDUSTRIAS ALIMENTARIAS VETERINARIAS EMPRESA INDIVIDUAL DE RESPONSABILIDAD LIMITADA"/>
    <s v="4090340016119"/>
    <d v="2025-03-07T00:00:00"/>
    <n v="125"/>
    <d v="2025-09-09T00:00:00"/>
    <s v="NO"/>
    <s v="VICTORIA CARMEN ROSA, FLORES ALVITEZ"/>
    <s v="ALBERTO ANTHAR, MUNIVE BISETTI"/>
    <s v="ROBERTO GABRIEL, VERA TUDELA GALLESI"/>
    <s v="4090140015773"/>
    <x v="0"/>
    <d v="2025-08-29T00:00:00"/>
    <d v="2025-08-29T00:00:00"/>
  </r>
  <r>
    <s v="NO"/>
    <s v="RUC"/>
    <s v="20609168219"/>
    <s v="MAQUINARIAS YURAC S.A.C."/>
    <s v="4090340015932"/>
    <d v="2025-02-20T00:00:00"/>
    <n v="125"/>
    <d v="2025-08-25T00:00:00"/>
    <s v="NO"/>
    <s v="VICTORIA CARMEN ROSA, FLORES ALVITEZ"/>
    <s v="ALBERTO ANTHAR, MUNIVE BISETTI"/>
    <s v="ROBERTO GABRIEL, VERA TUDELA GALLESI"/>
    <s v="4090140015603"/>
    <x v="0"/>
    <d v="2025-08-21T00:00:00"/>
    <d v="2025-08-21T00:00:00"/>
  </r>
  <r>
    <s v="NO"/>
    <s v="RUC"/>
    <s v="20608643215"/>
    <s v="TRANSPORTES FRONTERAS PERU S.A.C."/>
    <s v="4090340015695"/>
    <d v="2025-02-10T00:00:00"/>
    <n v="125"/>
    <d v="2025-08-13T00:00:00"/>
    <s v="NO"/>
    <s v="VICTORIA CARMEN ROSA, FLORES ALVITEZ"/>
    <s v="ALBERTO ANTHAR, MUNIVE BISETTI"/>
    <s v="ROBERTO GABRIEL, VERA TUDELA GALLESI"/>
    <s v="4090140015510"/>
    <x v="0"/>
    <d v="2025-08-11T00:00:00"/>
    <d v="2025-08-11T00:00:00"/>
  </r>
  <r>
    <s v="NO"/>
    <s v="RUC"/>
    <s v="10481404806"/>
    <s v="ZAPATA ODAR EDISON FELIX"/>
    <s v="4090340016085"/>
    <d v="2025-03-05T00:00:00"/>
    <n v="125"/>
    <d v="2025-09-05T00:00:00"/>
    <s v="NO"/>
    <s v="VICTORIA CARMEN ROSA, FLORES ALVITEZ"/>
    <s v="ALBERTO ANTHAR, MUNIVE BISETTI"/>
    <s v="ROBERTO GABRIEL, VERA TUDELA GALLESI"/>
    <s v="4090140015675"/>
    <x v="0"/>
    <d v="2025-08-26T00:00:00"/>
    <d v="2025-08-26T00:00:00"/>
  </r>
  <r>
    <s v="NO"/>
    <s v="RUC"/>
    <s v="10180119481"/>
    <s v="CRUZADO CHAFFO SALVADOR ENRIQUE"/>
    <s v="4090340016030"/>
    <d v="2025-02-14T00:00:00"/>
    <n v="125"/>
    <d v="2025-08-19T00:00:00"/>
    <s v="NO"/>
    <s v="VICTORIA CARMEN ROSA, FLORES ALVITEZ"/>
    <s v="ALBERTO ANTHAR, MUNIVE BISETTI"/>
    <s v="ROBERTO GABRIEL, VERA TUDELA GALLESI"/>
    <s v="4090140015549"/>
    <x v="0"/>
    <d v="2025-08-18T00:00:00"/>
    <s v="I-1297584"/>
  </r>
  <r>
    <s v="NO"/>
    <s v="RUC"/>
    <s v="20608563343"/>
    <s v="RIVERTOP TEXTIL S.A.C."/>
    <s v="4090340016128"/>
    <d v="2025-03-04T00:00:00"/>
    <n v="125"/>
    <d v="2025-09-04T00:00:00"/>
    <s v="NO"/>
    <s v="WILDER ELOY, ULLOA ASCENCIO"/>
    <s v="ALBERTO ANTHAR, MUNIVE BISETTI"/>
    <s v="ROBERTO GABRIEL, VERA TUDELA GALLESI"/>
    <s v="4090140015486"/>
    <x v="0"/>
    <d v="2025-08-07T00:00:00"/>
    <d v="2025-08-07T00:00:00"/>
  </r>
  <r>
    <s v="NO"/>
    <s v="RUC"/>
    <s v="20606793481"/>
    <s v="IMPORT &amp; EXPORT JUNHONG S.A.C"/>
    <s v="4090340016488"/>
    <d v="2025-04-03T00:00:00"/>
    <n v="125"/>
    <d v="2025-10-06T00:00:00"/>
    <s v="NO"/>
    <s v="WILDER ELOY, ULLOA ASCENCIO"/>
    <s v="ALBERTO ANTHAR, MUNIVE BISETTI"/>
    <s v="ROBERTO GABRIEL, VERA TUDELA GALLESI"/>
    <s v="4090140015646"/>
    <x v="0"/>
    <d v="2025-08-25T00:00:00"/>
    <d v="2025-08-25T00:00:00"/>
  </r>
  <r>
    <s v="NO"/>
    <s v="RUC"/>
    <s v="20608895630"/>
    <s v="XIAOMI TECHNOLOGIES PERU S.A.C."/>
    <s v="4090340016026"/>
    <d v="2025-02-27T00:00:00"/>
    <n v="125"/>
    <d v="2025-09-01T00:00:00"/>
    <s v="NO"/>
    <s v="WILDER ELOY, ULLOA ASCENCIO"/>
    <s v="ALBERTO ANTHAR, MUNIVE BISETTI"/>
    <s v="ROBERTO GABRIEL, VERA TUDELA GALLESI"/>
    <s v="4090140015469"/>
    <x v="0"/>
    <d v="2025-08-01T00:00:00"/>
    <d v="2025-08-01T00:00:00"/>
  </r>
  <r>
    <s v="NO"/>
    <s v="RUC"/>
    <s v="20469317855"/>
    <s v="PC LINK SOCIEDAD ANONIMA CERRADA"/>
    <s v="4090340016087"/>
    <d v="2025-03-05T00:00:00"/>
    <n v="125"/>
    <d v="2025-09-05T00:00:00"/>
    <s v="NO"/>
    <s v="WILDER ELOY, ULLOA ASCENCIO"/>
    <s v="ALBERTO ANTHAR, MUNIVE BISETTI"/>
    <s v="ROBERTO GABRIEL, VERA TUDELA GALLESI"/>
    <s v="4090140015499"/>
    <x v="0"/>
    <d v="2025-08-08T00:00:00"/>
    <d v="2025-08-08T00:00:00"/>
  </r>
  <r>
    <s v="NO"/>
    <s v="RUC"/>
    <s v="20609359651"/>
    <s v="INVERSIONES PIANDA S.A.C."/>
    <s v="4090340016256"/>
    <d v="2025-03-19T00:00:00"/>
    <n v="125"/>
    <d v="2025-09-19T00:00:00"/>
    <s v="NO"/>
    <s v="WILDER ELOY, ULLOA ASCENCIO"/>
    <s v="ALBERTO ANTHAR, MUNIVE BISETTI"/>
    <s v="ROBERTO GABRIEL, VERA TUDELA GALLESI"/>
    <s v="4090140015595"/>
    <x v="0"/>
    <d v="2025-08-20T00:00:00"/>
    <d v="2025-08-20T00:00:00"/>
  </r>
  <r>
    <s v="NO"/>
    <s v="RUC"/>
    <s v="10440440938"/>
    <s v="TORRES MIREZ VLADIMIR FRANZ"/>
    <s v="4090340016526"/>
    <d v="2025-03-24T00:00:00"/>
    <n v="125"/>
    <d v="2025-09-24T00:00:00"/>
    <s v="NO"/>
    <s v="WILDER ELOY, ULLOA ASCENCIO"/>
    <s v="ALBERTO ANTHAR, MUNIVE BISETTI"/>
    <s v="ROBERTO GABRIEL, VERA TUDELA GALLESI"/>
    <s v="4090140015665"/>
    <x v="0"/>
    <d v="2025-08-26T00:00:00"/>
    <d v="2025-08-26T00:00:00"/>
  </r>
  <r>
    <s v="NO"/>
    <s v="RUC"/>
    <s v="10440440938"/>
    <s v="TORRES MIREZ VLADIMIR FRANZ"/>
    <s v="4090340017322"/>
    <d v="2025-03-25T00:00:00"/>
    <n v="125"/>
    <d v="2025-09-25T00:00:00"/>
    <s v="NO"/>
    <s v="WILDER ELOY, ULLOA ASCENCIO"/>
    <s v="ALBERTO ANTHAR, MUNIVE BISETTI"/>
    <s v="ROBERTO GABRIEL, VERA TUDELA GALLESI"/>
    <s v="4090140015666"/>
    <x v="0"/>
    <d v="2025-08-26T00:00:00"/>
    <d v="2025-08-26T00:00:00"/>
  </r>
  <r>
    <s v="NO"/>
    <s v="RUC"/>
    <s v="20601311781"/>
    <s v="RICBEL F.H. LOGISTICA S.A."/>
    <s v="4090340016425"/>
    <d v="2025-04-02T00:00:00"/>
    <n v="125"/>
    <d v="2025-10-03T00:00:00"/>
    <s v="NO"/>
    <s v="WILDER ELOY, ULLOA ASCENCIO"/>
    <s v="ALBERTO ANTHAR, MUNIVE BISETTI"/>
    <s v="ROBERTO GABRIEL, VERA TUDELA GALLESI"/>
    <s v="4090140015786"/>
    <x v="0"/>
    <d v="2025-08-29T00:00:00"/>
    <d v="2025-08-29T00:00:00"/>
  </r>
  <r>
    <s v="NO"/>
    <s v="RUC"/>
    <s v="20512285539"/>
    <s v="PRO MAKEUP E.I.R.L."/>
    <s v="4090340017378"/>
    <d v="2025-04-14T00:00:00"/>
    <n v="125"/>
    <d v="2025-10-16T00:00:00"/>
    <s v="NO"/>
    <s v="WILDER ELOY, ULLOA ASCENCIO"/>
    <s v="ALBERTO ANTHAR, MUNIVE BISETTI"/>
    <s v="ROBERTO GABRIEL, VERA TUDELA GALLESI"/>
    <s v="4090140015709"/>
    <x v="0"/>
    <d v="2025-08-27T00:00:00"/>
    <d v="2025-08-27T00:00:00"/>
  </r>
  <r>
    <s v="NO"/>
    <s v="RUC"/>
    <s v="20479364207"/>
    <s v="MOLINO SAN FERNANDO S.R.L."/>
    <s v="4090340016072"/>
    <d v="2025-03-04T00:00:00"/>
    <n v="125"/>
    <d v="2025-09-04T00:00:00"/>
    <s v="NO"/>
    <s v="WILDER ELOY, ULLOA ASCENCIO"/>
    <s v="ALBERTO ANTHAR, MUNIVE BISETTI"/>
    <s v="ROBERTO GABRIEL, VERA TUDELA GALLESI"/>
    <s v="4090140015597"/>
    <x v="0"/>
    <d v="2025-08-20T00:00:00"/>
    <d v="2025-08-20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3">
  <r>
    <s v="NO"/>
    <s v="RUC"/>
    <s v="20555881801"/>
    <s v="INCAVO S.A.C."/>
    <s v="4090340004637"/>
    <x v="0"/>
    <n v="125"/>
    <d v="2021-03-24T00:00:00"/>
    <s v="RECURSO EN ANÁLISIS DE FONDO"/>
    <x v="0"/>
    <x v="0"/>
    <s v="ROBERTO GABRIEL, VERA TUDELA GALLESI"/>
    <s v="No Gestionable"/>
  </r>
  <r>
    <s v="NO"/>
    <s v="RUC"/>
    <s v="20555881801"/>
    <s v="INCAVO S.A.C."/>
    <s v="4090340004646"/>
    <x v="0"/>
    <n v="125"/>
    <d v="2021-03-24T00:00:00"/>
    <s v="RECURSO EN ANÁLISIS DE FONDO"/>
    <x v="0"/>
    <x v="0"/>
    <s v="ROBERTO GABRIEL, VERA TUDELA GALLESI"/>
    <s v="No Gestionable"/>
  </r>
  <r>
    <s v="NO"/>
    <s v="RUC"/>
    <s v="20555881801"/>
    <s v="INCAVO S.A.C."/>
    <s v="4090340004651"/>
    <x v="0"/>
    <n v="125"/>
    <d v="2021-03-24T00:00:00"/>
    <s v="RECURSO EN ANÁLISIS DE FONDO"/>
    <x v="1"/>
    <x v="0"/>
    <s v="ROBERTO GABRIEL, VERA TUDELA GALLESI"/>
    <s v="No Gestionable"/>
  </r>
  <r>
    <s v="NO"/>
    <s v="RUC"/>
    <s v="20555881801"/>
    <s v="INCAVO S.A.C."/>
    <s v="4090340004652"/>
    <x v="0"/>
    <n v="125"/>
    <d v="2021-03-24T00:00:00"/>
    <s v="RECURSO EN ANÁLISIS DE FONDO"/>
    <x v="1"/>
    <x v="0"/>
    <s v="ROBERTO GABRIEL, VERA TUDELA GALLESI"/>
    <s v="No Gestionable"/>
  </r>
  <r>
    <s v="NO"/>
    <s v="RUC"/>
    <s v="20555881801"/>
    <s v="INCAVO S.A.C."/>
    <s v="4090340004656"/>
    <x v="0"/>
    <n v="125"/>
    <d v="2021-03-24T00:00:00"/>
    <s v="RECURSO EN ANÁLISIS DE FONDO"/>
    <x v="0"/>
    <x v="0"/>
    <s v="ROBERTO GABRIEL, VERA TUDELA GALLESI"/>
    <s v="No Gestionable"/>
  </r>
  <r>
    <s v="NO"/>
    <s v="RUC"/>
    <s v="20555881801"/>
    <s v="INCAVO S.A.C."/>
    <s v="4090340004662"/>
    <x v="0"/>
    <n v="125"/>
    <d v="2021-03-24T00:00:00"/>
    <s v="RECURSO EN ANÁLISIS DE FONDO"/>
    <x v="0"/>
    <x v="0"/>
    <s v="ROBERTO GABRIEL, VERA TUDELA GALLESI"/>
    <s v="No Gestionable"/>
  </r>
  <r>
    <s v="NO"/>
    <s v="RUC"/>
    <s v="20555881801"/>
    <s v="INCAVO S.A.C."/>
    <s v="4090340004663"/>
    <x v="0"/>
    <n v="125"/>
    <d v="2021-03-24T00:00:00"/>
    <s v="RECURSO EN ANÁLISIS DE FONDO"/>
    <x v="1"/>
    <x v="0"/>
    <s v="ROBERTO GABRIEL, VERA TUDELA GALLESI"/>
    <s v="No Gestionable"/>
  </r>
  <r>
    <s v="NO"/>
    <s v="RUC"/>
    <s v="20555881801"/>
    <s v="INCAVO S.A.C."/>
    <s v="4090340004667"/>
    <x v="0"/>
    <n v="125"/>
    <d v="2021-03-24T00:00:00"/>
    <s v="RECURSO EN ANÁLISIS DE FONDO"/>
    <x v="2"/>
    <x v="0"/>
    <s v="ROBERTO GABRIEL, VERA TUDELA GALLESI"/>
    <s v="No Gestionable"/>
  </r>
  <r>
    <s v="NO"/>
    <s v="RUC"/>
    <s v="20555881801"/>
    <s v="INCAVO S.A.C."/>
    <s v="4090340004668"/>
    <x v="0"/>
    <n v="125"/>
    <d v="2021-03-24T00:00:00"/>
    <s v="RECURSO EN ANÁLISIS DE FONDO"/>
    <x v="2"/>
    <x v="0"/>
    <s v="ROBERTO GABRIEL, VERA TUDELA GALLESI"/>
    <s v="No Gestionable"/>
  </r>
  <r>
    <s v="NO"/>
    <s v="RUC"/>
    <s v="20555881801"/>
    <s v="INCAVO S.A.C."/>
    <s v="4090340004670"/>
    <x v="0"/>
    <n v="125"/>
    <d v="2021-03-24T00:00:00"/>
    <s v="RECURSO EN ANÁLISIS DE FONDO"/>
    <x v="0"/>
    <x v="0"/>
    <s v="ROBERTO GABRIEL, VERA TUDELA GALLESI"/>
    <s v="No Gestionable"/>
  </r>
  <r>
    <s v="NO"/>
    <s v="RUC"/>
    <s v="20555881801"/>
    <s v="INCAVO S.A.C."/>
    <s v="4090340004672"/>
    <x v="0"/>
    <n v="125"/>
    <d v="2021-03-24T00:00:00"/>
    <s v="RECURSO EN ANÁLISIS DE FONDO"/>
    <x v="0"/>
    <x v="0"/>
    <s v="ROBERTO GABRIEL, VERA TUDELA GALLESI"/>
    <s v="No Gestionable"/>
  </r>
  <r>
    <s v="NO"/>
    <s v="RUC"/>
    <s v="20555881801"/>
    <s v="INCAVO S.A.C."/>
    <s v="4090340004677"/>
    <x v="0"/>
    <n v="125"/>
    <d v="2021-03-24T00:00:00"/>
    <s v="RECURSO EN ANÁLISIS DE FONDO"/>
    <x v="1"/>
    <x v="0"/>
    <s v="ROBERTO GABRIEL, VERA TUDELA GALLESI"/>
    <s v="No Gestionable"/>
  </r>
  <r>
    <s v="NO"/>
    <s v="RUC"/>
    <s v="20555881801"/>
    <s v="INCAVO S.A.C."/>
    <s v="4090340004679"/>
    <x v="0"/>
    <n v="125"/>
    <d v="2021-03-24T00:00:00"/>
    <s v="RECURSO EN ANÁLISIS DE FONDO"/>
    <x v="0"/>
    <x v="0"/>
    <s v="ROBERTO GABRIEL, VERA TUDELA GALLESI"/>
    <s v="No Gestionable"/>
  </r>
  <r>
    <s v="NO"/>
    <s v="RUC"/>
    <s v="20555881801"/>
    <s v="INCAVO S.A.C."/>
    <s v="4090340004680"/>
    <x v="0"/>
    <n v="125"/>
    <d v="2021-03-24T00:00:00"/>
    <s v="RECURSO EN ANÁLISIS DE FONDO"/>
    <x v="0"/>
    <x v="0"/>
    <s v="ROBERTO GABRIEL, VERA TUDELA GALLESI"/>
    <s v="No Gestionable"/>
  </r>
  <r>
    <s v="NO"/>
    <s v="RUC"/>
    <s v="20555881801"/>
    <s v="INCAVO S.A.C."/>
    <s v="4090340004681"/>
    <x v="0"/>
    <n v="125"/>
    <d v="2021-03-24T00:00:00"/>
    <s v="RECURSO EN ANÁLISIS DE FONDO"/>
    <x v="1"/>
    <x v="0"/>
    <s v="ROBERTO GABRIEL, VERA TUDELA GALLESI"/>
    <s v="No Gestionable"/>
  </r>
  <r>
    <s v="NO"/>
    <s v="RUC"/>
    <s v="20555881801"/>
    <s v="INCAVO S.A.C."/>
    <s v="4090340004682"/>
    <x v="0"/>
    <n v="125"/>
    <d v="2021-03-24T00:00:00"/>
    <s v="RECURSO EN ANÁLISIS DE FONDO"/>
    <x v="1"/>
    <x v="0"/>
    <s v="ROBERTO GABRIEL, VERA TUDELA GALLESI"/>
    <s v="No Gestionable"/>
  </r>
  <r>
    <s v="SI"/>
    <s v="RUC"/>
    <s v="20101128777"/>
    <s v="DHL EXPRESS PERÚ S.A.C."/>
    <s v="4090340019069"/>
    <x v="1"/>
    <n v="60"/>
    <d v="2022-08-16T00:00:00"/>
    <s v="RECURSO EN ANÁLISIS DE FONDO"/>
    <x v="0"/>
    <x v="0"/>
    <s v="ROBERTO GABRIEL, VERA TUDELA GALLESI"/>
    <s v="Reingreso TF"/>
  </r>
  <r>
    <s v="NO"/>
    <s v="RUC"/>
    <s v="20538673839"/>
    <s v="BULLFROG PERU S.A.C."/>
    <s v="4090340013378"/>
    <x v="2"/>
    <n v="125"/>
    <d v="2023-01-20T00:00:00"/>
    <s v="RECURSO EN ANÁLISIS DE FONDO"/>
    <x v="0"/>
    <x v="0"/>
    <s v="ROBERTO GABRIEL, VERA TUDELA GALLESI"/>
    <s v="No Gestionable"/>
  </r>
  <r>
    <s v="NO"/>
    <s v="RUC"/>
    <s v="20607724432"/>
    <s v="CONSTRUCTORA E IMPORTADORA ROCCA DEL NORTE EMPRESA INDIVIDUAL DE RESPONSABILIDAD LIMITADA"/>
    <s v="4090340019541"/>
    <x v="3"/>
    <n v="125"/>
    <d v="2023-04-27T00:00:00"/>
    <s v="RECURSO EN ANÁLISIS DE FONDO"/>
    <x v="3"/>
    <x v="1"/>
    <s v="ROBERTO GABRIEL, VERA TUDELA GALLESI"/>
    <s v="Reingreso TF"/>
  </r>
  <r>
    <s v="NO"/>
    <s v="RUC"/>
    <s v="20507840290"/>
    <s v="FAMYR GROUP EIRL"/>
    <s v="4090340001882"/>
    <x v="4"/>
    <n v="125"/>
    <d v="2023-05-12T00:00:00"/>
    <s v="RECURSO EN ANÁLISIS DE FONDO"/>
    <x v="4"/>
    <x v="0"/>
    <s v="ROBERTO GABRIEL, VERA TUDELA GALLESI"/>
    <s v="Con ITOP I-665832 (30/06/2023) pendiente. Resuelto con RD 4090140003346"/>
  </r>
  <r>
    <s v="NO"/>
    <s v="RUC"/>
    <s v="10749017118"/>
    <s v="PECHO ANCCO JAHAIRA REBECA"/>
    <s v="4090340017104"/>
    <x v="5"/>
    <n v="125"/>
    <d v="2023-05-23T00:00:00"/>
    <s v="RECURSO EN ANÁLISIS DE FONDO"/>
    <x v="5"/>
    <x v="0"/>
    <s v="ROBERTO GABRIEL, VERA TUDELA GALLESI"/>
    <s v="Reingreso TF"/>
  </r>
  <r>
    <s v="NO"/>
    <s v="RUC"/>
    <s v="20537690713"/>
    <s v="COMERCIAL ARCE FASHION E.I.R.L."/>
    <s v="4090340003679"/>
    <x v="6"/>
    <n v="125"/>
    <d v="2023-09-08T00:00:00"/>
    <s v="RECURSO EN ANÁLISIS DE FONDO"/>
    <x v="6"/>
    <x v="0"/>
    <s v="ROBERTO GABRIEL, VERA TUDELA GALLESI"/>
    <s v="Con ITOP I-796618 (21/12/2023) pendiente. Resuelto con RD 4090140003985"/>
  </r>
  <r>
    <s v="NO"/>
    <s v="RUC"/>
    <s v="20601448310"/>
    <s v="IMPORTACIONES XIAO JIN S.A.C."/>
    <s v="4090340019328"/>
    <x v="7"/>
    <n v="125"/>
    <d v="2023-09-28T00:00:00"/>
    <s v="RECURSO EN ANÁLISIS DE FONDO"/>
    <x v="3"/>
    <x v="1"/>
    <s v="ROBERTO GABRIEL, VERA TUDELA GALLESI"/>
    <s v="Reingreso TF"/>
  </r>
  <r>
    <s v="NO"/>
    <s v="RUC"/>
    <s v="20273155938"/>
    <s v="MOLINERA INDUSTRIAL PERUANA S.A.C."/>
    <s v="4090340019388"/>
    <x v="8"/>
    <n v="125"/>
    <d v="2023-12-01T00:00:00"/>
    <s v="RECURSO EN ANÁLISIS DE FONDO"/>
    <x v="7"/>
    <x v="1"/>
    <s v="ROBERTO GABRIEL, VERA TUDELA GALLESI"/>
    <s v="Reingreso TF"/>
  </r>
  <r>
    <s v="NO"/>
    <s v="RUC"/>
    <s v="10479049128"/>
    <s v="AGURTO ROMAN ODAR JAVIER"/>
    <s v="4090340017697"/>
    <x v="9"/>
    <n v="125"/>
    <d v="2024-01-16T00:00:00"/>
    <s v="RECURSO EN ANÁLISIS DE FONDO"/>
    <x v="5"/>
    <x v="0"/>
    <s v="ROBERTO GABRIEL, VERA TUDELA GALLESI"/>
    <s v="Reingreso TF"/>
  </r>
  <r>
    <s v="NO"/>
    <s v="RUC"/>
    <s v="10451014353"/>
    <s v="FLORES CANCHO JUAN CARLOS"/>
    <s v="4090340005793"/>
    <x v="10"/>
    <n v="125"/>
    <d v="2024-02-06T00:00:00"/>
    <s v="RECURSO EN ANÁLISIS DE FONDO"/>
    <x v="8"/>
    <x v="0"/>
    <s v="ROBERTO GABRIEL, VERA TUDELA GALLESI"/>
    <s v="No Gestionable"/>
  </r>
  <r>
    <s v="NO"/>
    <s v="RUC"/>
    <s v="20607236322"/>
    <s v="INSA ALMACEN DE CABELLOS NATURALES S.A.C."/>
    <s v="4090340016295"/>
    <x v="11"/>
    <n v="125"/>
    <d v="2024-04-12T00:00:00"/>
    <s v="RECURSO EN ANÁLISIS DE FONDO"/>
    <x v="1"/>
    <x v="0"/>
    <s v="ROBERTO GABRIEL, VERA TUDELA GALLESI"/>
    <s v="Reingreso TF"/>
  </r>
  <r>
    <s v="NO"/>
    <s v="RUC"/>
    <s v="20350361210"/>
    <s v="INVERSIONES COFIMAR E.I.R.L."/>
    <s v="4090340010778"/>
    <x v="12"/>
    <n v="125"/>
    <d v="2025-01-06T00:00:00"/>
    <s v="RECURSO EN ANÁLISIS DE FONDO"/>
    <x v="9"/>
    <x v="1"/>
    <s v="ROBERTO GABRIEL, VERA TUDELA GALLESI"/>
    <s v="Resolución N° 4090140009542 / Notificada vía SINE -28/08/2024"/>
  </r>
  <r>
    <s v="NO"/>
    <s v="DNI"/>
    <s v="75157141"/>
    <s v="NAYELLI FLOR CASTAÑEDA ASTURIMA"/>
    <s v="4090340017250"/>
    <x v="13"/>
    <n v="125"/>
    <d v="2025-03-25T00:00:00"/>
    <s v="RECURSO EN ANÁLISIS DE FONDO"/>
    <x v="1"/>
    <x v="0"/>
    <s v="ROBERTO GABRIEL, VERA TUDELA GALLESI"/>
    <s v="Rengreso TF"/>
  </r>
  <r>
    <s v="NO"/>
    <s v="RUC"/>
    <s v="10180119481"/>
    <s v="CRUZADO CHAFFO SALVADOR ENRIQUE"/>
    <s v="4090340016030"/>
    <x v="14"/>
    <n v="125"/>
    <d v="2025-08-19T00:00:00"/>
    <s v="RECURSO EN ANÁLISIS DE FONDO"/>
    <x v="6"/>
    <x v="0"/>
    <s v="ROBERTO GABRIEL, VERA TUDELA GALLESI"/>
    <s v="I-1297584 pendiente .Resuelto RD 4090140015549"/>
  </r>
  <r>
    <s v="NO"/>
    <s v="RUC"/>
    <s v="20609732718"/>
    <s v="SERVISORTEK S.A.C."/>
    <s v="4090340016420"/>
    <x v="15"/>
    <n v="125"/>
    <d v="2025-09-08T00:00:00"/>
    <s v="RECURSO EN ANÁLISIS DE FONDO"/>
    <x v="3"/>
    <x v="1"/>
    <s v="ROBERTO GABRIEL, VERA TUDELA GALLESI"/>
    <m/>
  </r>
  <r>
    <s v="NO"/>
    <s v="RUC"/>
    <s v="20512898891"/>
    <s v="AGENCIA DE ADUANA VILCAPOMA HERMANOS SOCIEDAD COMERCIAL DE RESPONSABILIDAD LIMITADA"/>
    <s v="4090340016100"/>
    <x v="16"/>
    <n v="125"/>
    <d v="2025-09-09T00:00:00"/>
    <s v="RECURSO EN ANÁLISIS DE FONDO"/>
    <x v="3"/>
    <x v="1"/>
    <s v="ROBERTO GABRIEL, VERA TUDELA GALLESI"/>
    <m/>
  </r>
  <r>
    <s v="NO"/>
    <s v="RUC"/>
    <s v="20601226015"/>
    <s v="AGROCASAGRANDE S.A.C."/>
    <s v="4090340016183"/>
    <x v="17"/>
    <n v="125"/>
    <d v="2025-09-12T00:00:00"/>
    <s v="RECURSO EN ANÁLISIS DE FONDO"/>
    <x v="5"/>
    <x v="0"/>
    <s v="ROBERTO GABRIEL, VERA TUDELA GALLESI"/>
    <m/>
  </r>
  <r>
    <s v="NO"/>
    <s v="RUC"/>
    <s v="20521770814"/>
    <s v="PERU CUSTOMS ADVISER S.A.C."/>
    <s v="4090340016196"/>
    <x v="18"/>
    <n v="125"/>
    <d v="2025-09-16T00:00:00"/>
    <s v="RECURSO EN ANÁLISIS DE FONDO"/>
    <x v="0"/>
    <x v="0"/>
    <s v="ROBERTO GABRIEL, VERA TUDELA GALLESI"/>
    <m/>
  </r>
  <r>
    <s v="NO"/>
    <s v="RUC"/>
    <s v="10453654856"/>
    <s v="AGUILAR TOMAPASCA ESTRELLA ELIZABET"/>
    <s v="4090340016221"/>
    <x v="18"/>
    <n v="125"/>
    <d v="2025-09-16T00:00:00"/>
    <s v="RECURSO EN ANÁLISIS DE FONDO"/>
    <x v="5"/>
    <x v="0"/>
    <s v="ROBERTO GABRIEL, VERA TUDELA GALLESI"/>
    <m/>
  </r>
  <r>
    <s v="NO"/>
    <s v="RUC"/>
    <s v="20333363900"/>
    <s v="ENGIE ENERGIA PERU S.A."/>
    <s v="4090340016198"/>
    <x v="19"/>
    <n v="125"/>
    <d v="2025-09-17T00:00:00"/>
    <s v="RECURSO EN ANÁLISIS DE FONDO"/>
    <x v="0"/>
    <x v="0"/>
    <s v="ROBERTO GABRIEL, VERA TUDELA GALLESI"/>
    <m/>
  </r>
  <r>
    <s v="NO"/>
    <s v="RUC"/>
    <s v="20604180229"/>
    <s v="MADERACRE TIMBER S.A.C."/>
    <s v="4090340016207"/>
    <x v="19"/>
    <n v="125"/>
    <d v="2025-09-17T00:00:00"/>
    <s v="RECURSO EN ANÁLISIS DE FONDO"/>
    <x v="10"/>
    <x v="1"/>
    <s v="ROBERTO GABRIEL, VERA TUDELA GALLESI"/>
    <m/>
  </r>
  <r>
    <s v="NO"/>
    <s v="RUC"/>
    <s v="20604180229"/>
    <s v="MADERACRE TIMBER S.A.C."/>
    <s v="4090340016209"/>
    <x v="19"/>
    <n v="125"/>
    <d v="2025-09-17T00:00:00"/>
    <s v="RECURSO EN ANÁLISIS DE FONDO"/>
    <x v="10"/>
    <x v="1"/>
    <s v="ROBERTO GABRIEL, VERA TUDELA GALLESI"/>
    <m/>
  </r>
  <r>
    <s v="NO"/>
    <s v="RUC"/>
    <s v="20604180229"/>
    <s v="MADERACRE TIMBER S.A.C."/>
    <s v="4090340016210"/>
    <x v="19"/>
    <n v="125"/>
    <d v="2025-09-17T00:00:00"/>
    <s v="RECURSO EN ANÁLISIS DE FONDO"/>
    <x v="10"/>
    <x v="1"/>
    <s v="ROBERTO GABRIEL, VERA TUDELA GALLESI"/>
    <m/>
  </r>
  <r>
    <s v="NO"/>
    <s v="RUC"/>
    <s v="20604180229"/>
    <s v="MADERACRE TIMBER S.A.C."/>
    <s v="4090340016211"/>
    <x v="19"/>
    <n v="125"/>
    <d v="2025-09-17T00:00:00"/>
    <s v="RECURSO EN ANÁLISIS DE FONDO"/>
    <x v="10"/>
    <x v="1"/>
    <s v="ROBERTO GABRIEL, VERA TUDELA GALLESI"/>
    <m/>
  </r>
  <r>
    <s v="NO"/>
    <s v="CI"/>
    <s v="202168086"/>
    <s v="SOUBLETTE TAMANI NICOLAS ESTEBAN"/>
    <s v="4090340016248"/>
    <x v="19"/>
    <n v="125"/>
    <d v="2025-09-17T00:00:00"/>
    <s v="RECURSO EN ANÁLISIS DE FONDO"/>
    <x v="3"/>
    <x v="1"/>
    <s v="ROBERTO GABRIEL, VERA TUDELA GALLESI"/>
    <m/>
  </r>
  <r>
    <s v="NO"/>
    <s v="RUC"/>
    <s v="20554886575"/>
    <s v="SERVICIOS GENERALES DE IMPORTACION Y EXPORTACION HIK SOCIEDAD ANONIMA CERRADA"/>
    <s v="4090340016223"/>
    <x v="20"/>
    <n v="125"/>
    <d v="2025-09-18T00:00:00"/>
    <s v="RECURSO EN ANÁLISIS DE FONDO"/>
    <x v="5"/>
    <x v="0"/>
    <s v="ROBERTO GABRIEL, VERA TUDELA GALLESI"/>
    <m/>
  </r>
  <r>
    <s v="NO"/>
    <s v="RUC"/>
    <s v="20553246033"/>
    <s v="TEXTIL PUBLICIS S.A.C."/>
    <s v="4090340016354"/>
    <x v="20"/>
    <n v="125"/>
    <d v="2025-09-18T00:00:00"/>
    <s v="RECURSO EN ANÁLISIS DE FONDO"/>
    <x v="5"/>
    <x v="0"/>
    <s v="ROBERTO GABRIEL, VERA TUDELA GALLESI"/>
    <m/>
  </r>
  <r>
    <s v="NO"/>
    <s v="RUC"/>
    <s v="20512898891"/>
    <s v="AGENCIA DE ADUANA VILCAPOMA HERMANOS SOCIEDAD COMERCIAL DE RESPONSABILIDAD LIMITADA"/>
    <s v="4090340016232"/>
    <x v="21"/>
    <n v="125"/>
    <d v="2025-09-19T00:00:00"/>
    <s v="RECURSO EN ANÁLISIS DE FONDO"/>
    <x v="10"/>
    <x v="1"/>
    <s v="ROBERTO GABRIEL, VERA TUDELA GALLESI"/>
    <m/>
  </r>
  <r>
    <s v="NO"/>
    <s v="RUC"/>
    <s v="20503314585"/>
    <s v="LAN CARGO S.A. SUCURSAL PERU"/>
    <s v="4090340016531"/>
    <x v="22"/>
    <n v="125"/>
    <d v="2025-09-22T00:00:00"/>
    <s v="RECURSO EN ANÁLISIS DE FONDO"/>
    <x v="0"/>
    <x v="0"/>
    <s v="ROBERTO GABRIEL, VERA TUDELA GALLESI"/>
    <m/>
  </r>
  <r>
    <s v="NO"/>
    <s v="RUC"/>
    <s v="20306713923"/>
    <s v="ATRACCIONES CONEY ISLAND S.A.C."/>
    <s v="4090340016319"/>
    <x v="23"/>
    <n v="125"/>
    <d v="2025-09-24T00:00:00"/>
    <s v="RECURSO EN ANÁLISIS DE FONDO"/>
    <x v="0"/>
    <x v="0"/>
    <s v="ROBERTO GABRIEL, VERA TUDELA GALLESI"/>
    <m/>
  </r>
  <r>
    <s v="NO"/>
    <s v="RUC"/>
    <s v="10425577200"/>
    <s v="SOTO BELTRAN CHRISTIAN EUGENIO"/>
    <s v="4090340016421"/>
    <x v="23"/>
    <n v="125"/>
    <d v="2025-09-24T00:00:00"/>
    <s v="RECURSO EN ANÁLISIS DE FONDO"/>
    <x v="5"/>
    <x v="0"/>
    <s v="ROBERTO GABRIEL, VERA TUDELA GALLESI"/>
    <m/>
  </r>
  <r>
    <s v="NO"/>
    <s v="RUC"/>
    <s v="10306747784"/>
    <s v="VALDEZ ZEVALLOS BRENDA ELIZABETH"/>
    <s v="4090340016480"/>
    <x v="24"/>
    <n v="125"/>
    <d v="2025-09-26T00:00:00"/>
    <s v="RECURSO EN ANÁLISIS DE FONDO"/>
    <x v="11"/>
    <x v="1"/>
    <s v="ROBERTO GABRIEL, VERA TUDELA GALLESI"/>
    <m/>
  </r>
  <r>
    <s v="NO"/>
    <s v="RUC"/>
    <s v="10453981351"/>
    <s v="MONTALVO GARCIA SEFERINA"/>
    <s v="4090340018023"/>
    <x v="24"/>
    <n v="125"/>
    <d v="2025-09-26T00:00:00"/>
    <s v="RECURSO EN ANÁLISIS DE FONDO"/>
    <x v="11"/>
    <x v="1"/>
    <s v="ROBERTO GABRIEL, VERA TUDELA GALLESI"/>
    <m/>
  </r>
  <r>
    <s v="NO"/>
    <s v="RUC"/>
    <s v="10704938964"/>
    <s v="SUAREZ ALBERTI MARIA LAURA"/>
    <s v="4090340016385"/>
    <x v="25"/>
    <n v="125"/>
    <d v="2025-09-30T00:00:00"/>
    <s v="RECURSO EN ANÁLISIS DE FONDO"/>
    <x v="0"/>
    <x v="0"/>
    <s v="ROBERTO GABRIEL, VERA TUDELA GALLESI"/>
    <m/>
  </r>
  <r>
    <s v="NO"/>
    <s v="RUC"/>
    <s v="20612796654"/>
    <s v="INVERSIONES Y SERVICIOS ZAFIRO GROUP S.A.C."/>
    <s v="4090340016396"/>
    <x v="25"/>
    <n v="125"/>
    <d v="2025-09-30T00:00:00"/>
    <s v="RECURSO EN ANÁLISIS DE FONDO"/>
    <x v="0"/>
    <x v="0"/>
    <s v="ROBERTO GABRIEL, VERA TUDELA GALLESI"/>
    <m/>
  </r>
  <r>
    <s v="NO"/>
    <s v="RUC"/>
    <s v="20409440364"/>
    <s v="IMPORTACION ROBERT E.I.R.L"/>
    <s v="4090340016511"/>
    <x v="25"/>
    <n v="125"/>
    <d v="2025-09-30T00:00:00"/>
    <s v="RECURSO EN ANÁLISIS DE FONDO"/>
    <x v="6"/>
    <x v="0"/>
    <s v="ROBERTO GABRIEL, VERA TUDELA GALLESI"/>
    <m/>
  </r>
  <r>
    <s v="NO"/>
    <s v="RUC"/>
    <s v="20600932749"/>
    <s v="MOLINERIA LOS COCOS S.A.C."/>
    <s v="4090340016870"/>
    <x v="26"/>
    <n v="125"/>
    <d v="2025-09-30T00:00:00"/>
    <s v="RECURSO EN ANÁLISIS DE FONDO"/>
    <x v="12"/>
    <x v="0"/>
    <s v="ROBERTO GABRIEL, VERA TUDELA GALLESI"/>
    <m/>
  </r>
  <r>
    <s v="NO"/>
    <s v="RUC"/>
    <s v="20350361210"/>
    <s v="INVERSIONES COFIMAR E.I.R.L."/>
    <s v="4090340016428"/>
    <x v="27"/>
    <n v="125"/>
    <d v="2025-10-01T00:00:00"/>
    <s v="RECURSO EN ANÁLISIS DE FONDO"/>
    <x v="10"/>
    <x v="1"/>
    <s v="ROBERTO GABRIEL, VERA TUDELA GALLESI"/>
    <m/>
  </r>
  <r>
    <s v="NO"/>
    <s v="RUC"/>
    <s v="20603319151"/>
    <s v="IMPORTADORAUNIVERSAL.PE S.A.C."/>
    <s v="4090340016432"/>
    <x v="27"/>
    <n v="125"/>
    <d v="2025-10-01T00:00:00"/>
    <s v="RECURSO EN ANÁLISIS DE FONDO"/>
    <x v="6"/>
    <x v="0"/>
    <s v="ROBERTO GABRIEL, VERA TUDELA GALLESI"/>
    <m/>
  </r>
  <r>
    <s v="NO"/>
    <s v="RUC"/>
    <s v="10062043682"/>
    <s v="SANCHEZ SALAZAR ENRIQUE FERNANDO"/>
    <s v="4090340016437"/>
    <x v="28"/>
    <n v="125"/>
    <d v="2025-10-03T00:00:00"/>
    <s v="RECURSO EN ANÁLISIS DE FONDO"/>
    <x v="0"/>
    <x v="0"/>
    <s v="ROBERTO GABRIEL, VERA TUDELA GALLESI"/>
    <m/>
  </r>
  <r>
    <s v="NO"/>
    <s v="RUC"/>
    <s v="20603055731"/>
    <s v="NK WINNERS COMPANY S.A.C."/>
    <s v="4090340016459"/>
    <x v="28"/>
    <n v="125"/>
    <d v="2025-10-03T00:00:00"/>
    <s v="RECURSO EN ANÁLISIS DE FONDO"/>
    <x v="10"/>
    <x v="1"/>
    <s v="ROBERTO GABRIEL, VERA TUDELA GALLESI"/>
    <m/>
  </r>
  <r>
    <s v="NO"/>
    <s v="RUC"/>
    <s v="20132272418"/>
    <s v="INTERNACIONAL DE TRANSPORTE TURISTICO Y SERVICIOS SRL"/>
    <s v="4090340016465"/>
    <x v="28"/>
    <n v="125"/>
    <d v="2025-10-03T00:00:00"/>
    <s v="RECURSO EN ANÁLISIS DE FONDO"/>
    <x v="10"/>
    <x v="1"/>
    <s v="ROBERTO GABRIEL, VERA TUDELA GALLESI"/>
    <m/>
  </r>
  <r>
    <s v="NO"/>
    <s v="RUC"/>
    <s v="10432083158"/>
    <s v="RENGIFO BAZAN MILTON FREDY"/>
    <s v="4090340016649"/>
    <x v="28"/>
    <n v="125"/>
    <d v="2025-10-03T00:00:00"/>
    <s v="RECURSO EN ANÁLISIS DE FONDO"/>
    <x v="13"/>
    <x v="1"/>
    <s v="ROBERTO GABRIEL, VERA TUDELA GALLESI"/>
    <s v="SCAD 250279 RD 4090140015663"/>
  </r>
  <r>
    <s v="NO"/>
    <s v="RUC"/>
    <s v="20390605235"/>
    <s v="PHONIX WORLD S.A.C"/>
    <s v="4090340016456"/>
    <x v="29"/>
    <n v="125"/>
    <d v="2025-10-06T00:00:00"/>
    <s v="RECURSO EN ANÁLISIS DE FONDO"/>
    <x v="0"/>
    <x v="0"/>
    <s v="ROBERTO GABRIEL, VERA TUDELA GALLESI"/>
    <m/>
  </r>
  <r>
    <s v="NO"/>
    <s v="RUC"/>
    <s v="20603055731"/>
    <s v="NK WINNERS COMPANY S.A.C."/>
    <s v="4090340016457"/>
    <x v="29"/>
    <n v="125"/>
    <d v="2025-10-06T00:00:00"/>
    <s v="RECURSO EN ANÁLISIS DE FONDO"/>
    <x v="7"/>
    <x v="1"/>
    <s v="ROBERTO GABRIEL, VERA TUDELA GALLESI"/>
    <m/>
  </r>
  <r>
    <s v="NO"/>
    <s v="RUC"/>
    <s v="20601311781"/>
    <s v="RICBEL F.H. LOGISTICA S.A."/>
    <s v="4090340016467"/>
    <x v="30"/>
    <n v="125"/>
    <d v="2025-10-07T00:00:00"/>
    <s v="RECURSO EN ANÁLISIS DE FONDO"/>
    <x v="4"/>
    <x v="0"/>
    <s v="ROBERTO GABRIEL, VERA TUDELA GALLESI"/>
    <m/>
  </r>
  <r>
    <s v="NO"/>
    <s v="PASAPORTE"/>
    <s v="FK194435"/>
    <s v="BIANCA CASTANHOLA"/>
    <s v="4090340017313"/>
    <x v="30"/>
    <n v="125"/>
    <d v="2025-10-07T00:00:00"/>
    <s v="RECURSO EN ANÁLISIS DE FONDO"/>
    <x v="3"/>
    <x v="1"/>
    <s v="ROBERTO GABRIEL, VERA TUDELA GALLESI"/>
    <m/>
  </r>
  <r>
    <s v="NO"/>
    <s v="RUC"/>
    <s v="20565510348"/>
    <s v="ACCIONES VETERINARIAS E.I.R.L."/>
    <s v="4090340017263"/>
    <x v="31"/>
    <n v="125"/>
    <d v="2025-10-09T00:00:00"/>
    <s v="RECURSO EN ANÁLISIS DE FONDO"/>
    <x v="4"/>
    <x v="0"/>
    <s v="ROBERTO GABRIEL, VERA TUDELA GALLESI"/>
    <m/>
  </r>
  <r>
    <s v="NO"/>
    <s v="RUC"/>
    <s v="10483996191"/>
    <s v="AMARO ARONI OLGA"/>
    <s v="4090340016801"/>
    <x v="32"/>
    <n v="125"/>
    <d v="2025-10-10T00:00:00"/>
    <s v="RECURSO EN ANÁLISIS DE FONDO"/>
    <x v="3"/>
    <x v="1"/>
    <s v="ROBERTO GABRIEL, VERA TUDELA GALLESI"/>
    <m/>
  </r>
  <r>
    <s v="NO"/>
    <s v="RUC"/>
    <s v="20608543270"/>
    <s v="IMPORT &amp; EXPORT JEZABELL FASHION E.I.R.L."/>
    <s v="4090340016532"/>
    <x v="33"/>
    <n v="125"/>
    <d v="2025-10-13T00:00:00"/>
    <s v="RECURSO EN ANÁLISIS DE FONDO"/>
    <x v="5"/>
    <x v="0"/>
    <s v="ROBERTO GABRIEL, VERA TUDELA GALLESI"/>
    <m/>
  </r>
  <r>
    <s v="NO"/>
    <s v="RUC"/>
    <s v="20602708731"/>
    <s v="LIZGOTEX SAC"/>
    <s v="4090340016536"/>
    <x v="33"/>
    <n v="125"/>
    <d v="2025-10-13T00:00:00"/>
    <s v="RECURSO EN ANÁLISIS DE FONDO"/>
    <x v="7"/>
    <x v="1"/>
    <s v="ROBERTO GABRIEL, VERA TUDELA GALLESI"/>
    <m/>
  </r>
  <r>
    <s v="NO"/>
    <s v="RUC"/>
    <s v="20131373237"/>
    <s v="MINISTERIO DE SALUD"/>
    <s v="4090340016549"/>
    <x v="33"/>
    <n v="125"/>
    <d v="2025-10-13T00:00:00"/>
    <s v="RECURSO EN ANÁLISIS DE FONDO"/>
    <x v="1"/>
    <x v="0"/>
    <s v="ROBERTO GABRIEL, VERA TUDELA GALLESI"/>
    <m/>
  </r>
  <r>
    <s v="NO"/>
    <s v="RUC"/>
    <s v="20601311781"/>
    <s v="RICBEL F.H. LOGISTICA S.A."/>
    <s v="4090340016550"/>
    <x v="33"/>
    <n v="125"/>
    <d v="2025-10-13T00:00:00"/>
    <s v="RECURSO EN ANÁLISIS DE FONDO"/>
    <x v="0"/>
    <x v="0"/>
    <s v="ROBERTO GABRIEL, VERA TUDELA GALLESI"/>
    <m/>
  </r>
  <r>
    <s v="NO"/>
    <s v="RUC"/>
    <s v="20601776201"/>
    <s v="A &amp; G INVERSIONES SELVA E.I.R.L."/>
    <s v="4090340016628"/>
    <x v="33"/>
    <n v="125"/>
    <d v="2025-10-13T00:00:00"/>
    <s v="RECURSO EN ANÁLISIS DE FONDO"/>
    <x v="12"/>
    <x v="0"/>
    <s v="ROBERTO GABRIEL, VERA TUDELA GALLESI"/>
    <m/>
  </r>
  <r>
    <s v="NO"/>
    <s v="RUC"/>
    <s v="10438718422"/>
    <s v="BUSTAMANTE DIAZ ROSA DESLY"/>
    <s v="4090340016784"/>
    <x v="33"/>
    <n v="125"/>
    <d v="2025-10-13T00:00:00"/>
    <s v="RECURSO EN ANÁLISIS DE FONDO"/>
    <x v="6"/>
    <x v="0"/>
    <s v="ROBERTO GABRIEL, VERA TUDELA GALLESI"/>
    <m/>
  </r>
  <r>
    <s v="NO"/>
    <s v="RUC"/>
    <s v="10737386703"/>
    <s v="LLANOS BALCAZAR JESSICA CARMELA"/>
    <s v="4090340016786"/>
    <x v="33"/>
    <n v="125"/>
    <d v="2025-10-13T00:00:00"/>
    <s v="RECURSO EN ANÁLISIS DE FONDO"/>
    <x v="11"/>
    <x v="1"/>
    <s v="ROBERTO GABRIEL, VERA TUDELA GALLESI"/>
    <m/>
  </r>
  <r>
    <s v="NO"/>
    <s v="RUC"/>
    <s v="10431228543"/>
    <s v="SANOMAMANI QUISPE MILAGROS ROSARIO"/>
    <s v="4090340016635"/>
    <x v="34"/>
    <n v="125"/>
    <d v="2025-10-14T00:00:00"/>
    <s v="RECURSO EN ANÁLISIS DE FONDO"/>
    <x v="10"/>
    <x v="1"/>
    <s v="ROBERTO GABRIEL, VERA TUDELA GALLESI"/>
    <m/>
  </r>
  <r>
    <s v="NO"/>
    <s v="RUC"/>
    <s v="20513320753"/>
    <s v="REPSOL MARKETING S.A.C."/>
    <s v="4090340016644"/>
    <x v="34"/>
    <n v="125"/>
    <d v="2025-10-14T00:00:00"/>
    <s v="RECURSO EN ANÁLISIS DE FONDO"/>
    <x v="5"/>
    <x v="0"/>
    <s v="ROBERTO GABRIEL, VERA TUDELA GALLESI"/>
    <m/>
  </r>
  <r>
    <s v="NO"/>
    <s v="PASAPORTE"/>
    <s v="561991846"/>
    <s v="JOSEPH GRECO"/>
    <s v="4090340017993"/>
    <x v="34"/>
    <n v="125"/>
    <d v="2025-10-14T00:00:00"/>
    <s v="RECURSO EN ANÁLISIS DE FONDO"/>
    <x v="12"/>
    <x v="0"/>
    <s v="ROBERTO GABRIEL, VERA TUDELA GALLESI"/>
    <m/>
  </r>
  <r>
    <s v="NO"/>
    <s v="RUC"/>
    <s v="20600272200"/>
    <s v="INVERSIONES Y NEGOCIACIONES PLUMIFERO E.I.R.L."/>
    <s v="4090340016645"/>
    <x v="35"/>
    <n v="125"/>
    <d v="2025-10-16T00:00:00"/>
    <s v="RECURSO EN ANÁLISIS DE FONDO"/>
    <x v="10"/>
    <x v="1"/>
    <s v="ROBERTO GABRIEL, VERA TUDELA GALLESI"/>
    <m/>
  </r>
  <r>
    <s v="NO"/>
    <s v="RUC"/>
    <s v="20119407738"/>
    <s v="EMP. DE TRANS. FLORES HNOS. SRL."/>
    <s v="4090340016667"/>
    <x v="36"/>
    <n v="125"/>
    <d v="2025-10-17T00:00:00"/>
    <s v="RECURSO EN ANÁLISIS DE FONDO"/>
    <x v="5"/>
    <x v="0"/>
    <s v="ROBERTO GABRIEL, VERA TUDELA GALLESI"/>
    <m/>
  </r>
  <r>
    <s v="NO"/>
    <s v="RUC"/>
    <s v="10084467630"/>
    <s v="AGUIRRE VERAMENDI DE BARROS EMERITTA"/>
    <s v="4090340016793"/>
    <x v="36"/>
    <n v="125"/>
    <d v="2025-10-17T00:00:00"/>
    <s v="RECURSO EN ANÁLISIS DE FONDO"/>
    <x v="6"/>
    <x v="0"/>
    <s v="ROBERTO GABRIEL, VERA TUDELA GALLESI"/>
    <m/>
  </r>
  <r>
    <s v="NO"/>
    <s v="RUC"/>
    <s v="10403052821"/>
    <s v="CHURA CALLAHUANCA NESTOR"/>
    <s v="4090340016899"/>
    <x v="37"/>
    <n v="125"/>
    <d v="2025-10-20T00:00:00"/>
    <s v="RECURSO EN ANÁLISIS DE FONDO"/>
    <x v="10"/>
    <x v="1"/>
    <s v="ROBERTO GABRIEL, VERA TUDELA GALLESI"/>
    <m/>
  </r>
  <r>
    <s v="NO"/>
    <s v="RUC"/>
    <s v="10024056746"/>
    <s v="CANASA CASTILLO ARMANDO"/>
    <s v="4090340018526"/>
    <x v="37"/>
    <n v="125"/>
    <d v="2025-10-20T00:00:00"/>
    <s v="RECURSO EN ANÁLISIS DE FONDO"/>
    <x v="11"/>
    <x v="1"/>
    <s v="ROBERTO GABRIEL, VERA TUDELA GALLESI"/>
    <m/>
  </r>
  <r>
    <s v="NO"/>
    <s v="RUC"/>
    <s v="10714108498"/>
    <s v="BUSTAMANTE DIAZ JIMMY FRANK"/>
    <s v="4090340016825"/>
    <x v="38"/>
    <n v="125"/>
    <d v="2025-10-20T00:00:00"/>
    <s v="RECURSO EN ANÁLISIS DE FONDO"/>
    <x v="6"/>
    <x v="0"/>
    <s v="ROBERTO GABRIEL, VERA TUDELA GALLESI"/>
    <m/>
  </r>
  <r>
    <s v="NO"/>
    <s v="RUC"/>
    <s v="10700852135"/>
    <s v="MENOR VILCHEZ YESSICA ELISABET"/>
    <s v="4090340016815"/>
    <x v="39"/>
    <n v="125"/>
    <d v="2025-10-21T00:00:00"/>
    <s v="RECURSO EN ANÁLISIS DE FONDO"/>
    <x v="12"/>
    <x v="0"/>
    <s v="ROBERTO GABRIEL, VERA TUDELA GALLESI"/>
    <m/>
  </r>
  <r>
    <s v="NO"/>
    <s v="RUC"/>
    <s v="10430823537"/>
    <s v="VENTURA POLO ALEYDA MARIBEL"/>
    <s v="4090340016818"/>
    <x v="39"/>
    <n v="125"/>
    <d v="2025-10-21T00:00:00"/>
    <s v="RECURSO EN ANÁLISIS DE FONDO"/>
    <x v="3"/>
    <x v="1"/>
    <s v="ROBERTO GABRIEL, VERA TUDELA GALLESI"/>
    <m/>
  </r>
  <r>
    <s v="NO"/>
    <s v="RUC"/>
    <s v="20528410970"/>
    <s v="PGO AMAZONICA SOCIEDAD ANONIMA CERRADA"/>
    <s v="4090340016823"/>
    <x v="39"/>
    <n v="125"/>
    <d v="2025-10-21T00:00:00"/>
    <s v="RECURSO EN ANÁLISIS DE FONDO"/>
    <x v="12"/>
    <x v="0"/>
    <s v="ROBERTO GABRIEL, VERA TUDELA GALLESI"/>
    <m/>
  </r>
  <r>
    <s v="NO"/>
    <s v="DNI"/>
    <s v="48621447"/>
    <s v="ROSA ELVIRA ACARO MONTALVAN"/>
    <s v="4090340016901"/>
    <x v="39"/>
    <n v="125"/>
    <d v="2025-10-21T00:00:00"/>
    <s v="RECURSO EN ANÁLISIS DE FONDO"/>
    <x v="5"/>
    <x v="0"/>
    <s v="ROBERTO GABRIEL, VERA TUDELA GALLESI"/>
    <m/>
  </r>
  <r>
    <s v="NO"/>
    <s v="RUC"/>
    <s v="20335020872"/>
    <s v="HEWLETT - PACKARD PERU S.R.L."/>
    <s v="4090340017024"/>
    <x v="39"/>
    <n v="125"/>
    <d v="2025-10-21T00:00:00"/>
    <s v="RECURSO EN ANÁLISIS DE FONDO"/>
    <x v="4"/>
    <x v="0"/>
    <s v="ROBERTO GABRIEL, VERA TUDELA GALLESI"/>
    <m/>
  </r>
  <r>
    <s v="NO"/>
    <s v="RUC"/>
    <s v="10316672812"/>
    <s v="CABANA FIGUEROA ZOILO DEDICACION"/>
    <s v="4090340016826"/>
    <x v="40"/>
    <n v="125"/>
    <d v="2025-10-22T00:00:00"/>
    <s v="RECURSO EN ANÁLISIS DE FONDO"/>
    <x v="13"/>
    <x v="1"/>
    <s v="ROBERTO GABRIEL, VERA TUDELA GALLESI"/>
    <s v="SCAD 250285 RD 4090140015793"/>
  </r>
  <r>
    <s v="NO"/>
    <s v="DNI"/>
    <s v="31667281"/>
    <s v="ZOILO DEDICACION CABANA FIGUEROA"/>
    <s v="4090340016900"/>
    <x v="40"/>
    <n v="125"/>
    <d v="2025-10-22T00:00:00"/>
    <s v="RECURSO EN ANÁLISIS DE FONDO"/>
    <x v="13"/>
    <x v="1"/>
    <s v="ROBERTO GABRIEL, VERA TUDELA GALLESI"/>
    <s v="SCAD 250286 RD 4090140015794"/>
  </r>
  <r>
    <s v="NO"/>
    <s v="RUC"/>
    <s v="10414221195"/>
    <s v="FLORES CONDORI ROLANDO"/>
    <s v="4090340016910"/>
    <x v="40"/>
    <n v="125"/>
    <d v="2025-10-22T00:00:00"/>
    <s v="RECURSO EN ANÁLISIS DE FONDO"/>
    <x v="12"/>
    <x v="0"/>
    <s v="ROBERTO GABRIEL, VERA TUDELA GALLESI"/>
    <m/>
  </r>
  <r>
    <s v="NO"/>
    <s v="RUC"/>
    <s v="20605770615"/>
    <s v="ANTOFAGASTA PARTS PERU S.A.C."/>
    <s v="4090340017012"/>
    <x v="40"/>
    <n v="125"/>
    <d v="2025-10-22T00:00:00"/>
    <s v="RECURSO EN ANÁLISIS DE FONDO"/>
    <x v="4"/>
    <x v="0"/>
    <s v="ROBERTO GABRIEL, VERA TUDELA GALLESI"/>
    <m/>
  </r>
  <r>
    <s v="NO"/>
    <s v="RUC"/>
    <s v="20607752711"/>
    <s v="ZAS LOGISTICA S.A.C."/>
    <s v="4090340017119"/>
    <x v="40"/>
    <n v="125"/>
    <d v="2025-10-22T00:00:00"/>
    <s v="RECURSO EN ANÁLISIS DE FONDO"/>
    <x v="12"/>
    <x v="0"/>
    <s v="ROBERTO GABRIEL, VERA TUDELA GALLESI"/>
    <m/>
  </r>
  <r>
    <s v="NO"/>
    <s v="DNI"/>
    <s v="77098882"/>
    <s v="EXON GUSTAVO CARDENAS DOMINGUEZ"/>
    <s v="4090340017219"/>
    <x v="40"/>
    <n v="125"/>
    <d v="2025-10-22T00:00:00"/>
    <s v="RECURSO EN ANÁLISIS DE FONDO"/>
    <x v="5"/>
    <x v="0"/>
    <s v="ROBERTO GABRIEL, VERA TUDELA GALLESI"/>
    <m/>
  </r>
  <r>
    <s v="NO"/>
    <s v="RUC"/>
    <s v="10484106962"/>
    <s v="CARDENAS DOMINGUEZ JOSE LUIS"/>
    <s v="4090340017220"/>
    <x v="40"/>
    <n v="125"/>
    <d v="2025-10-22T00:00:00"/>
    <s v="RECURSO EN ANÁLISIS DE FONDO"/>
    <x v="5"/>
    <x v="0"/>
    <s v="ROBERTO GABRIEL, VERA TUDELA GALLESI"/>
    <m/>
  </r>
  <r>
    <s v="NO"/>
    <s v="RUC"/>
    <s v="10430113751"/>
    <s v="SOLANO ROJAS JESUS"/>
    <s v="4090340017645"/>
    <x v="40"/>
    <n v="125"/>
    <d v="2025-10-22T00:00:00"/>
    <s v="RECURSO EN ANÁLISIS DE FONDO"/>
    <x v="12"/>
    <x v="0"/>
    <s v="ROBERTO GABRIEL, VERA TUDELA GALLESI"/>
    <m/>
  </r>
  <r>
    <s v="NO"/>
    <s v="RUC"/>
    <s v="20608378660"/>
    <s v="IMPORTACIONES CODISAG S.A.C."/>
    <s v="4090340016866"/>
    <x v="41"/>
    <n v="125"/>
    <d v="2025-10-23T00:00:00"/>
    <s v="RECURSO EN ANÁLISIS DE FONDO"/>
    <x v="12"/>
    <x v="0"/>
    <s v="ROBERTO GABRIEL, VERA TUDELA GALLESI"/>
    <m/>
  </r>
  <r>
    <s v="NO"/>
    <s v="RUC"/>
    <s v="20608245881"/>
    <s v="AOSTEC MAS S.A.C."/>
    <s v="4090340016980"/>
    <x v="41"/>
    <n v="125"/>
    <d v="2025-10-23T00:00:00"/>
    <s v="RECURSO EN ANÁLISIS DE FONDO"/>
    <x v="12"/>
    <x v="0"/>
    <s v="ROBERTO GABRIEL, VERA TUDELA GALLESI"/>
    <m/>
  </r>
  <r>
    <s v="NO"/>
    <s v="RUC"/>
    <s v="20100075009"/>
    <s v="IBM DEL PERU S A C"/>
    <s v="4090340016902"/>
    <x v="42"/>
    <n v="125"/>
    <d v="2025-10-24T00:00:00"/>
    <s v="RECURSO EN ANÁLISIS DE FONDO"/>
    <x v="1"/>
    <x v="0"/>
    <s v="ROBERTO GABRIEL, VERA TUDELA GALLESI"/>
    <m/>
  </r>
  <r>
    <s v="NO"/>
    <s v="RUC"/>
    <s v="20100075009"/>
    <s v="IBM DEL PERU S A C"/>
    <s v="4090340016903"/>
    <x v="42"/>
    <n v="125"/>
    <d v="2025-10-24T00:00:00"/>
    <s v="RECURSO EN ANÁLISIS DE FONDO"/>
    <x v="1"/>
    <x v="0"/>
    <s v="ROBERTO GABRIEL, VERA TUDELA GALLESI"/>
    <m/>
  </r>
  <r>
    <s v="NO"/>
    <s v="RUC"/>
    <s v="10451454302"/>
    <s v="PULIDO HERRAN ANDRES ARTURO"/>
    <s v="4090340016981"/>
    <x v="42"/>
    <n v="125"/>
    <d v="2025-10-24T00:00:00"/>
    <s v="RECURSO EN ANÁLISIS DE FONDO"/>
    <x v="3"/>
    <x v="1"/>
    <s v="ROBERTO GABRIEL, VERA TUDELA GALLESI"/>
    <m/>
  </r>
  <r>
    <s v="NO"/>
    <s v="DNI"/>
    <s v="70188601"/>
    <s v="GABRIEL BALTAZAR MAMANI CONDORI"/>
    <s v="4090340017594"/>
    <x v="42"/>
    <n v="125"/>
    <d v="2025-10-24T00:00:00"/>
    <s v="RECURSO EN ANÁLISIS DE FONDO"/>
    <x v="3"/>
    <x v="1"/>
    <s v="ROBERTO GABRIEL, VERA TUDELA GALLESI"/>
    <m/>
  </r>
  <r>
    <s v="NO"/>
    <s v="RUC"/>
    <s v="20100478201"/>
    <s v="COMPAÑIA DISTRIBUIDORA NACIONAL DE REVISTAS S.A.C."/>
    <s v="4090340017869"/>
    <x v="42"/>
    <n v="125"/>
    <d v="2025-10-24T00:00:00"/>
    <s v="RECURSO EN ANÁLISIS DE FONDO"/>
    <x v="1"/>
    <x v="0"/>
    <s v="ROBERTO GABRIEL, VERA TUDELA GALLESI"/>
    <m/>
  </r>
  <r>
    <s v="NO"/>
    <s v="RUC"/>
    <s v="10308314168"/>
    <s v="FLORES VEGA ROBERTO ERNESTO"/>
    <s v="4090340016932"/>
    <x v="43"/>
    <n v="125"/>
    <d v="2025-10-27T00:00:00"/>
    <s v="RECURSO EN ANÁLISIS DE FONDO"/>
    <x v="11"/>
    <x v="1"/>
    <s v="ROBERTO GABRIEL, VERA TUDELA GALLESI"/>
    <m/>
  </r>
  <r>
    <s v="NO"/>
    <s v="RUC"/>
    <s v="20231232070"/>
    <s v="EMPRESA DE TRANSPORTES VIP PROGRESO SOCIEDAD COMERCIAL DE RESPONSABILIDAD LIMITADA"/>
    <s v="4090340016965"/>
    <x v="43"/>
    <n v="125"/>
    <d v="2025-10-27T00:00:00"/>
    <s v="RECURSO EN ANÁLISIS DE FONDO"/>
    <x v="11"/>
    <x v="1"/>
    <s v="ROBERTO GABRIEL, VERA TUDELA GALLESI"/>
    <m/>
  </r>
  <r>
    <s v="NO"/>
    <s v="RUC"/>
    <s v="20601311781"/>
    <s v="RICBEL F.H. LOGISTICA S.A."/>
    <s v="4090340016988"/>
    <x v="44"/>
    <n v="125"/>
    <d v="2025-10-28T00:00:00"/>
    <s v="RECURSO EN ANÁLISIS DE FONDO"/>
    <x v="1"/>
    <x v="0"/>
    <s v="ROBERTO GABRIEL, VERA TUDELA GALLESI"/>
    <m/>
  </r>
  <r>
    <s v="NO"/>
    <s v="RUC"/>
    <s v="10473687564"/>
    <s v="DOMINGUEZ CHUMACERO MARIA ISABEL"/>
    <s v="4090340017127"/>
    <x v="44"/>
    <n v="125"/>
    <d v="2025-10-28T00:00:00"/>
    <s v="RECURSO EN ANÁLISIS DE FONDO"/>
    <x v="5"/>
    <x v="0"/>
    <s v="ROBERTO GABRIEL, VERA TUDELA GALLESI"/>
    <m/>
  </r>
  <r>
    <s v="NO"/>
    <s v="RUC"/>
    <s v="10473687564"/>
    <s v="DOMINGUEZ CHUMACERO MARIA ISABEL"/>
    <s v="4090340017128"/>
    <x v="44"/>
    <n v="125"/>
    <d v="2025-10-28T00:00:00"/>
    <s v="RECURSO EN ANÁLISIS DE FONDO"/>
    <x v="5"/>
    <x v="0"/>
    <s v="ROBERTO GABRIEL, VERA TUDELA GALLESI"/>
    <m/>
  </r>
  <r>
    <s v="NO"/>
    <s v="RUC"/>
    <s v="20544467647"/>
    <s v="DISTRIBUIDORA RIVER'S SOCIEDAD ANONIMA CERRADA"/>
    <s v="4090340016973"/>
    <x v="45"/>
    <n v="125"/>
    <d v="2025-10-29T00:00:00"/>
    <s v="RECURSO EN ANÁLISIS DE FONDO"/>
    <x v="5"/>
    <x v="0"/>
    <s v="ROBERTO GABRIEL, VERA TUDELA GALLESI"/>
    <m/>
  </r>
  <r>
    <s v="NO"/>
    <s v="RUC"/>
    <s v="20335020872"/>
    <s v="HEWLETT - PACKARD PERU S.R.L."/>
    <s v="4090340017040"/>
    <x v="45"/>
    <n v="125"/>
    <d v="2025-10-29T00:00:00"/>
    <s v="RECURSO EN ANÁLISIS DE FONDO"/>
    <x v="4"/>
    <x v="0"/>
    <s v="ROBERTO GABRIEL, VERA TUDELA GALLESI"/>
    <m/>
  </r>
  <r>
    <s v="NO"/>
    <s v="RUC"/>
    <s v="20609268779"/>
    <s v="HONOR DEVICE PERU S.A.C."/>
    <s v="4090340017014"/>
    <x v="46"/>
    <n v="125"/>
    <d v="2025-10-30T00:00:00"/>
    <s v="RECURSO EN ANÁLISIS DE FONDO"/>
    <x v="0"/>
    <x v="0"/>
    <s v="ROBERTO GABRIEL, VERA TUDELA GALLESI"/>
    <m/>
  </r>
  <r>
    <s v="NO"/>
    <s v="RUC"/>
    <s v="10407831735"/>
    <s v="TICAHUANCA CASTILLO MELANIA BEATRIZ"/>
    <s v="4090340017045"/>
    <x v="46"/>
    <n v="125"/>
    <d v="2025-10-30T00:00:00"/>
    <s v="RECURSO EN ANÁLISIS DE FONDO"/>
    <x v="6"/>
    <x v="0"/>
    <s v="ROBERTO GABRIEL, VERA TUDELA GALLESI"/>
    <m/>
  </r>
  <r>
    <s v="NO"/>
    <s v="RUC"/>
    <s v="20341848955"/>
    <s v="GATE GOURMET PERU S.R.L."/>
    <s v="4090340017059"/>
    <x v="46"/>
    <n v="125"/>
    <d v="2025-10-30T00:00:00"/>
    <s v="RECURSO EN ANÁLISIS DE FONDO"/>
    <x v="0"/>
    <x v="0"/>
    <s v="ROBERTO GABRIEL, VERA TUDELA GALLESI"/>
    <m/>
  </r>
  <r>
    <s v="NO"/>
    <s v="RUC"/>
    <s v="20341848955"/>
    <s v="GATE GOURMET PERU S.R.L."/>
    <s v="4090340017061"/>
    <x v="46"/>
    <n v="125"/>
    <d v="2025-10-30T00:00:00"/>
    <s v="RECURSO EN ANÁLISIS DE FONDO"/>
    <x v="0"/>
    <x v="0"/>
    <s v="ROBERTO GABRIEL, VERA TUDELA GALLESI"/>
    <m/>
  </r>
  <r>
    <s v="NO"/>
    <s v="RUC"/>
    <s v="20604582181"/>
    <s v="INVERSIONES YARABAMBA S.A.C."/>
    <s v="4090340017141"/>
    <x v="46"/>
    <n v="125"/>
    <d v="2025-10-30T00:00:00"/>
    <s v="RECURSO EN ANÁLISIS DE FONDO"/>
    <x v="5"/>
    <x v="0"/>
    <s v="ROBERTO GABRIEL, VERA TUDELA GALLESI"/>
    <m/>
  </r>
  <r>
    <s v="NO"/>
    <s v="RUC"/>
    <s v="10483391574"/>
    <s v="PEÑA CAMARA FRANK MARDEN"/>
    <s v="4090340017992"/>
    <x v="46"/>
    <n v="125"/>
    <d v="2025-10-30T00:00:00"/>
    <s v="RECURSO EN ANÁLISIS DE FONDO"/>
    <x v="6"/>
    <x v="0"/>
    <s v="ROBERTO GABRIEL, VERA TUDELA GALLESI"/>
    <m/>
  </r>
  <r>
    <s v="NO"/>
    <s v="RUC"/>
    <s v="10475188051"/>
    <s v="CENA SANCHEZ YOCSEN NIXSSON"/>
    <s v="4090340017034"/>
    <x v="47"/>
    <n v="125"/>
    <d v="2025-10-31T00:00:00"/>
    <s v="RECURSO EN ANÁLISIS DE FONDO"/>
    <x v="3"/>
    <x v="1"/>
    <s v="ROBERTO GABRIEL, VERA TUDELA GALLESI"/>
    <m/>
  </r>
  <r>
    <s v="NO"/>
    <s v="RUC"/>
    <s v="10475188051"/>
    <s v="CENA SANCHEZ YOCSEN NIXSSON"/>
    <s v="4090340017035"/>
    <x v="47"/>
    <n v="125"/>
    <d v="2025-10-31T00:00:00"/>
    <s v="RECURSO EN ANÁLISIS DE FONDO"/>
    <x v="3"/>
    <x v="1"/>
    <s v="ROBERTO GABRIEL, VERA TUDELA GALLESI"/>
    <m/>
  </r>
  <r>
    <s v="NO"/>
    <s v="RUC"/>
    <s v="20119407738"/>
    <s v="EMP. DE TRANS. FLORES HNOS. SRL."/>
    <s v="4090340017100"/>
    <x v="47"/>
    <n v="125"/>
    <d v="2025-10-31T00:00:00"/>
    <s v="RECURSO EN ANÁLISIS DE FONDO"/>
    <x v="3"/>
    <x v="1"/>
    <s v="ROBERTO GABRIEL, VERA TUDELA GALLESI"/>
    <m/>
  </r>
  <r>
    <s v="NO"/>
    <s v="RUC"/>
    <s v="20119407738"/>
    <s v="EMP. DE TRANS. FLORES HNOS. SRL."/>
    <s v="4090340017105"/>
    <x v="47"/>
    <n v="125"/>
    <d v="2025-10-31T00:00:00"/>
    <s v="RECURSO EN ANÁLISIS DE FONDO"/>
    <x v="3"/>
    <x v="1"/>
    <s v="ROBERTO GABRIEL, VERA TUDELA GALLESI"/>
    <m/>
  </r>
  <r>
    <s v="NO"/>
    <s v="RUC"/>
    <s v="10097858514"/>
    <s v="PORTILLA MINA HECTOR ERNESTO"/>
    <s v="4090340017149"/>
    <x v="47"/>
    <n v="125"/>
    <d v="2025-10-31T00:00:00"/>
    <s v="RECURSO EN ANÁLISIS DE FONDO"/>
    <x v="7"/>
    <x v="1"/>
    <s v="ROBERTO GABRIEL, VERA TUDELA GALLESI"/>
    <m/>
  </r>
  <r>
    <s v="NO"/>
    <s v="RUC"/>
    <s v="20601311781"/>
    <s v="RICBEL F.H. LOGISTICA S.A."/>
    <s v="4090340017283"/>
    <x v="47"/>
    <n v="125"/>
    <d v="2025-10-31T00:00:00"/>
    <s v="RECURSO EN ANÁLISIS DE FONDO"/>
    <x v="0"/>
    <x v="0"/>
    <s v="ROBERTO GABRIEL, VERA TUDELA GALLESI"/>
    <m/>
  </r>
  <r>
    <s v="NO"/>
    <s v="DNI"/>
    <s v="45504864"/>
    <s v="HERMES MICHEL CARRILLO ROMERO"/>
    <s v="4090340017654"/>
    <x v="47"/>
    <n v="125"/>
    <d v="2025-10-31T00:00:00"/>
    <s v="RECURSO EN ANÁLISIS DE FONDO"/>
    <x v="3"/>
    <x v="1"/>
    <s v="ROBERTO GABRIEL, VERA TUDELA GALLESI"/>
    <m/>
  </r>
  <r>
    <s v="NO"/>
    <s v="RUC"/>
    <s v="20605681892"/>
    <s v="VALTRAC E.I.R.L."/>
    <s v="4090340018942"/>
    <x v="47"/>
    <n v="125"/>
    <d v="2025-10-31T00:00:00"/>
    <s v="RECURSO EN ANÁLISIS DE FONDO"/>
    <x v="6"/>
    <x v="0"/>
    <s v="ROBERTO GABRIEL, VERA TUDELA GALLESI"/>
    <m/>
  </r>
  <r>
    <s v="NO"/>
    <s v="RUC"/>
    <s v="10816850504"/>
    <s v="RINCON VITOR EMELY DEL ROSARIO"/>
    <s v="4090340017044"/>
    <x v="48"/>
    <n v="125"/>
    <d v="2025-10-31T00:00:00"/>
    <s v="RECURSO EN ANÁLISIS DE FONDO"/>
    <x v="6"/>
    <x v="0"/>
    <s v="ROBERTO GABRIEL, VERA TUDELA GALLESI"/>
    <m/>
  </r>
  <r>
    <s v="NO"/>
    <s v="RUC"/>
    <s v="10426361251"/>
    <s v="ARCE MAMANI SERGIO SALVADOR"/>
    <s v="4090340017054"/>
    <x v="49"/>
    <n v="125"/>
    <d v="2025-11-03T00:00:00"/>
    <s v="RECURSO EN ANÁLISIS DE FONDO"/>
    <x v="3"/>
    <x v="1"/>
    <s v="ROBERTO GABRIEL, VERA TUDELA GALLESI"/>
    <m/>
  </r>
  <r>
    <s v="NO"/>
    <s v="RUC"/>
    <s v="10425084874"/>
    <s v="ESTRADA VIERA FILEMON"/>
    <s v="4090340017066"/>
    <x v="49"/>
    <n v="125"/>
    <d v="2025-11-03T00:00:00"/>
    <s v="RECURSO EN ANÁLISIS DE FONDO"/>
    <x v="10"/>
    <x v="1"/>
    <s v="ROBERTO GABRIEL, VERA TUDELA GALLESI"/>
    <m/>
  </r>
  <r>
    <s v="NO"/>
    <s v="RUC"/>
    <s v="10425084874"/>
    <s v="ESTRADA VIERA FILEMON"/>
    <s v="4090340017068"/>
    <x v="49"/>
    <n v="125"/>
    <d v="2025-11-03T00:00:00"/>
    <s v="RECURSO EN ANÁLISIS DE FONDO"/>
    <x v="13"/>
    <x v="1"/>
    <s v="ROBERTO GABRIEL, VERA TUDELA GALLESI"/>
    <m/>
  </r>
  <r>
    <s v="NO"/>
    <s v="RUC"/>
    <s v="10433406708"/>
    <s v="GAMERO LEON ALEXANDRA HILDA"/>
    <s v="4090340017093"/>
    <x v="49"/>
    <n v="125"/>
    <d v="2025-11-03T00:00:00"/>
    <s v="RECURSO EN ANÁLISIS DE FONDO"/>
    <x v="6"/>
    <x v="0"/>
    <s v="ROBERTO GABRIEL, VERA TUDELA GALLESI"/>
    <m/>
  </r>
  <r>
    <s v="NO"/>
    <s v="RUC"/>
    <s v="20610343377"/>
    <s v="FRUTÍCOLA OLMUÉ PERÚ S.A.C."/>
    <s v="4090340017165"/>
    <x v="49"/>
    <n v="125"/>
    <d v="2025-11-03T00:00:00"/>
    <s v="RECURSO EN ANÁLISIS DE FONDO"/>
    <x v="12"/>
    <x v="0"/>
    <s v="ROBERTO GABRIEL, VERA TUDELA GALLESI"/>
    <m/>
  </r>
  <r>
    <s v="NO"/>
    <s v="RUC"/>
    <s v="20548335397"/>
    <s v="LOGISTICS CITY S.A.C."/>
    <s v="4090340017207"/>
    <x v="49"/>
    <n v="125"/>
    <d v="2025-11-03T00:00:00"/>
    <s v="RECURSO EN ANÁLISIS DE FONDO"/>
    <x v="1"/>
    <x v="0"/>
    <s v="ROBERTO GABRIEL, VERA TUDELA GALLESI"/>
    <m/>
  </r>
  <r>
    <s v="NO"/>
    <s v="RUC"/>
    <s v="10181181422"/>
    <s v="LEIVA UGAS JUDITH ELIZABETH"/>
    <s v="4090340017063"/>
    <x v="50"/>
    <n v="125"/>
    <d v="2025-11-04T00:00:00"/>
    <s v="RECURSO EN ANÁLISIS DE FONDO"/>
    <x v="5"/>
    <x v="0"/>
    <s v="ROBERTO GABRIEL, VERA TUDELA GALLESI"/>
    <m/>
  </r>
  <r>
    <s v="NO"/>
    <s v="RUC"/>
    <s v="10304212379"/>
    <s v="HUAMANI CASTRO VICENTE LIZARDO"/>
    <s v="4090340017069"/>
    <x v="50"/>
    <n v="125"/>
    <d v="2025-11-04T00:00:00"/>
    <s v="RECURSO EN ANÁLISIS DE FONDO"/>
    <x v="7"/>
    <x v="1"/>
    <s v="ROBERTO GABRIEL, VERA TUDELA GALLESI"/>
    <m/>
  </r>
  <r>
    <s v="NO"/>
    <s v="RUC"/>
    <s v="20600385055"/>
    <s v="MERYLINE MEDIC E.I.R.L."/>
    <s v="4090340017098"/>
    <x v="50"/>
    <n v="125"/>
    <d v="2025-11-04T00:00:00"/>
    <s v="RECURSO EN ANÁLISIS DE FONDO"/>
    <x v="0"/>
    <x v="0"/>
    <s v="ROBERTO GABRIEL, VERA TUDELA GALLESI"/>
    <m/>
  </r>
  <r>
    <s v="NO"/>
    <s v="RUC"/>
    <s v="20600385055"/>
    <s v="MERYLINE MEDIC E.I.R.L."/>
    <s v="4090340017099"/>
    <x v="50"/>
    <n v="125"/>
    <d v="2025-11-04T00:00:00"/>
    <s v="RECURSO EN ANÁLISIS DE FONDO"/>
    <x v="0"/>
    <x v="0"/>
    <s v="ROBERTO GABRIEL, VERA TUDELA GALLESI"/>
    <m/>
  </r>
  <r>
    <s v="NO"/>
    <s v="RUC"/>
    <s v="15146250031"/>
    <s v="VARGAS VARGAS EDILBERTO"/>
    <s v="4090340017102"/>
    <x v="50"/>
    <n v="125"/>
    <d v="2025-11-04T00:00:00"/>
    <s v="RECURSO EN ANÁLISIS DE FONDO"/>
    <x v="13"/>
    <x v="1"/>
    <s v="ROBERTO GABRIEL, VERA TUDELA GALLESI"/>
    <m/>
  </r>
  <r>
    <s v="NO"/>
    <s v="RUC"/>
    <s v="20603598645"/>
    <s v="EXPRESO ALC S.R.L."/>
    <s v="4090340017117"/>
    <x v="50"/>
    <n v="125"/>
    <d v="2025-11-04T00:00:00"/>
    <s v="RECURSO EN ANÁLISIS DE FONDO"/>
    <x v="13"/>
    <x v="1"/>
    <s v="ROBERTO GABRIEL, VERA TUDELA GALLESI"/>
    <m/>
  </r>
  <r>
    <s v="NO"/>
    <s v="RUC"/>
    <s v="20533111212"/>
    <s v="REPRESENTACIONES ALE CONDOR S.R.L."/>
    <s v="4090340017118"/>
    <x v="50"/>
    <n v="125"/>
    <d v="2025-11-04T00:00:00"/>
    <s v="RECURSO EN ANÁLISIS DE FONDO"/>
    <x v="13"/>
    <x v="1"/>
    <s v="ROBERTO GABRIEL, VERA TUDELA GALLESI"/>
    <m/>
  </r>
  <r>
    <s v="NO"/>
    <s v="RUC"/>
    <s v="20548335397"/>
    <s v="LOGISTICS CITY S.A.C."/>
    <s v="4090340017208"/>
    <x v="50"/>
    <n v="125"/>
    <d v="2025-11-04T00:00:00"/>
    <s v="RECURSO EN ANÁLISIS DE FONDO"/>
    <x v="1"/>
    <x v="0"/>
    <s v="ROBERTO GABRIEL, VERA TUDELA GALLESI"/>
    <m/>
  </r>
  <r>
    <s v="NO"/>
    <s v="RUC"/>
    <s v="10803018737"/>
    <s v="SANCHEZ RUIZ MIRIAM ALICIA"/>
    <s v="4090340017217"/>
    <x v="50"/>
    <n v="125"/>
    <d v="2025-11-04T00:00:00"/>
    <s v="RECURSO EN ANÁLISIS DE FONDO"/>
    <x v="5"/>
    <x v="0"/>
    <s v="ROBERTO GABRIEL, VERA TUDELA GALLESI"/>
    <m/>
  </r>
  <r>
    <s v="NO"/>
    <s v="RUC"/>
    <s v="20548335397"/>
    <s v="LOGISTICS CITY S.A.C."/>
    <s v="4090340017236"/>
    <x v="50"/>
    <n v="125"/>
    <d v="2025-11-04T00:00:00"/>
    <s v="RECURSO EN ANÁLISIS DE FONDO"/>
    <x v="1"/>
    <x v="0"/>
    <s v="ROBERTO GABRIEL, VERA TUDELA GALLESI"/>
    <m/>
  </r>
  <r>
    <s v="NO"/>
    <s v="RUC"/>
    <s v="20548335397"/>
    <s v="LOGISTICS CITY S.A.C."/>
    <s v="4090340017237"/>
    <x v="50"/>
    <n v="125"/>
    <d v="2025-11-04T00:00:00"/>
    <s v="RECURSO EN ANÁLISIS DE FONDO"/>
    <x v="1"/>
    <x v="0"/>
    <s v="ROBERTO GABRIEL, VERA TUDELA GALLESI"/>
    <m/>
  </r>
  <r>
    <s v="NO"/>
    <s v="RUC"/>
    <s v="20548335397"/>
    <s v="LOGISTICS CITY S.A.C."/>
    <s v="4090340017239"/>
    <x v="50"/>
    <n v="125"/>
    <d v="2025-11-04T00:00:00"/>
    <s v="RECURSO EN ANÁLISIS DE FONDO"/>
    <x v="1"/>
    <x v="0"/>
    <s v="ROBERTO GABRIEL, VERA TUDELA GALLESI"/>
    <m/>
  </r>
  <r>
    <s v="NO"/>
    <s v="RUC"/>
    <s v="20608378660"/>
    <s v="IMPORTACIONES CODISAG S.A.C."/>
    <s v="4090340017145"/>
    <x v="51"/>
    <n v="125"/>
    <d v="2025-11-05T00:00:00"/>
    <s v="RECURSO EN ANÁLISIS DE FONDO"/>
    <x v="12"/>
    <x v="0"/>
    <s v="ROBERTO GABRIEL, VERA TUDELA GALLESI"/>
    <m/>
  </r>
  <r>
    <s v="NO"/>
    <s v="RUC"/>
    <s v="20119407738"/>
    <s v="EMP. DE TRANS. FLORES HNOS. SRL."/>
    <s v="4090340017150"/>
    <x v="51"/>
    <n v="125"/>
    <d v="2025-11-05T00:00:00"/>
    <s v="RECURSO EN ANÁLISIS DE FONDO"/>
    <x v="11"/>
    <x v="1"/>
    <s v="ROBERTO GABRIEL, VERA TUDELA GALLESI"/>
    <m/>
  </r>
  <r>
    <s v="NO"/>
    <s v="RUC"/>
    <s v="20604582181"/>
    <s v="INVERSIONES YARABAMBA S.A.C."/>
    <s v="4090340017199"/>
    <x v="51"/>
    <n v="125"/>
    <d v="2025-11-05T00:00:00"/>
    <s v="RECURSO EN ANÁLISIS DE FONDO"/>
    <x v="5"/>
    <x v="0"/>
    <s v="ROBERTO GABRIEL, VERA TUDELA GALLESI"/>
    <m/>
  </r>
  <r>
    <s v="NO"/>
    <s v="RUC"/>
    <s v="20501577252"/>
    <s v="LIMA AIRPORT PARTNERS S.R.L."/>
    <s v="4090340017108"/>
    <x v="52"/>
    <n v="125"/>
    <d v="2025-11-06T00:00:00"/>
    <s v="RECURSO EN ANÁLISIS DE FONDO"/>
    <x v="1"/>
    <x v="0"/>
    <s v="ROBERTO GABRIEL, VERA TUDELA GALLESI"/>
    <m/>
  </r>
  <r>
    <s v="NO"/>
    <s v="RUC"/>
    <s v="20372706288"/>
    <s v="SONY PERU  S.R.L."/>
    <s v="4090340017158"/>
    <x v="52"/>
    <n v="125"/>
    <d v="2025-11-06T00:00:00"/>
    <s v="RECURSO EN ANÁLISIS DE FONDO"/>
    <x v="4"/>
    <x v="0"/>
    <s v="ROBERTO GABRIEL, VERA TUDELA GALLESI"/>
    <m/>
  </r>
  <r>
    <s v="NO"/>
    <s v="RUC"/>
    <s v="20546578381"/>
    <s v="IMPORTACIONES HINDAI S.R.L."/>
    <s v="4090340017166"/>
    <x v="52"/>
    <n v="125"/>
    <d v="2025-11-06T00:00:00"/>
    <s v="RECURSO EN ANÁLISIS DE FONDO"/>
    <x v="3"/>
    <x v="1"/>
    <s v="ROBERTO GABRIEL, VERA TUDELA GALLESI"/>
    <m/>
  </r>
  <r>
    <s v="NO"/>
    <s v="RUC"/>
    <s v="10805023134"/>
    <s v="OJEDA VELASCO CELIA"/>
    <s v="4090340017216"/>
    <x v="52"/>
    <n v="125"/>
    <d v="2025-11-06T00:00:00"/>
    <s v="RECURSO EN ANÁLISIS DE FONDO"/>
    <x v="12"/>
    <x v="0"/>
    <s v="ROBERTO GABRIEL, VERA TUDELA GALLESI"/>
    <m/>
  </r>
  <r>
    <s v="NO"/>
    <s v="RUC"/>
    <s v="10004915173"/>
    <s v="DIAZ ALCAZAR CHRISTIAN DENNYS"/>
    <s v="4090340017164"/>
    <x v="53"/>
    <n v="125"/>
    <d v="2025-11-07T00:00:00"/>
    <s v="RECURSO EN ANÁLISIS DE FONDO"/>
    <x v="3"/>
    <x v="1"/>
    <s v="ROBERTO GABRIEL, VERA TUDELA GALLESI"/>
    <m/>
  </r>
  <r>
    <s v="NO"/>
    <s v="RUC"/>
    <s v="10424218664"/>
    <s v="GARRAMPIE AQUINO JOSE HELDER"/>
    <s v="4090340017170"/>
    <x v="53"/>
    <n v="125"/>
    <d v="2025-11-07T00:00:00"/>
    <s v="RECURSO EN ANÁLISIS DE FONDO"/>
    <x v="6"/>
    <x v="0"/>
    <s v="ROBERTO GABRIEL, VERA TUDELA GALLESI"/>
    <m/>
  </r>
  <r>
    <s v="NO"/>
    <s v="RUC"/>
    <s v="20606672072"/>
    <s v="RAYCORP PERU S.A.C."/>
    <s v="4090340017209"/>
    <x v="53"/>
    <n v="125"/>
    <d v="2025-11-07T00:00:00"/>
    <s v="RECURSO EN ANÁLISIS DE FONDO"/>
    <x v="5"/>
    <x v="0"/>
    <s v="ROBERTO GABRIEL, VERA TUDELA GALLESI"/>
    <m/>
  </r>
  <r>
    <s v="NO"/>
    <s v="RUC"/>
    <s v="20606672072"/>
    <s v="RAYCORP PERU S.A.C."/>
    <s v="4090340017210"/>
    <x v="53"/>
    <n v="125"/>
    <d v="2025-11-07T00:00:00"/>
    <s v="RECURSO EN ANÁLISIS DE FONDO"/>
    <x v="5"/>
    <x v="0"/>
    <s v="ROBERTO GABRIEL, VERA TUDELA GALLESI"/>
    <m/>
  </r>
  <r>
    <s v="NO"/>
    <s v="RUC"/>
    <s v="10068831046"/>
    <s v="MURGA SERRANO CARLOS AMADO"/>
    <s v="4090340017286"/>
    <x v="53"/>
    <n v="125"/>
    <d v="2025-11-07T00:00:00"/>
    <s v="RECURSO EN ANÁLISIS DE FONDO"/>
    <x v="6"/>
    <x v="0"/>
    <s v="ROBERTO GABRIEL, VERA TUDELA GALLESI"/>
    <m/>
  </r>
  <r>
    <s v="NO"/>
    <s v="RUC"/>
    <s v="20610792953"/>
    <s v="PANTHER ENERGY TRADER S.A.C."/>
    <s v="4090340018006"/>
    <x v="53"/>
    <n v="125"/>
    <d v="2025-11-07T00:00:00"/>
    <s v="RECURSO EN ANÁLISIS DE FONDO"/>
    <x v="4"/>
    <x v="0"/>
    <s v="ROBERTO GABRIEL, VERA TUDELA GALLESI"/>
    <m/>
  </r>
  <r>
    <s v="NO"/>
    <s v="RUC"/>
    <s v="20601892708"/>
    <s v="LOGISTICS IMPORT SERVICE SOCIEDAD COMERCIAL DE RESPONSABILIDAD LIMITADA"/>
    <s v="4090340017185"/>
    <x v="54"/>
    <n v="125"/>
    <d v="2025-11-10T00:00:00"/>
    <s v="RECURSO EN ANÁLISIS DE FONDO"/>
    <x v="10"/>
    <x v="1"/>
    <s v="ROBERTO GABRIEL, VERA TUDELA GALLESI"/>
    <m/>
  </r>
  <r>
    <s v="NO"/>
    <s v="RUC"/>
    <s v="20604811041"/>
    <s v="ASOCIACION DE PRODUCTORES AGRARIOS CANINARI CACAO VRAEM"/>
    <s v="4090340017222"/>
    <x v="54"/>
    <n v="125"/>
    <d v="2025-11-10T00:00:00"/>
    <s v="RECURSO EN ANÁLISIS DE FONDO"/>
    <x v="11"/>
    <x v="1"/>
    <s v="ROBERTO GABRIEL, VERA TUDELA GALLESI"/>
    <m/>
  </r>
  <r>
    <s v="NO"/>
    <s v="RUC"/>
    <s v="20492185087"/>
    <s v="HAPAG-LLOYD ( PERU ) S.A.C."/>
    <s v="4090340017190"/>
    <x v="55"/>
    <n v="125"/>
    <d v="2025-11-11T00:00:00"/>
    <s v="RECURSO EN ANÁLISIS DE FONDO"/>
    <x v="1"/>
    <x v="0"/>
    <s v="ROBERTO GABRIEL, VERA TUDELA GALLESI"/>
    <m/>
  </r>
  <r>
    <s v="NO"/>
    <s v="RUC"/>
    <s v="10044366199"/>
    <s v="ROSADO ORTIZ BREITNER EDILTSON"/>
    <s v="4090340017203"/>
    <x v="55"/>
    <n v="125"/>
    <d v="2025-11-11T00:00:00"/>
    <s v="RECURSO EN ANÁLISIS DE FONDO"/>
    <x v="3"/>
    <x v="1"/>
    <s v="ROBERTO GABRIEL, VERA TUDELA GALLESI"/>
    <m/>
  </r>
  <r>
    <s v="NO"/>
    <s v="RUC"/>
    <s v="20608151771"/>
    <s v="ANGEL DIVINO BUS S.A.C."/>
    <s v="4090340017242"/>
    <x v="55"/>
    <n v="125"/>
    <d v="2025-11-11T00:00:00"/>
    <s v="RECURSO EN ANÁLISIS DE FONDO"/>
    <x v="5"/>
    <x v="0"/>
    <s v="ROBERTO GABRIEL, VERA TUDELA GALLESI"/>
    <m/>
  </r>
  <r>
    <s v="NO"/>
    <s v="RUC"/>
    <s v="10447946683"/>
    <s v="RETAMOZO AQUIJE SANDRO MANUEL"/>
    <s v="4090340017599"/>
    <x v="55"/>
    <n v="125"/>
    <d v="2025-11-11T00:00:00"/>
    <s v="RECURSO EN ANÁLISIS DE FONDO"/>
    <x v="12"/>
    <x v="0"/>
    <s v="ROBERTO GABRIEL, VERA TUDELA GALLESI"/>
    <m/>
  </r>
  <r>
    <s v="NO"/>
    <s v="RUC"/>
    <s v="10022928347"/>
    <s v="TAPARA PACHA JACINTO"/>
    <s v="4090340018954"/>
    <x v="55"/>
    <n v="125"/>
    <d v="2025-11-11T00:00:00"/>
    <s v="RECURSO EN ANÁLISIS DE FONDO"/>
    <x v="11"/>
    <x v="1"/>
    <s v="ROBERTO GABRIEL, VERA TUDELA GALLESI"/>
    <m/>
  </r>
  <r>
    <s v="NO"/>
    <s v="RUC"/>
    <s v="20605723331"/>
    <s v="M&amp;H TECHNOLOGY PERU EMPRESA INDIVIDUAL DE RESPONSABILIDAD LIMITADA"/>
    <s v="4090340017500"/>
    <x v="56"/>
    <n v="125"/>
    <d v="2025-11-12T00:00:00"/>
    <s v="RECURSO EN ANÁLISIS DE FONDO"/>
    <x v="7"/>
    <x v="1"/>
    <s v="ROBERTO GABRIEL, VERA TUDELA GALLESI"/>
    <m/>
  </r>
  <r>
    <s v="NO"/>
    <s v="RUC"/>
    <s v="20609168219"/>
    <s v="MAQUINARIAS YURAC S.A.C."/>
    <s v="4090340017276"/>
    <x v="57"/>
    <n v="125"/>
    <d v="2025-11-13T00:00:00"/>
    <s v="RECURSO EN ANÁLISIS DE FONDO"/>
    <x v="12"/>
    <x v="0"/>
    <s v="ROBERTO GABRIEL, VERA TUDELA GALLESI"/>
    <m/>
  </r>
  <r>
    <s v="NO"/>
    <s v="RUC"/>
    <s v="20100091896"/>
    <s v="TOURING Y AUTOMOVIL CLUB DEL PERU"/>
    <s v="4090340017526"/>
    <x v="58"/>
    <n v="125"/>
    <d v="2025-11-14T00:00:00"/>
    <s v="RECURSO EN ANÁLISIS DE FONDO"/>
    <x v="13"/>
    <x v="1"/>
    <s v="ROBERTO GABRIEL, VERA TUDELA GALLESI"/>
    <m/>
  </r>
  <r>
    <s v="NO"/>
    <s v="RUC"/>
    <s v="20100091896"/>
    <s v="TOURING Y AUTOMOVIL CLUB DEL PERU"/>
    <s v="4090340017527"/>
    <x v="58"/>
    <n v="125"/>
    <d v="2025-11-14T00:00:00"/>
    <s v="RECURSO EN ANÁLISIS DE FONDO"/>
    <x v="13"/>
    <x v="1"/>
    <s v="ROBERTO GABRIEL, VERA TUDELA GALLESI"/>
    <m/>
  </r>
  <r>
    <s v="NO"/>
    <s v="RUC"/>
    <s v="20100091896"/>
    <s v="TOURING Y AUTOMOVIL CLUB DEL PERU"/>
    <s v="4090340017528"/>
    <x v="58"/>
    <n v="125"/>
    <d v="2025-11-14T00:00:00"/>
    <s v="RECURSO EN ANÁLISIS DE FONDO"/>
    <x v="13"/>
    <x v="1"/>
    <s v="ROBERTO GABRIEL, VERA TUDELA GALLESI"/>
    <m/>
  </r>
  <r>
    <s v="NO"/>
    <s v="RUC"/>
    <s v="20100091896"/>
    <s v="TOURING Y AUTOMOVIL CLUB DEL PERU"/>
    <s v="4090340017529"/>
    <x v="58"/>
    <n v="125"/>
    <d v="2025-11-14T00:00:00"/>
    <s v="RECURSO EN ANÁLISIS DE FONDO"/>
    <x v="13"/>
    <x v="1"/>
    <s v="ROBERTO GABRIEL, VERA TUDELA GALLESI"/>
    <m/>
  </r>
  <r>
    <s v="NO"/>
    <s v="RUC"/>
    <s v="20100091896"/>
    <s v="TOURING Y AUTOMOVIL CLUB DEL PERU"/>
    <s v="4090340017592"/>
    <x v="58"/>
    <n v="125"/>
    <d v="2025-11-14T00:00:00"/>
    <s v="RECURSO EN ANÁLISIS DE FONDO"/>
    <x v="13"/>
    <x v="1"/>
    <s v="ROBERTO GABRIEL, VERA TUDELA GALLESI"/>
    <m/>
  </r>
  <r>
    <s v="NO"/>
    <s v="RUC"/>
    <s v="20100091896"/>
    <s v="TOURING Y AUTOMOVIL CLUB DEL PERU"/>
    <s v="4090340017765"/>
    <x v="58"/>
    <n v="125"/>
    <d v="2025-11-14T00:00:00"/>
    <s v="RECURSO EN ANÁLISIS DE FONDO"/>
    <x v="13"/>
    <x v="1"/>
    <s v="ROBERTO GABRIEL, VERA TUDELA GALLESI"/>
    <m/>
  </r>
  <r>
    <s v="NO"/>
    <s v="RUC"/>
    <s v="10414523311"/>
    <s v="ALEJANDRO RUIZ DE LA VEGA LISSETTE AMERICA"/>
    <s v="4090340017280"/>
    <x v="59"/>
    <n v="125"/>
    <d v="2025-11-17T00:00:00"/>
    <s v="RECURSO EN ANÁLISIS DE FONDO"/>
    <x v="1"/>
    <x v="0"/>
    <s v="ROBERTO GABRIEL, VERA TUDELA GALLESI"/>
    <m/>
  </r>
  <r>
    <s v="NO"/>
    <s v="RUC"/>
    <s v="10767552900"/>
    <s v="CARRASCO FLORES FIORELLA FERNANDA"/>
    <s v="4090340017316"/>
    <x v="59"/>
    <n v="125"/>
    <d v="2025-11-17T00:00:00"/>
    <s v="RECURSO EN ANÁLISIS DE FONDO"/>
    <x v="1"/>
    <x v="0"/>
    <s v="ROBERTO GABRIEL, VERA TUDELA GALLESI"/>
    <m/>
  </r>
  <r>
    <s v="NO"/>
    <s v="RUC"/>
    <s v="10439356371"/>
    <s v="ARTEAGA GUEVARA MARIA TEODORA"/>
    <s v="4090340017352"/>
    <x v="59"/>
    <n v="125"/>
    <d v="2025-11-17T00:00:00"/>
    <s v="RECURSO EN ANÁLISIS DE FONDO"/>
    <x v="12"/>
    <x v="0"/>
    <s v="ROBERTO GABRIEL, VERA TUDELA GALLESI"/>
    <m/>
  </r>
  <r>
    <s v="NO"/>
    <s v="RUC"/>
    <s v="20611522364"/>
    <s v="CACTELECOM PERU E.I.R.L."/>
    <s v="4090340017354"/>
    <x v="59"/>
    <n v="125"/>
    <d v="2025-11-17T00:00:00"/>
    <s v="RECURSO EN ANÁLISIS DE FONDO"/>
    <x v="12"/>
    <x v="0"/>
    <s v="ROBERTO GABRIEL, VERA TUDELA GALLESI"/>
    <m/>
  </r>
  <r>
    <s v="NO"/>
    <s v="RUC"/>
    <s v="10453981351"/>
    <s v="MONTALVO GARCIA SEFERINA"/>
    <s v="4090340017361"/>
    <x v="59"/>
    <n v="125"/>
    <d v="2025-11-17T00:00:00"/>
    <s v="RECURSO EN ANÁLISIS DE FONDO"/>
    <x v="11"/>
    <x v="1"/>
    <s v="ROBERTO GABRIEL, VERA TUDELA GALLESI"/>
    <m/>
  </r>
  <r>
    <s v="NO"/>
    <s v="RUC"/>
    <s v="10459219574"/>
    <s v="ANDIA JUÑO ISAAC"/>
    <s v="4090340017362"/>
    <x v="59"/>
    <n v="125"/>
    <d v="2025-11-17T00:00:00"/>
    <s v="RECURSO EN ANÁLISIS DE FONDO"/>
    <x v="6"/>
    <x v="0"/>
    <s v="ROBERTO GABRIEL, VERA TUDELA GALLESI"/>
    <m/>
  </r>
  <r>
    <s v="NO"/>
    <s v="DNI"/>
    <s v="43068957"/>
    <s v="PEDRO YANAYACO JIMENEZ"/>
    <s v="4090340017372"/>
    <x v="59"/>
    <n v="125"/>
    <d v="2025-11-17T00:00:00"/>
    <s v="RECURSO EN ANÁLISIS DE FONDO"/>
    <x v="5"/>
    <x v="0"/>
    <s v="ROBERTO GABRIEL, VERA TUDELA GALLESI"/>
    <m/>
  </r>
  <r>
    <s v="NO"/>
    <s v="CI"/>
    <s v="1104887516"/>
    <s v="JEFFERSON PATRICIO TORRES CABRERA"/>
    <s v="4090340017628"/>
    <x v="59"/>
    <n v="125"/>
    <d v="2025-11-17T00:00:00"/>
    <s v="RECURSO EN ANÁLISIS DE FONDO"/>
    <x v="5"/>
    <x v="0"/>
    <s v="ROBERTO GABRIEL, VERA TUDELA GALLESI"/>
    <m/>
  </r>
  <r>
    <s v="NO"/>
    <s v="RUC"/>
    <s v="15604466706"/>
    <s v="DA TRINDADE JULIANA"/>
    <s v="4090340017772"/>
    <x v="59"/>
    <n v="125"/>
    <d v="2025-11-17T00:00:00"/>
    <s v="RECURSO EN ANÁLISIS DE FONDO"/>
    <x v="10"/>
    <x v="1"/>
    <s v="ROBERTO GABRIEL, VERA TUDELA GALLESI"/>
    <m/>
  </r>
  <r>
    <s v="NO"/>
    <s v="RUC"/>
    <s v="20609024225"/>
    <s v="SUMAC TRUCKS S.A.C.S"/>
    <s v="4090340018567"/>
    <x v="59"/>
    <n v="125"/>
    <d v="2025-11-17T00:00:00"/>
    <s v="RECURSO EN ANÁLISIS DE FONDO"/>
    <x v="3"/>
    <x v="1"/>
    <s v="ROBERTO GABRIEL, VERA TUDELA GALLESI"/>
    <m/>
  </r>
  <r>
    <s v="NO"/>
    <s v="RUC"/>
    <s v="20519974925"/>
    <s v="EMPRESA DE TRANSPORTES N°11 TACNA EXPRESS SOCIEDAD COMERCIAL DE RESPONSABILIDAD LIMITADA"/>
    <s v="4090340017369"/>
    <x v="60"/>
    <n v="125"/>
    <d v="2025-11-18T00:00:00"/>
    <s v="RECURSO EN ANÁLISIS DE FONDO"/>
    <x v="13"/>
    <x v="1"/>
    <s v="ROBERTO GABRIEL, VERA TUDELA GALLESI"/>
    <m/>
  </r>
  <r>
    <s v="NO"/>
    <s v="RUC"/>
    <s v="20100075009"/>
    <s v="IBM DEL PERU S A C"/>
    <s v="4090340017376"/>
    <x v="60"/>
    <n v="125"/>
    <d v="2025-11-18T00:00:00"/>
    <s v="RECURSO EN ANÁLISIS DE FONDO"/>
    <x v="1"/>
    <x v="0"/>
    <s v="ROBERTO GABRIEL, VERA TUDELA GALLESI"/>
    <m/>
  </r>
  <r>
    <s v="NO"/>
    <s v="RUC"/>
    <s v="20547438583"/>
    <s v="UPS ADUANAS PERU S.A.C."/>
    <s v="4090340017400"/>
    <x v="61"/>
    <n v="125"/>
    <d v="2025-11-20T00:00:00"/>
    <s v="RECURSO EN ANÁLISIS DE FONDO"/>
    <x v="0"/>
    <x v="0"/>
    <s v="ROBERTO GABRIEL, VERA TUDELA GALLESI"/>
    <m/>
  </r>
  <r>
    <s v="NO"/>
    <s v="RUC"/>
    <s v="20610355359"/>
    <s v="XPORT AND IMPORT MY E.I.R.L."/>
    <s v="4090340017403"/>
    <x v="61"/>
    <n v="125"/>
    <d v="2025-11-20T00:00:00"/>
    <s v="RECURSO EN ANÁLISIS DE FONDO"/>
    <x v="1"/>
    <x v="0"/>
    <s v="ROBERTO GABRIEL, VERA TUDELA GALLESI"/>
    <m/>
  </r>
  <r>
    <s v="NO"/>
    <s v="RUC"/>
    <s v="20606499401"/>
    <s v="BUSVALL S.A.C"/>
    <s v="4090340017595"/>
    <x v="61"/>
    <n v="125"/>
    <d v="2025-11-20T00:00:00"/>
    <s v="RECURSO EN ANÁLISIS DE FONDO"/>
    <x v="5"/>
    <x v="0"/>
    <s v="ROBERTO GABRIEL, VERA TUDELA GALLESI"/>
    <m/>
  </r>
  <r>
    <s v="NO"/>
    <s v="RUC"/>
    <s v="20606419318"/>
    <s v="TRANSPORTES MB E.I.R.L."/>
    <s v="4090340017598"/>
    <x v="61"/>
    <n v="125"/>
    <d v="2025-11-20T00:00:00"/>
    <s v="RECURSO EN ANÁLISIS DE FONDO"/>
    <x v="5"/>
    <x v="0"/>
    <s v="ROBERTO GABRIEL, VERA TUDELA GALLESI"/>
    <m/>
  </r>
  <r>
    <s v="NO"/>
    <s v="RUC"/>
    <s v="10089951629"/>
    <s v="HUERTA ACHIC RAUL"/>
    <s v="4090340017633"/>
    <x v="61"/>
    <n v="125"/>
    <d v="2025-11-20T00:00:00"/>
    <s v="RECURSO EN ANÁLISIS DE FONDO"/>
    <x v="0"/>
    <x v="0"/>
    <s v="ROBERTO GABRIEL, VERA TUDELA GALLESI"/>
    <m/>
  </r>
  <r>
    <s v="NO"/>
    <s v="RUC"/>
    <s v="20545804795"/>
    <s v="GOLDEN MEDICAL TECH S.A.C"/>
    <s v="4090340017413"/>
    <x v="62"/>
    <n v="125"/>
    <d v="2025-11-21T00:00:00"/>
    <s v="RECURSO EN ANÁLISIS DE FONDO"/>
    <x v="0"/>
    <x v="0"/>
    <s v="ROBERTO GABRIEL, VERA TUDELA GALLESI"/>
    <m/>
  </r>
  <r>
    <s v="NO"/>
    <s v="RUC"/>
    <s v="20100013747"/>
    <s v="BIOCON DEL PERU S.A.C."/>
    <s v="4090340017436"/>
    <x v="63"/>
    <n v="125"/>
    <d v="2025-11-24T00:00:00"/>
    <s v="RECURSO EN ANÁLISIS DE FONDO"/>
    <x v="1"/>
    <x v="0"/>
    <s v="ROBERTO GABRIEL, VERA TUDELA GALLESI"/>
    <m/>
  </r>
  <r>
    <s v="NO"/>
    <s v="RUC"/>
    <s v="20607826146"/>
    <s v="CENTRO QUIRURGICO VETERINARIO E.I.R.L."/>
    <s v="4090340017485"/>
    <x v="63"/>
    <n v="125"/>
    <d v="2025-11-24T00:00:00"/>
    <s v="RECURSO EN ANÁLISIS DE FONDO"/>
    <x v="4"/>
    <x v="0"/>
    <s v="ROBERTO GABRIEL, VERA TUDELA GALLESI"/>
    <m/>
  </r>
  <r>
    <s v="NO"/>
    <s v="RUC"/>
    <s v="20528275312"/>
    <s v="IM SELVA S.A.C."/>
    <s v="4090340017637"/>
    <x v="63"/>
    <n v="125"/>
    <d v="2025-11-24T00:00:00"/>
    <s v="RECURSO EN ANÁLISIS DE FONDO"/>
    <x v="12"/>
    <x v="0"/>
    <s v="ROBERTO GABRIEL, VERA TUDELA GALLESI"/>
    <m/>
  </r>
  <r>
    <s v="NO"/>
    <s v="RUC"/>
    <s v="20507969811"/>
    <s v="LA SEMILLA DE ORO S.A.C."/>
    <s v="4090340017438"/>
    <x v="64"/>
    <n v="125"/>
    <d v="2025-11-25T00:00:00"/>
    <s v="RECURSO EN ANÁLISIS DE FONDO"/>
    <x v="9"/>
    <x v="1"/>
    <s v="ROBERTO GABRIEL, VERA TUDELA GALLESI"/>
    <m/>
  </r>
  <r>
    <s v="NO"/>
    <s v="RUC"/>
    <s v="20507969811"/>
    <s v="LA SEMILLA DE ORO S.A.C."/>
    <s v="4090340017440"/>
    <x v="64"/>
    <n v="125"/>
    <d v="2025-11-25T00:00:00"/>
    <s v="RECURSO EN ANÁLISIS DE FONDO"/>
    <x v="9"/>
    <x v="1"/>
    <s v="ROBERTO GABRIEL, VERA TUDELA GALLESI"/>
    <m/>
  </r>
  <r>
    <s v="NO"/>
    <s v="RUC"/>
    <s v="20507969811"/>
    <s v="LA SEMILLA DE ORO S.A.C."/>
    <s v="4090340017441"/>
    <x v="64"/>
    <n v="125"/>
    <d v="2025-11-25T00:00:00"/>
    <s v="RECURSO EN ANÁLISIS DE FONDO"/>
    <x v="9"/>
    <x v="1"/>
    <s v="ROBERTO GABRIEL, VERA TUDELA GALLESI"/>
    <m/>
  </r>
  <r>
    <s v="NO"/>
    <s v="RUC"/>
    <s v="20507969811"/>
    <s v="LA SEMILLA DE ORO S.A.C."/>
    <s v="4090340017442"/>
    <x v="64"/>
    <n v="125"/>
    <d v="2025-11-25T00:00:00"/>
    <s v="RECURSO EN ANÁLISIS DE FONDO"/>
    <x v="9"/>
    <x v="1"/>
    <s v="ROBERTO GABRIEL, VERA TUDELA GALLESI"/>
    <m/>
  </r>
  <r>
    <s v="NO"/>
    <s v="RUC"/>
    <s v="20507969811"/>
    <s v="LA SEMILLA DE ORO S.A.C."/>
    <s v="4090340017443"/>
    <x v="64"/>
    <n v="125"/>
    <d v="2025-11-25T00:00:00"/>
    <s v="RECURSO EN ANÁLISIS DE FONDO"/>
    <x v="9"/>
    <x v="1"/>
    <s v="ROBERTO GABRIEL, VERA TUDELA GALLESI"/>
    <m/>
  </r>
  <r>
    <s v="NO"/>
    <s v="RUC"/>
    <s v="20507969811"/>
    <s v="LA SEMILLA DE ORO S.A.C."/>
    <s v="4090340017445"/>
    <x v="64"/>
    <n v="125"/>
    <d v="2025-11-25T00:00:00"/>
    <s v="RECURSO EN ANÁLISIS DE FONDO"/>
    <x v="9"/>
    <x v="1"/>
    <s v="ROBERTO GABRIEL, VERA TUDELA GALLESI"/>
    <m/>
  </r>
  <r>
    <s v="NO"/>
    <s v="RUC"/>
    <s v="20521770814"/>
    <s v="PERU CUSTOMS ADVISER S.A.C."/>
    <s v="4090340017477"/>
    <x v="64"/>
    <n v="125"/>
    <d v="2025-11-25T00:00:00"/>
    <s v="RECURSO EN ANÁLISIS DE FONDO"/>
    <x v="0"/>
    <x v="0"/>
    <s v="ROBERTO GABRIEL, VERA TUDELA GALLESI"/>
    <m/>
  </r>
  <r>
    <s v="NO"/>
    <s v="RUC"/>
    <s v="20528275312"/>
    <s v="IM SELVA S.A.C."/>
    <s v="4090340017636"/>
    <x v="64"/>
    <n v="125"/>
    <d v="2025-11-25T00:00:00"/>
    <s v="RECURSO EN ANÁLISIS DE FONDO"/>
    <x v="12"/>
    <x v="0"/>
    <s v="ROBERTO GABRIEL, VERA TUDELA GALLESI"/>
    <m/>
  </r>
  <r>
    <s v="NO"/>
    <s v="RUC"/>
    <s v="20605970371"/>
    <s v="TECH-MOVIE E.I.R.L."/>
    <s v="4090340017509"/>
    <x v="65"/>
    <n v="125"/>
    <d v="2025-11-26T00:00:00"/>
    <s v="RECURSO EN ANÁLISIS DE FONDO"/>
    <x v="4"/>
    <x v="0"/>
    <s v="ROBERTO GABRIEL, VERA TUDELA GALLESI"/>
    <m/>
  </r>
  <r>
    <s v="NO"/>
    <s v="RUC"/>
    <s v="20549997636"/>
    <s v="SC &amp; D AGENTES DE ADUANA S.A.C."/>
    <s v="4090340017572"/>
    <x v="65"/>
    <n v="125"/>
    <d v="2025-11-26T00:00:00"/>
    <s v="RECURSO EN ANÁLISIS DE FONDO"/>
    <x v="1"/>
    <x v="0"/>
    <s v="ROBERTO GABRIEL, VERA TUDELA GALLESI"/>
    <m/>
  </r>
  <r>
    <s v="NO"/>
    <s v="PASAPORTE"/>
    <s v="FZ634620"/>
    <s v="PAULO AMARAL"/>
    <s v="4090340017515"/>
    <x v="66"/>
    <n v="125"/>
    <d v="2025-11-27T00:00:00"/>
    <s v="RECURSO EN ANÁLISIS DE FONDO"/>
    <x v="10"/>
    <x v="1"/>
    <s v="ROBERTO GABRIEL, VERA TUDELA GALLESI"/>
    <m/>
  </r>
  <r>
    <s v="NO"/>
    <s v="RUC"/>
    <s v="10414744783"/>
    <s v="ASUNCION HONORIO NICOLAS"/>
    <s v="4090340017519"/>
    <x v="66"/>
    <n v="125"/>
    <d v="2025-11-27T00:00:00"/>
    <s v="RECURSO EN ANÁLISIS DE FONDO"/>
    <x v="5"/>
    <x v="0"/>
    <s v="ROBERTO GABRIEL, VERA TUDELA GALLESI"/>
    <m/>
  </r>
  <r>
    <s v="NO"/>
    <s v="RUC"/>
    <s v="10239584735"/>
    <s v="UGARTE DEL CASTILLO MIRIAM"/>
    <s v="4090340017523"/>
    <x v="66"/>
    <n v="125"/>
    <d v="2025-11-27T00:00:00"/>
    <s v="RECURSO EN ANÁLISIS DE FONDO"/>
    <x v="13"/>
    <x v="1"/>
    <s v="ROBERTO GABRIEL, VERA TUDELA GALLESI"/>
    <m/>
  </r>
  <r>
    <s v="NO"/>
    <s v="RUC"/>
    <s v="10066693100"/>
    <s v="GUTIERREZ DIAZ ALFREDO GUILLERMO"/>
    <s v="4090340017530"/>
    <x v="66"/>
    <n v="125"/>
    <d v="2025-11-27T00:00:00"/>
    <s v="RECURSO EN ANÁLISIS DE FONDO"/>
    <x v="6"/>
    <x v="0"/>
    <s v="ROBERTO GABRIEL, VERA TUDELA GALLESI"/>
    <m/>
  </r>
  <r>
    <s v="NO"/>
    <s v="RUC"/>
    <s v="20503458234"/>
    <s v="XYLEM WATER SOLUTIONS PERU S.A."/>
    <s v="4090340017548"/>
    <x v="66"/>
    <n v="125"/>
    <d v="2025-11-27T00:00:00"/>
    <s v="RECURSO EN ANÁLISIS DE FONDO"/>
    <x v="0"/>
    <x v="0"/>
    <s v="ROBERTO GABRIEL, VERA TUDELA GALLESI"/>
    <m/>
  </r>
  <r>
    <s v="NO"/>
    <s v="RUC"/>
    <s v="20605491945"/>
    <s v="SHANDONG IRAETA DEL PERU E.I.R.L. - IRAETA"/>
    <s v="4090340017550"/>
    <x v="67"/>
    <n v="125"/>
    <d v="2025-11-28T00:00:00"/>
    <s v="RECURSO EN ANÁLISIS DE FONDO"/>
    <x v="4"/>
    <x v="0"/>
    <s v="ROBERTO GABRIEL, VERA TUDELA GALLESI"/>
    <m/>
  </r>
  <r>
    <s v="NO"/>
    <s v="RUC"/>
    <s v="20608661221"/>
    <s v="SEBAS TEXTIL E.I.R.L."/>
    <s v="4090340018012"/>
    <x v="67"/>
    <n v="125"/>
    <d v="2025-11-28T00:00:00"/>
    <s v="RECURSO EN ANÁLISIS DE FONDO"/>
    <x v="4"/>
    <x v="0"/>
    <s v="ROBERTO GABRIEL, VERA TUDELA GALLESI"/>
    <m/>
  </r>
  <r>
    <s v="NO"/>
    <s v="RUC"/>
    <s v="10414952351"/>
    <s v="VASQUEZ MEJIA ALADINO"/>
    <s v="4090340017551"/>
    <x v="68"/>
    <n v="125"/>
    <d v="2025-12-01T00:00:00"/>
    <s v="RECURSO EN ANÁLISIS DE FONDO"/>
    <x v="12"/>
    <x v="0"/>
    <s v="ROBERTO GABRIEL, VERA TUDELA GALLESI"/>
    <m/>
  </r>
  <r>
    <s v="NO"/>
    <s v="RUC"/>
    <s v="10414952351"/>
    <s v="VASQUEZ MEJIA ALADINO"/>
    <s v="4090340017553"/>
    <x v="68"/>
    <n v="125"/>
    <d v="2025-12-01T00:00:00"/>
    <s v="RECURSO EN ANÁLISIS DE FONDO"/>
    <x v="12"/>
    <x v="0"/>
    <s v="ROBERTO GABRIEL, VERA TUDELA GALLESI"/>
    <m/>
  </r>
  <r>
    <s v="NO"/>
    <s v="RUC"/>
    <s v="20610237411"/>
    <s v="N &amp; D ELECTRONICS E.I.R.L."/>
    <s v="4090340017558"/>
    <x v="68"/>
    <n v="125"/>
    <d v="2025-12-01T00:00:00"/>
    <s v="RECURSO EN ANÁLISIS DE FONDO"/>
    <x v="5"/>
    <x v="0"/>
    <s v="ROBERTO GABRIEL, VERA TUDELA GALLESI"/>
    <m/>
  </r>
  <r>
    <s v="NO"/>
    <s v="RUC"/>
    <s v="20119407738"/>
    <s v="EMP. DE TRANS. FLORES HNOS. SRL."/>
    <s v="4090340017600"/>
    <x v="68"/>
    <n v="125"/>
    <d v="2025-12-01T00:00:00"/>
    <s v="RECURSO EN ANÁLISIS DE FONDO"/>
    <x v="13"/>
    <x v="1"/>
    <s v="ROBERTO GABRIEL, VERA TUDELA GALLESI"/>
    <m/>
  </r>
  <r>
    <s v="NO"/>
    <s v="RUC"/>
    <s v="10450131127"/>
    <s v="VILCA QUISPE EDGAR"/>
    <s v="4090340017766"/>
    <x v="68"/>
    <n v="125"/>
    <d v="2025-12-01T00:00:00"/>
    <s v="RECURSO EN ANÁLISIS DE FONDO"/>
    <x v="10"/>
    <x v="1"/>
    <s v="ROBERTO GABRIEL, VERA TUDELA GALLESI"/>
    <m/>
  </r>
  <r>
    <s v="NO"/>
    <s v="RUC"/>
    <s v="20606480238"/>
    <s v="AJAN &amp; WHC SERVICIOS GENERALES S.A.C"/>
    <s v="4090340017571"/>
    <x v="69"/>
    <n v="125"/>
    <d v="2025-12-02T00:00:00"/>
    <s v="RECURSO EN ANÁLISIS DE FONDO"/>
    <x v="12"/>
    <x v="0"/>
    <s v="ROBERTO GABRIEL, VERA TUDELA GALLESI"/>
    <m/>
  </r>
  <r>
    <s v="NO"/>
    <s v="RUC"/>
    <s v="15503497481"/>
    <s v="LORA ROJAS JAVIER ENRIQUE"/>
    <s v="4090340017610"/>
    <x v="69"/>
    <n v="125"/>
    <d v="2025-12-02T00:00:00"/>
    <s v="RECURSO EN ANÁLISIS DE FONDO"/>
    <x v="1"/>
    <x v="0"/>
    <s v="ROBERTO GABRIEL, VERA TUDELA GALLESI"/>
    <m/>
  </r>
  <r>
    <s v="NO"/>
    <s v="RUC"/>
    <s v="20601311781"/>
    <s v="RICBEL F.H. LOGISTICA S.A."/>
    <s v="4090340017612"/>
    <x v="69"/>
    <n v="125"/>
    <d v="2025-12-02T00:00:00"/>
    <s v="RECURSO EN ANÁLISIS DE FONDO"/>
    <x v="4"/>
    <x v="0"/>
    <s v="ROBERTO GABRIEL, VERA TUDELA GALLESI"/>
    <m/>
  </r>
  <r>
    <s v="NO"/>
    <s v="RUC"/>
    <s v="20504898173"/>
    <s v="SERVICIOS PETROLEROS Y CONSTRUCCIONES SEPCON S.A.C."/>
    <s v="4090340017614"/>
    <x v="69"/>
    <n v="125"/>
    <d v="2025-12-02T00:00:00"/>
    <s v="RECURSO EN ANÁLISIS DE FONDO"/>
    <x v="9"/>
    <x v="1"/>
    <s v="ROBERTO GABRIEL, VERA TUDELA GALLESI"/>
    <m/>
  </r>
  <r>
    <s v="NO"/>
    <s v="RUC"/>
    <s v="20601716691"/>
    <s v="ARVIEX E.I.R.L."/>
    <s v="4090340017623"/>
    <x v="69"/>
    <n v="125"/>
    <d v="2025-12-02T00:00:00"/>
    <s v="RECURSO EN ANÁLISIS DE FONDO"/>
    <x v="1"/>
    <x v="0"/>
    <s v="ROBERTO GABRIEL, VERA TUDELA GALLESI"/>
    <m/>
  </r>
  <r>
    <s v="NO"/>
    <s v="RUC"/>
    <s v="20227393956"/>
    <s v="EMPRESA DE TRANSPORTES SANTA CRUZ EXPRESS S.R.L."/>
    <s v="4090340017767"/>
    <x v="69"/>
    <n v="125"/>
    <d v="2025-12-02T00:00:00"/>
    <s v="RECURSO EN ANÁLISIS DE FONDO"/>
    <x v="10"/>
    <x v="1"/>
    <s v="ROBERTO GABRIEL, VERA TUDELA GALLESI"/>
    <m/>
  </r>
  <r>
    <s v="NO"/>
    <s v="RUC"/>
    <s v="20153045021"/>
    <s v="SIGDELO S.A."/>
    <s v="4090340019530"/>
    <x v="69"/>
    <n v="125"/>
    <d v="2025-12-02T00:00:00"/>
    <s v="RECURSO EN ANÁLISIS DE FONDO"/>
    <x v="9"/>
    <x v="1"/>
    <s v="ROBERTO GABRIEL, VERA TUDELA GALLESI"/>
    <m/>
  </r>
  <r>
    <s v="NO"/>
    <s v="RUC"/>
    <s v="20538225763"/>
    <s v="SIGDELO S.A.C."/>
    <s v="4090340019531"/>
    <x v="69"/>
    <n v="125"/>
    <d v="2025-12-02T00:00:00"/>
    <s v="RECURSO EN ANÁLISIS DE FONDO"/>
    <x v="9"/>
    <x v="1"/>
    <s v="ROBERTO GABRIEL, VERA TUDELA GALLESI"/>
    <m/>
  </r>
  <r>
    <s v="NO"/>
    <s v="RUC"/>
    <s v="20418896753"/>
    <s v="MAXIMILIAN INVERSIONES S.A."/>
    <s v="4090340017615"/>
    <x v="70"/>
    <n v="125"/>
    <d v="2025-12-03T00:00:00"/>
    <s v="RECURSO EN ANÁLISIS DE FONDO"/>
    <x v="9"/>
    <x v="1"/>
    <s v="ROBERTO GABRIEL, VERA TUDELA GALLESI"/>
    <m/>
  </r>
  <r>
    <s v="NO"/>
    <s v="RUC"/>
    <s v="20418896753"/>
    <s v="MAXIMILIAN INVERSIONES S.A."/>
    <s v="4090340017616"/>
    <x v="70"/>
    <n v="125"/>
    <d v="2025-12-03T00:00:00"/>
    <s v="RECURSO EN ANÁLISIS DE FONDO"/>
    <x v="9"/>
    <x v="1"/>
    <s v="ROBERTO GABRIEL, VERA TUDELA GALLESI"/>
    <m/>
  </r>
  <r>
    <s v="NO"/>
    <s v="RUC"/>
    <s v="20418896753"/>
    <s v="MAXIMILIAN INVERSIONES S.A."/>
    <s v="4090340017617"/>
    <x v="70"/>
    <n v="125"/>
    <d v="2025-12-03T00:00:00"/>
    <s v="RECURSO EN ANÁLISIS DE FONDO"/>
    <x v="9"/>
    <x v="1"/>
    <s v="ROBERTO GABRIEL, VERA TUDELA GALLESI"/>
    <m/>
  </r>
  <r>
    <s v="NO"/>
    <s v="RUC"/>
    <s v="20418896753"/>
    <s v="MAXIMILIAN INVERSIONES S.A."/>
    <s v="4090340017618"/>
    <x v="70"/>
    <n v="125"/>
    <d v="2025-12-03T00:00:00"/>
    <s v="RECURSO EN ANÁLISIS DE FONDO"/>
    <x v="9"/>
    <x v="1"/>
    <s v="ROBERTO GABRIEL, VERA TUDELA GALLESI"/>
    <m/>
  </r>
  <r>
    <s v="NO"/>
    <s v="RUC"/>
    <s v="20418896753"/>
    <s v="MAXIMILIAN INVERSIONES S.A."/>
    <s v="4090340017619"/>
    <x v="70"/>
    <n v="125"/>
    <d v="2025-12-03T00:00:00"/>
    <s v="RECURSO EN ANÁLISIS DE FONDO"/>
    <x v="9"/>
    <x v="1"/>
    <s v="ROBERTO GABRIEL, VERA TUDELA GALLESI"/>
    <m/>
  </r>
  <r>
    <s v="NO"/>
    <s v="RUC"/>
    <s v="20418896753"/>
    <s v="MAXIMILIAN INVERSIONES S.A."/>
    <s v="4090340017620"/>
    <x v="70"/>
    <n v="125"/>
    <d v="2025-12-03T00:00:00"/>
    <s v="RECURSO EN ANÁLISIS DE FONDO"/>
    <x v="9"/>
    <x v="1"/>
    <s v="ROBERTO GABRIEL, VERA TUDELA GALLESI"/>
    <m/>
  </r>
  <r>
    <s v="NO"/>
    <s v="RUC"/>
    <s v="20418896753"/>
    <s v="MAXIMILIAN INVERSIONES S.A."/>
    <s v="4090340017621"/>
    <x v="70"/>
    <n v="125"/>
    <d v="2025-12-03T00:00:00"/>
    <s v="RECURSO EN ANÁLISIS DE FONDO"/>
    <x v="9"/>
    <x v="1"/>
    <s v="ROBERTO GABRIEL, VERA TUDELA GALLESI"/>
    <m/>
  </r>
  <r>
    <s v="NO"/>
    <s v="RUC"/>
    <s v="20418896753"/>
    <s v="MAXIMILIAN INVERSIONES S.A."/>
    <s v="4090340017642"/>
    <x v="70"/>
    <n v="125"/>
    <d v="2025-12-03T00:00:00"/>
    <s v="RECURSO EN ANÁLISIS DE FONDO"/>
    <x v="9"/>
    <x v="1"/>
    <s v="ROBERTO GABRIEL, VERA TUDELA GALLESI"/>
    <m/>
  </r>
  <r>
    <s v="NO"/>
    <s v="RUC"/>
    <s v="20601311781"/>
    <s v="RICBEL F.H. LOGISTICA S.A."/>
    <s v="4090340017647"/>
    <x v="70"/>
    <n v="125"/>
    <d v="2025-12-03T00:00:00"/>
    <s v="RECURSO EN ANÁLISIS DE FONDO"/>
    <x v="4"/>
    <x v="0"/>
    <s v="ROBERTO GABRIEL, VERA TUDELA GALLESI"/>
    <m/>
  </r>
  <r>
    <s v="NO"/>
    <s v="RUC"/>
    <s v="20610186972"/>
    <s v="COURIER &amp; LOGISTICA INTEGRAL S.A.C."/>
    <s v="4090340017649"/>
    <x v="70"/>
    <n v="125"/>
    <d v="2025-12-03T00:00:00"/>
    <s v="RECURSO EN ANÁLISIS DE FONDO"/>
    <x v="5"/>
    <x v="0"/>
    <s v="ROBERTO GABRIEL, VERA TUDELA GALLESI"/>
    <m/>
  </r>
  <r>
    <s v="NO"/>
    <s v="RUC"/>
    <s v="20610186972"/>
    <s v="COURIER &amp; LOGISTICA INTEGRAL S.A.C."/>
    <s v="4090340017667"/>
    <x v="70"/>
    <n v="125"/>
    <d v="2025-12-03T00:00:00"/>
    <s v="RECURSO EN ANÁLISIS DE FONDO"/>
    <x v="5"/>
    <x v="0"/>
    <s v="ROBERTO GABRIEL, VERA TUDELA GALLESI"/>
    <m/>
  </r>
  <r>
    <s v="NO"/>
    <s v="RUC"/>
    <s v="20418896753"/>
    <s v="MAXIMILIAN INVERSIONES S.A."/>
    <s v="4090340017685"/>
    <x v="70"/>
    <n v="125"/>
    <d v="2025-12-03T00:00:00"/>
    <s v="RECURSO EN ANÁLISIS DE FONDO"/>
    <x v="9"/>
    <x v="1"/>
    <s v="ROBERTO GABRIEL, VERA TUDELA GALLESI"/>
    <m/>
  </r>
  <r>
    <s v="NO"/>
    <s v="RUC"/>
    <s v="20606390247"/>
    <s v="CORPORACION ARROCERA J &amp; J S.A.C."/>
    <s v="4090340017630"/>
    <x v="71"/>
    <n v="125"/>
    <d v="2025-12-04T00:00:00"/>
    <s v="RECURSO EN ANÁLISIS DE FONDO"/>
    <x v="12"/>
    <x v="0"/>
    <s v="ROBERTO GABRIEL, VERA TUDELA GALLESI"/>
    <m/>
  </r>
  <r>
    <s v="NO"/>
    <s v="RUC"/>
    <s v="20601311781"/>
    <s v="RICBEL F.H. LOGISTICA S.A."/>
    <s v="4090340017661"/>
    <x v="71"/>
    <n v="125"/>
    <d v="2025-12-04T00:00:00"/>
    <s v="RECURSO EN ANÁLISIS DE FONDO"/>
    <x v="4"/>
    <x v="0"/>
    <s v="ROBERTO GABRIEL, VERA TUDELA GALLESI"/>
    <m/>
  </r>
  <r>
    <s v="NO"/>
    <s v="RUC"/>
    <s v="20601311781"/>
    <s v="RICBEL F.H. LOGISTICA S.A."/>
    <s v="4090340017662"/>
    <x v="71"/>
    <n v="125"/>
    <d v="2025-12-04T00:00:00"/>
    <s v="RECURSO EN ANÁLISIS DE FONDO"/>
    <x v="4"/>
    <x v="0"/>
    <s v="ROBERTO GABRIEL, VERA TUDELA GALLESI"/>
    <m/>
  </r>
  <r>
    <s v="NO"/>
    <s v="RUC"/>
    <s v="20611468114"/>
    <s v="HAIYU S.A.C."/>
    <s v="4090340017817"/>
    <x v="71"/>
    <n v="125"/>
    <d v="2025-12-04T00:00:00"/>
    <s v="RECURSO EN ANÁLISIS DE FONDO"/>
    <x v="4"/>
    <x v="0"/>
    <s v="ROBERTO GABRIEL, VERA TUDELA GALLESI"/>
    <m/>
  </r>
  <r>
    <s v="NO"/>
    <s v="RUC"/>
    <s v="20606542730"/>
    <s v="BGZ IMPORTADORA INTERNACIONAL SOCIEDAD ANONIMA CERRADA"/>
    <s v="4090340017831"/>
    <x v="71"/>
    <n v="125"/>
    <d v="2025-12-04T00:00:00"/>
    <s v="RECURSO EN ANÁLISIS DE FONDO"/>
    <x v="3"/>
    <x v="1"/>
    <s v="ROBERTO GABRIEL, VERA TUDELA GALLESI"/>
    <m/>
  </r>
  <r>
    <s v="NO"/>
    <s v="RUC"/>
    <s v="10457331440"/>
    <s v="GUERRERO ZUMBA KATERIN ANILU"/>
    <s v="4090340017641"/>
    <x v="72"/>
    <n v="125"/>
    <d v="2025-12-05T00:00:00"/>
    <s v="RECURSO EN ANÁLISIS DE FONDO"/>
    <x v="12"/>
    <x v="0"/>
    <s v="ROBERTO GABRIEL, VERA TUDELA GALLESI"/>
    <m/>
  </r>
  <r>
    <s v="NO"/>
    <s v="RUC"/>
    <s v="20601311781"/>
    <s v="RICBEL F.H. LOGISTICA S.A."/>
    <s v="4090340017672"/>
    <x v="72"/>
    <n v="125"/>
    <d v="2025-12-05T00:00:00"/>
    <s v="RECURSO EN ANÁLISIS DE FONDO"/>
    <x v="4"/>
    <x v="0"/>
    <s v="ROBERTO GABRIEL, VERA TUDELA GALLESI"/>
    <m/>
  </r>
  <r>
    <s v="NO"/>
    <s v="RUC"/>
    <s v="20601311781"/>
    <s v="RICBEL F.H. LOGISTICA S.A."/>
    <s v="4090340017673"/>
    <x v="72"/>
    <n v="125"/>
    <d v="2025-12-05T00:00:00"/>
    <s v="RECURSO EN ANÁLISIS DE FONDO"/>
    <x v="4"/>
    <x v="0"/>
    <s v="ROBERTO GABRIEL, VERA TUDELA GALLESI"/>
    <m/>
  </r>
  <r>
    <s v="NO"/>
    <s v="RUC"/>
    <s v="20606218371"/>
    <s v="CURIMAPU PERU SOCIEDAD ANONIMA CERRADA"/>
    <s v="4090340017787"/>
    <x v="72"/>
    <n v="125"/>
    <d v="2025-12-05T00:00:00"/>
    <s v="RECURSO EN ANÁLISIS DE FONDO"/>
    <x v="11"/>
    <x v="1"/>
    <s v="ROBERTO GABRIEL, VERA TUDELA GALLESI"/>
    <m/>
  </r>
  <r>
    <s v="NO"/>
    <s v="PASAPORTE"/>
    <s v="B0437399"/>
    <s v="Ana Belén LUZURIAGA JIMÉNEZ"/>
    <s v="4090340017691"/>
    <x v="73"/>
    <n v="125"/>
    <d v="2025-12-10T00:00:00"/>
    <s v="RECURSO EN ANÁLISIS DE FONDO"/>
    <x v="6"/>
    <x v="0"/>
    <s v="ROBERTO GABRIEL, VERA TUDELA GALLESI"/>
    <m/>
  </r>
  <r>
    <s v="NO"/>
    <s v="RUC"/>
    <s v="10405006532"/>
    <s v="OBREGON ESPINOZA FREDDY CESAR"/>
    <s v="4090340017696"/>
    <x v="73"/>
    <n v="125"/>
    <d v="2025-12-10T00:00:00"/>
    <s v="RECURSO EN ANÁLISIS DE FONDO"/>
    <x v="5"/>
    <x v="0"/>
    <s v="ROBERTO GABRIEL, VERA TUDELA GALLESI"/>
    <m/>
  </r>
  <r>
    <s v="NO"/>
    <s v="RUC"/>
    <s v="20527721173"/>
    <s v="DECO HOGAR EMPRESA INDIVIDUAL DE RESPONSABILIDAD LIMITADA"/>
    <s v="4090340017711"/>
    <x v="73"/>
    <n v="125"/>
    <d v="2025-12-10T00:00:00"/>
    <s v="RECURSO EN ANÁLISIS DE FONDO"/>
    <x v="10"/>
    <x v="1"/>
    <s v="ROBERTO GABRIEL, VERA TUDELA GALLESI"/>
    <m/>
  </r>
  <r>
    <s v="NO"/>
    <s v="RUC"/>
    <s v="20227393956"/>
    <s v="EMPRESA DE TRANSPORTES SANTA CRUZ EXPRESS S.R.L."/>
    <s v="4090340017715"/>
    <x v="73"/>
    <n v="125"/>
    <d v="2025-12-10T00:00:00"/>
    <s v="RECURSO EN ANÁLISIS DE FONDO"/>
    <x v="13"/>
    <x v="1"/>
    <s v="ROBERTO GABRIEL, VERA TUDELA GALLESI"/>
    <m/>
  </r>
  <r>
    <s v="NO"/>
    <s v="RUC"/>
    <s v="10450131127"/>
    <s v="VILCA QUISPE EDGAR"/>
    <s v="4090340017716"/>
    <x v="73"/>
    <n v="125"/>
    <d v="2025-12-10T00:00:00"/>
    <s v="RECURSO EN ANÁLISIS DE FONDO"/>
    <x v="13"/>
    <x v="1"/>
    <s v="ROBERTO GABRIEL, VERA TUDELA GALLESI"/>
    <m/>
  </r>
  <r>
    <s v="NO"/>
    <s v="RUC"/>
    <s v="20612629961"/>
    <s v="SINOMIN PERU S.A.C."/>
    <s v="4090340017802"/>
    <x v="73"/>
    <n v="125"/>
    <d v="2025-12-10T00:00:00"/>
    <s v="RECURSO EN ANÁLISIS DE FONDO"/>
    <x v="4"/>
    <x v="0"/>
    <s v="ROBERTO GABRIEL, VERA TUDELA GALLESI"/>
    <m/>
  </r>
  <r>
    <s v="NO"/>
    <s v="DNI"/>
    <s v="77014076"/>
    <s v="HEBERT MAMANI TEVES"/>
    <s v="4090340017692"/>
    <x v="74"/>
    <n v="125"/>
    <d v="2025-12-11T00:00:00"/>
    <s v="RECURSO EN ANÁLISIS DE FONDO"/>
    <x v="10"/>
    <x v="1"/>
    <s v="ROBERTO GABRIEL, VERA TUDELA GALLESI"/>
    <s v="SCAD 250280 RD 4090140015686"/>
  </r>
  <r>
    <s v="NO"/>
    <s v="RUC"/>
    <s v="20606390247"/>
    <s v="CORPORACION ARROCERA J &amp; J S.A.C."/>
    <s v="4090340017713"/>
    <x v="74"/>
    <n v="125"/>
    <d v="2025-12-11T00:00:00"/>
    <s v="RECURSO EN ANÁLISIS DE FONDO"/>
    <x v="12"/>
    <x v="0"/>
    <s v="ROBERTO GABRIEL, VERA TUDELA GALLESI"/>
    <m/>
  </r>
  <r>
    <s v="NO"/>
    <s v="RUC"/>
    <s v="10013178726"/>
    <s v="FORAQUITA YARATICONA ANGEL OSCAR"/>
    <s v="4090340017770"/>
    <x v="74"/>
    <n v="125"/>
    <d v="2025-12-11T00:00:00"/>
    <s v="RECURSO EN ANÁLISIS DE FONDO"/>
    <x v="11"/>
    <x v="1"/>
    <s v="ROBERTO GABRIEL, VERA TUDELA GALLESI"/>
    <m/>
  </r>
  <r>
    <s v="NO"/>
    <s v="RUC"/>
    <s v="20482262644"/>
    <s v="M&amp;J DISTRIBUCIONES E.I.R.L."/>
    <s v="4090340017836"/>
    <x v="74"/>
    <n v="125"/>
    <d v="2025-12-11T00:00:00"/>
    <s v="RECURSO EN ANÁLISIS DE FONDO"/>
    <x v="1"/>
    <x v="0"/>
    <s v="ROBERTO GABRIEL, VERA TUDELA GALLESI"/>
    <m/>
  </r>
  <r>
    <s v="NO"/>
    <s v="RUC"/>
    <s v="20610237411"/>
    <s v="N &amp; D ELECTRONICS E.I.R.L."/>
    <s v="4090340017989"/>
    <x v="74"/>
    <n v="125"/>
    <d v="2025-12-11T00:00:00"/>
    <s v="RECURSO EN ANÁLISIS DE FONDO"/>
    <x v="5"/>
    <x v="0"/>
    <s v="ROBERTO GABRIEL, VERA TUDELA GALLESI"/>
    <m/>
  </r>
  <r>
    <s v="NO"/>
    <s v="RUC"/>
    <s v="20610237411"/>
    <s v="N &amp; D ELECTRONICS E.I.R.L."/>
    <s v="4090340017990"/>
    <x v="74"/>
    <n v="125"/>
    <d v="2025-12-11T00:00:00"/>
    <s v="RECURSO EN ANÁLISIS DE FONDO"/>
    <x v="5"/>
    <x v="0"/>
    <s v="ROBERTO GABRIEL, VERA TUDELA GALLESI"/>
    <m/>
  </r>
  <r>
    <s v="NO"/>
    <s v="RUC"/>
    <s v="20393820161"/>
    <s v="MARAÑON HEAVY EQUIPMENT S.A.C."/>
    <s v="4090340017725"/>
    <x v="75"/>
    <n v="125"/>
    <d v="2025-12-12T00:00:00"/>
    <s v="RECURSO EN ANÁLISIS DE FONDO"/>
    <x v="12"/>
    <x v="0"/>
    <s v="ROBERTO GABRIEL, VERA TUDELA GALLESI"/>
    <m/>
  </r>
  <r>
    <s v="NO"/>
    <s v="RUC"/>
    <s v="20490440462"/>
    <s v="BATERIAS MALDONADO EMPRESA INDIVIDUAL DE RESPONSABILIDAD LIMITADA -  BM E.I.R.L."/>
    <s v="4090340017733"/>
    <x v="75"/>
    <n v="125"/>
    <d v="2025-12-12T00:00:00"/>
    <s v="RECURSO EN ANÁLISIS DE FONDO"/>
    <x v="10"/>
    <x v="1"/>
    <s v="ROBERTO GABRIEL, VERA TUDELA GALLESI"/>
    <m/>
  </r>
  <r>
    <s v="NO"/>
    <s v="RUC"/>
    <s v="20350361210"/>
    <s v="INVERSIONES COFIMAR E.I.R.L."/>
    <s v="4090340017749"/>
    <x v="75"/>
    <n v="125"/>
    <d v="2025-12-12T00:00:00"/>
    <s v="RECURSO EN ANÁLISIS DE FONDO"/>
    <x v="10"/>
    <x v="1"/>
    <s v="ROBERTO GABRIEL, VERA TUDELA GALLESI"/>
    <m/>
  </r>
  <r>
    <s v="NO"/>
    <s v="RUC"/>
    <s v="20350361210"/>
    <s v="INVERSIONES COFIMAR E.I.R.L."/>
    <s v="4090340017751"/>
    <x v="75"/>
    <n v="125"/>
    <d v="2025-12-12T00:00:00"/>
    <s v="RECURSO EN ANÁLISIS DE FONDO"/>
    <x v="10"/>
    <x v="1"/>
    <s v="ROBERTO GABRIEL, VERA TUDELA GALLESI"/>
    <m/>
  </r>
  <r>
    <s v="NO"/>
    <s v="RUC"/>
    <s v="20350361210"/>
    <s v="INVERSIONES COFIMAR E.I.R.L."/>
    <s v="4090340017752"/>
    <x v="75"/>
    <n v="125"/>
    <d v="2025-12-12T00:00:00"/>
    <s v="RECURSO EN ANÁLISIS DE FONDO"/>
    <x v="10"/>
    <x v="1"/>
    <s v="ROBERTO GABRIEL, VERA TUDELA GALLESI"/>
    <m/>
  </r>
  <r>
    <s v="NO"/>
    <s v="RUC"/>
    <s v="20350361210"/>
    <s v="INVERSIONES COFIMAR E.I.R.L."/>
    <s v="4090340017753"/>
    <x v="75"/>
    <n v="125"/>
    <d v="2025-12-12T00:00:00"/>
    <s v="RECURSO EN ANÁLISIS DE FONDO"/>
    <x v="10"/>
    <x v="1"/>
    <s v="ROBERTO GABRIEL, VERA TUDELA GALLESI"/>
    <m/>
  </r>
  <r>
    <s v="NO"/>
    <s v="RUC"/>
    <s v="20350361210"/>
    <s v="INVERSIONES COFIMAR E.I.R.L."/>
    <s v="4090340017755"/>
    <x v="75"/>
    <n v="125"/>
    <d v="2025-12-12T00:00:00"/>
    <s v="RECURSO EN ANÁLISIS DE FONDO"/>
    <x v="10"/>
    <x v="1"/>
    <s v="ROBERTO GABRIEL, VERA TUDELA GALLESI"/>
    <m/>
  </r>
  <r>
    <s v="NO"/>
    <s v="RUC"/>
    <s v="20350361210"/>
    <s v="INVERSIONES COFIMAR E.I.R.L."/>
    <s v="4090340017756"/>
    <x v="75"/>
    <n v="125"/>
    <d v="2025-12-12T00:00:00"/>
    <s v="RECURSO EN ANÁLISIS DE FONDO"/>
    <x v="10"/>
    <x v="1"/>
    <s v="ROBERTO GABRIEL, VERA TUDELA GALLESI"/>
    <m/>
  </r>
  <r>
    <s v="NO"/>
    <s v="RUC"/>
    <s v="20603181795"/>
    <s v="IMPORTACIONES DAVOS SOCIEDAD ANONIMA CERRADA - IMPORTACIONES DAVOS S.A.C."/>
    <s v="4090340017814"/>
    <x v="75"/>
    <n v="125"/>
    <d v="2025-12-12T00:00:00"/>
    <s v="RECURSO EN ANÁLISIS DE FONDO"/>
    <x v="4"/>
    <x v="0"/>
    <s v="ROBERTO GABRIEL, VERA TUDELA GALLESI"/>
    <m/>
  </r>
  <r>
    <s v="NO"/>
    <s v="RUC"/>
    <s v="20611623331"/>
    <s v="KBA FUENTES S.A.C."/>
    <s v="4090340017996"/>
    <x v="75"/>
    <n v="125"/>
    <d v="2025-12-12T00:00:00"/>
    <s v="RECURSO EN ANÁLISIS DE FONDO"/>
    <x v="3"/>
    <x v="1"/>
    <s v="ROBERTO GABRIEL, VERA TUDELA GALLESI"/>
    <m/>
  </r>
  <r>
    <s v="NO"/>
    <s v="RUC"/>
    <s v="20611623331"/>
    <s v="KBA FUENTES S.A.C."/>
    <s v="4090340017998"/>
    <x v="75"/>
    <n v="125"/>
    <d v="2025-12-12T00:00:00"/>
    <s v="RECURSO EN ANÁLISIS DE FONDO"/>
    <x v="3"/>
    <x v="1"/>
    <s v="ROBERTO GABRIEL, VERA TUDELA GALLESI"/>
    <m/>
  </r>
  <r>
    <s v="NO"/>
    <s v="RUC"/>
    <s v="20611623331"/>
    <s v="KBA FUENTES S.A.C."/>
    <s v="4090340017999"/>
    <x v="75"/>
    <n v="125"/>
    <d v="2025-12-12T00:00:00"/>
    <s v="RECURSO EN ANÁLISIS DE FONDO"/>
    <x v="3"/>
    <x v="1"/>
    <s v="ROBERTO GABRIEL, VERA TUDELA GALLESI"/>
    <m/>
  </r>
  <r>
    <s v="NO"/>
    <s v="RUC"/>
    <s v="20611623331"/>
    <s v="KBA FUENTES S.A.C."/>
    <s v="4090340018000"/>
    <x v="75"/>
    <n v="125"/>
    <d v="2025-12-12T00:00:00"/>
    <s v="RECURSO EN ANÁLISIS DE FONDO"/>
    <x v="3"/>
    <x v="1"/>
    <s v="ROBERTO GABRIEL, VERA TUDELA GALLESI"/>
    <m/>
  </r>
  <r>
    <s v="NO"/>
    <s v="RUC"/>
    <s v="20611623331"/>
    <s v="KBA FUENTES S.A.C."/>
    <s v="4090340018001"/>
    <x v="75"/>
    <n v="125"/>
    <d v="2025-12-12T00:00:00"/>
    <s v="RECURSO EN ANÁLISIS DE FONDO"/>
    <x v="3"/>
    <x v="1"/>
    <s v="ROBERTO GABRIEL, VERA TUDELA GALLESI"/>
    <m/>
  </r>
  <r>
    <s v="NO"/>
    <s v="RUC"/>
    <s v="10700667141"/>
    <s v="MENDOZA MORON JEFRY HEINERS"/>
    <s v="4090340017722"/>
    <x v="76"/>
    <n v="125"/>
    <d v="2025-12-15T00:00:00"/>
    <s v="RECURSO EN ANÁLISIS DE FONDO"/>
    <x v="5"/>
    <x v="0"/>
    <s v="ROBERTO GABRIEL, VERA TUDELA GALLESI"/>
    <m/>
  </r>
  <r>
    <s v="NO"/>
    <s v="RUC"/>
    <s v="20350361210"/>
    <s v="INVERSIONES COFIMAR E.I.R.L."/>
    <s v="4090340017746"/>
    <x v="76"/>
    <n v="125"/>
    <d v="2025-12-15T00:00:00"/>
    <s v="RECURSO EN ANÁLISIS DE FONDO"/>
    <x v="10"/>
    <x v="1"/>
    <s v="ROBERTO GABRIEL, VERA TUDELA GALLESI"/>
    <m/>
  </r>
  <r>
    <s v="NO"/>
    <s v="RUC"/>
    <s v="20350361210"/>
    <s v="INVERSIONES COFIMAR E.I.R.L."/>
    <s v="4090340017757"/>
    <x v="76"/>
    <n v="125"/>
    <d v="2025-12-15T00:00:00"/>
    <s v="RECURSO EN ANÁLISIS DE FONDO"/>
    <x v="10"/>
    <x v="1"/>
    <s v="ROBERTO GABRIEL, VERA TUDELA GALLESI"/>
    <m/>
  </r>
  <r>
    <s v="NO"/>
    <s v="RUC"/>
    <s v="20350361210"/>
    <s v="INVERSIONES COFIMAR E.I.R.L."/>
    <s v="4090340017758"/>
    <x v="76"/>
    <n v="125"/>
    <d v="2025-12-15T00:00:00"/>
    <s v="RECURSO EN ANÁLISIS DE FONDO"/>
    <x v="10"/>
    <x v="1"/>
    <s v="ROBERTO GABRIEL, VERA TUDELA GALLESI"/>
    <m/>
  </r>
  <r>
    <s v="NO"/>
    <s v="RUC"/>
    <s v="20350361210"/>
    <s v="INVERSIONES COFIMAR E.I.R.L."/>
    <s v="4090340017759"/>
    <x v="76"/>
    <n v="125"/>
    <d v="2025-12-15T00:00:00"/>
    <s v="RECURSO EN ANÁLISIS DE FONDO"/>
    <x v="10"/>
    <x v="1"/>
    <s v="ROBERTO GABRIEL, VERA TUDELA GALLESI"/>
    <m/>
  </r>
  <r>
    <s v="NO"/>
    <s v="RUC"/>
    <s v="20350361210"/>
    <s v="INVERSIONES COFIMAR E.I.R.L."/>
    <s v="4090340017760"/>
    <x v="76"/>
    <n v="125"/>
    <d v="2025-12-15T00:00:00"/>
    <s v="RECURSO EN ANÁLISIS DE FONDO"/>
    <x v="10"/>
    <x v="1"/>
    <s v="ROBERTO GABRIEL, VERA TUDELA GALLESI"/>
    <m/>
  </r>
  <r>
    <s v="NO"/>
    <s v="RUC"/>
    <s v="20350361210"/>
    <s v="INVERSIONES COFIMAR E.I.R.L."/>
    <s v="4090340017761"/>
    <x v="76"/>
    <n v="125"/>
    <d v="2025-12-15T00:00:00"/>
    <s v="RECURSO EN ANÁLISIS DE FONDO"/>
    <x v="13"/>
    <x v="1"/>
    <s v="ROBERTO GABRIEL, VERA TUDELA GALLESI"/>
    <m/>
  </r>
  <r>
    <s v="NO"/>
    <s v="DNI"/>
    <s v="80312441"/>
    <s v="FERNANDO PABLO ZEGARRA MAGUEÑO"/>
    <s v="4090340017783"/>
    <x v="76"/>
    <n v="125"/>
    <d v="2025-12-15T00:00:00"/>
    <s v="RECURSO EN ANÁLISIS DE FONDO"/>
    <x v="13"/>
    <x v="1"/>
    <s v="ROBERTO GABRIEL, VERA TUDELA GALLESI"/>
    <m/>
  </r>
  <r>
    <s v="NO"/>
    <s v="RUC"/>
    <s v="20522865576"/>
    <s v="LAFAYETTE DEL PERU S.A.C."/>
    <s v="4090340017792"/>
    <x v="76"/>
    <n v="125"/>
    <d v="2025-12-15T00:00:00"/>
    <s v="RECURSO EN ANÁLISIS DE FONDO"/>
    <x v="1"/>
    <x v="0"/>
    <s v="ROBERTO GABRIEL, VERA TUDELA GALLESI"/>
    <m/>
  </r>
  <r>
    <s v="NO"/>
    <s v="RUC"/>
    <s v="20522865576"/>
    <s v="LAFAYETTE DEL PERU S.A.C."/>
    <s v="4090340017794"/>
    <x v="76"/>
    <n v="125"/>
    <d v="2025-12-15T00:00:00"/>
    <s v="RECURSO EN ANÁLISIS DE FONDO"/>
    <x v="1"/>
    <x v="0"/>
    <s v="ROBERTO GABRIEL, VERA TUDELA GALLESI"/>
    <m/>
  </r>
  <r>
    <s v="NO"/>
    <s v="RUC"/>
    <s v="20522865576"/>
    <s v="LAFAYETTE DEL PERU S.A.C."/>
    <s v="4090340017796"/>
    <x v="76"/>
    <n v="125"/>
    <d v="2025-12-15T00:00:00"/>
    <s v="RECURSO EN ANÁLISIS DE FONDO"/>
    <x v="1"/>
    <x v="0"/>
    <s v="ROBERTO GABRIEL, VERA TUDELA GALLESI"/>
    <m/>
  </r>
  <r>
    <s v="NO"/>
    <s v="RUC"/>
    <s v="20522865576"/>
    <s v="LAFAYETTE DEL PERU S.A.C."/>
    <s v="4090340017797"/>
    <x v="76"/>
    <n v="125"/>
    <d v="2025-12-15T00:00:00"/>
    <s v="RECURSO EN ANÁLISIS DE FONDO"/>
    <x v="1"/>
    <x v="0"/>
    <s v="ROBERTO GABRIEL, VERA TUDELA GALLESI"/>
    <m/>
  </r>
  <r>
    <s v="NO"/>
    <s v="RUC"/>
    <s v="10423107770"/>
    <s v="HUAHUASONCCO PARI RENE HERMOGENES"/>
    <s v="4090340017880"/>
    <x v="76"/>
    <n v="125"/>
    <d v="2025-12-15T00:00:00"/>
    <s v="RECURSO EN ANÁLISIS DE FONDO"/>
    <x v="11"/>
    <x v="1"/>
    <s v="ROBERTO GABRIEL, VERA TUDELA GALLESI"/>
    <m/>
  </r>
  <r>
    <s v="NO"/>
    <s v="RUC"/>
    <s v="10423107770"/>
    <s v="HUAHUASONCCO PARI RENE HERMOGENES"/>
    <s v="4090340017881"/>
    <x v="76"/>
    <n v="125"/>
    <d v="2025-12-15T00:00:00"/>
    <s v="RECURSO EN ANÁLISIS DE FONDO"/>
    <x v="13"/>
    <x v="1"/>
    <s v="ROBERTO GABRIEL, VERA TUDELA GALLESI"/>
    <m/>
  </r>
  <r>
    <s v="NO"/>
    <s v="RUC"/>
    <s v="10803124413"/>
    <s v="ZEGARRA MAGUEÑO FERNANDO PABLO"/>
    <s v="4090340018238"/>
    <x v="76"/>
    <n v="125"/>
    <d v="2025-12-15T00:00:00"/>
    <s v="RECURSO EN ANÁLISIS DE FONDO"/>
    <x v="7"/>
    <x v="1"/>
    <s v="ROBERTO GABRIEL, VERA TUDELA GALLESI"/>
    <m/>
  </r>
  <r>
    <s v="NO"/>
    <s v="RUC"/>
    <s v="10803124413"/>
    <s v="ZEGARRA MAGUEÑO FERNANDO PABLO"/>
    <s v="4090340018239"/>
    <x v="76"/>
    <n v="125"/>
    <d v="2025-12-15T00:00:00"/>
    <s v="RECURSO EN ANÁLISIS DE FONDO"/>
    <x v="7"/>
    <x v="1"/>
    <s v="ROBERTO GABRIEL, VERA TUDELA GALLESI"/>
    <m/>
  </r>
  <r>
    <s v="NO"/>
    <s v="RUC"/>
    <s v="20480706987"/>
    <s v="CORPORACION AMAZONAS IMPORT &amp; EXPORT SOCIEDAD ANONIMA CERRADA"/>
    <s v="4090340017824"/>
    <x v="77"/>
    <n v="125"/>
    <d v="2025-12-16T00:00:00"/>
    <s v="RECURSO EN ANÁLISIS DE FONDO"/>
    <x v="6"/>
    <x v="0"/>
    <s v="ROBERTO GABRIEL, VERA TUDELA GALLESI"/>
    <m/>
  </r>
  <r>
    <s v="NO"/>
    <s v="RUC"/>
    <s v="20100127912"/>
    <s v="CARGILL AMERICAS PERU S.R.L."/>
    <s v="4090340017860"/>
    <x v="78"/>
    <n v="125"/>
    <d v="2025-12-17T00:00:00"/>
    <s v="RECURSO EN ANÁLISIS DE FONDO"/>
    <x v="9"/>
    <x v="1"/>
    <s v="ROBERTO GABRIEL, VERA TUDELA GALLESI"/>
    <m/>
  </r>
  <r>
    <s v="NO"/>
    <s v="RUC"/>
    <s v="20536126440"/>
    <s v="MINERA VETA DORADA S.A.C."/>
    <s v="4090340017892"/>
    <x v="78"/>
    <n v="125"/>
    <d v="2025-12-17T00:00:00"/>
    <s v="RECURSO EN ANÁLISIS DE FONDO"/>
    <x v="9"/>
    <x v="1"/>
    <s v="ROBERTO GABRIEL, VERA TUDELA GALLESI"/>
    <m/>
  </r>
  <r>
    <s v="NO"/>
    <s v="RUC"/>
    <s v="10815638358"/>
    <s v="HUAYTALLA MALLMA ALEXANDER FREDY"/>
    <s v="4090340017856"/>
    <x v="79"/>
    <n v="125"/>
    <d v="2025-12-18T00:00:00"/>
    <s v="RECURSO EN ANÁLISIS DE FONDO"/>
    <x v="6"/>
    <x v="0"/>
    <s v="ROBERTO GABRIEL, VERA TUDELA GALLESI"/>
    <m/>
  </r>
  <r>
    <s v="NO"/>
    <s v="RUC"/>
    <s v="20472156251"/>
    <s v="COMERCIAL PONGO E.I.R.L."/>
    <s v="4090340017928"/>
    <x v="79"/>
    <n v="125"/>
    <d v="2025-12-18T00:00:00"/>
    <s v="RECURSO EN ANÁLISIS DE FONDO"/>
    <x v="4"/>
    <x v="0"/>
    <s v="ROBERTO GABRIEL, VERA TUDELA GALLESI"/>
    <m/>
  </r>
  <r>
    <s v="NO"/>
    <s v="RUC"/>
    <s v="20308100317"/>
    <s v="AMERICA SUR INTERNACIONAL S.A.C."/>
    <s v="4090340018015"/>
    <x v="79"/>
    <n v="125"/>
    <d v="2025-12-18T00:00:00"/>
    <s v="RECURSO EN ANÁLISIS DE FONDO"/>
    <x v="0"/>
    <x v="0"/>
    <s v="ROBERTO GABRIEL, VERA TUDELA GALLESI"/>
    <m/>
  </r>
  <r>
    <s v="NO"/>
    <s v="RUC"/>
    <s v="20480706987"/>
    <s v="CORPORACION AMAZONAS IMPORT &amp; EXPORT SOCIEDAD ANONIMA CERRADA"/>
    <s v="4090340018043"/>
    <x v="79"/>
    <n v="125"/>
    <d v="2025-12-18T00:00:00"/>
    <s v="RECURSO EN ANÁLISIS DE FONDO"/>
    <x v="5"/>
    <x v="0"/>
    <s v="ROBERTO GABRIEL, VERA TUDELA GALLESI"/>
    <m/>
  </r>
  <r>
    <s v="NO"/>
    <s v="RUC"/>
    <s v="20537082934"/>
    <s v="GREEN GROUP PE SOCIEDAD ANONIMA CERRADA"/>
    <s v="4090340017924"/>
    <x v="80"/>
    <n v="125"/>
    <d v="2025-12-19T00:00:00"/>
    <s v="RECURSO EN ANÁLISIS DE FONDO"/>
    <x v="0"/>
    <x v="0"/>
    <s v="ROBERTO GABRIEL, VERA TUDELA GALLESI"/>
    <m/>
  </r>
  <r>
    <s v="NO"/>
    <s v="RUC"/>
    <s v="10482209560"/>
    <s v="QUISPE AJALLA LOLA SEGUNDA"/>
    <s v="4090340018024"/>
    <x v="80"/>
    <n v="125"/>
    <d v="2025-12-19T00:00:00"/>
    <s v="RECURSO EN ANÁLISIS DE FONDO"/>
    <x v="11"/>
    <x v="1"/>
    <s v="ROBERTO GABRIEL, VERA TUDELA GALLESI"/>
    <m/>
  </r>
  <r>
    <s v="NO"/>
    <s v="RUC"/>
    <s v="20604582181"/>
    <s v="INVERSIONES YARABAMBA S.A.C."/>
    <s v="4090340018096"/>
    <x v="80"/>
    <n v="125"/>
    <d v="2025-12-19T00:00:00"/>
    <s v="RECURSO EN ANÁLISIS DE FONDO"/>
    <x v="5"/>
    <x v="0"/>
    <s v="ROBERTO GABRIEL, VERA TUDELA GALLESI"/>
    <m/>
  </r>
  <r>
    <s v="NO"/>
    <s v="RUC"/>
    <s v="10482209560"/>
    <s v="QUISPE AJALLA LOLA SEGUNDA"/>
    <s v="4090340018621"/>
    <x v="80"/>
    <n v="125"/>
    <d v="2025-12-19T00:00:00"/>
    <s v="RECURSO EN ANÁLISIS DE FONDO"/>
    <x v="11"/>
    <x v="1"/>
    <s v="ROBERTO GABRIEL, VERA TUDELA GALLESI"/>
    <m/>
  </r>
  <r>
    <s v="NO"/>
    <s v="RUC"/>
    <s v="20521346257"/>
    <s v="CORPORACION MAYKEVIN S.A.C."/>
    <s v="4090340017921"/>
    <x v="81"/>
    <n v="125"/>
    <d v="2025-12-22T00:00:00"/>
    <s v="RECURSO EN ANÁLISIS DE FONDO"/>
    <x v="4"/>
    <x v="0"/>
    <s v="ROBERTO GABRIEL, VERA TUDELA GALLESI"/>
    <m/>
  </r>
  <r>
    <s v="NO"/>
    <s v="RUC"/>
    <s v="20522199495"/>
    <s v="HOUSEMART PERU S.A.C."/>
    <s v="4090340018207"/>
    <x v="81"/>
    <n v="125"/>
    <d v="2025-12-22T00:00:00"/>
    <s v="RECURSO EN ANÁLISIS DE FONDO"/>
    <x v="4"/>
    <x v="0"/>
    <s v="ROBERTO GABRIEL, VERA TUDELA GALLESI"/>
    <m/>
  </r>
  <r>
    <s v="NO"/>
    <s v="RUC"/>
    <s v="10250038963"/>
    <s v="VENTURA NINA LUIS RAPHAEL"/>
    <s v="4090340017967"/>
    <x v="82"/>
    <n v="125"/>
    <d v="2025-12-23T00:00:00"/>
    <s v="RECURSO EN ANÁLISIS DE FONDO"/>
    <x v="6"/>
    <x v="0"/>
    <s v="ROBERTO GABRIEL, VERA TUDELA GALLESI"/>
    <m/>
  </r>
  <r>
    <s v="NO"/>
    <s v="RUC"/>
    <s v="20545234590"/>
    <s v="MAINSTREAM GLOBAL PERU S.A.C."/>
    <s v="4090340018013"/>
    <x v="82"/>
    <n v="125"/>
    <d v="2025-12-23T00:00:00"/>
    <s v="RECURSO EN ANÁLISIS DE FONDO"/>
    <x v="0"/>
    <x v="0"/>
    <s v="ROBERTO GABRIEL, VERA TUDELA GALLESI"/>
    <m/>
  </r>
  <r>
    <s v="NO"/>
    <s v="RUC"/>
    <s v="20606793481"/>
    <s v="IMPORT &amp; EXPORT JUNHONG S.A.C"/>
    <s v="4090340018327"/>
    <x v="82"/>
    <n v="125"/>
    <d v="2025-12-23T00:00:00"/>
    <s v="RECURSO EN ANÁLISIS DE FONDO"/>
    <x v="4"/>
    <x v="0"/>
    <s v="ROBERTO GABRIEL, VERA TUDELA GALLESI"/>
    <m/>
  </r>
  <r>
    <s v="NO"/>
    <s v="RUC"/>
    <s v="10459141249"/>
    <s v="CHACHAQUE PILCO WILBER"/>
    <s v="4090340018161"/>
    <x v="83"/>
    <n v="125"/>
    <d v="2025-12-23T00:00:00"/>
    <s v="RECURSO EN ANÁLISIS DE FONDO"/>
    <x v="7"/>
    <x v="1"/>
    <s v="ROBERTO GABRIEL, VERA TUDELA GALLESI"/>
    <m/>
  </r>
  <r>
    <s v="NO"/>
    <s v="RUC"/>
    <s v="10461451212"/>
    <s v="ROMERO URURI MARGARITA"/>
    <s v="4090340018162"/>
    <x v="83"/>
    <n v="125"/>
    <d v="2025-12-23T00:00:00"/>
    <s v="RECURSO EN ANÁLISIS DE FONDO"/>
    <x v="7"/>
    <x v="1"/>
    <s v="ROBERTO GABRIEL, VERA TUDELA GALLESI"/>
    <m/>
  </r>
  <r>
    <s v="NO"/>
    <s v="RUC"/>
    <s v="20512528458"/>
    <s v="SHALOM EMPRESARIAL S.A.C."/>
    <s v="4090340018016"/>
    <x v="84"/>
    <n v="125"/>
    <d v="2025-12-24T00:00:00"/>
    <s v="RECURSO EN ANÁLISIS DE FONDO"/>
    <x v="11"/>
    <x v="1"/>
    <s v="ROBERTO GABRIEL, VERA TUDELA GALLESI"/>
    <m/>
  </r>
  <r>
    <s v="NO"/>
    <s v="RUC"/>
    <s v="10429379968"/>
    <s v="MARTINEZ HIDROGO ELMER AINES"/>
    <s v="4090340018022"/>
    <x v="84"/>
    <n v="125"/>
    <d v="2025-12-24T00:00:00"/>
    <s v="RECURSO EN ANÁLISIS DE FONDO"/>
    <x v="12"/>
    <x v="0"/>
    <s v="ROBERTO GABRIEL, VERA TUDELA GALLESI"/>
    <m/>
  </r>
  <r>
    <s v="NO"/>
    <s v="RUC"/>
    <s v="20512528458"/>
    <s v="SHALOM EMPRESARIAL S.A.C."/>
    <s v="4090340018049"/>
    <x v="84"/>
    <n v="125"/>
    <d v="2025-12-24T00:00:00"/>
    <s v="RECURSO EN ANÁLISIS DE FONDO"/>
    <x v="13"/>
    <x v="1"/>
    <s v="ROBERTO GABRIEL, VERA TUDELA GALLESI"/>
    <m/>
  </r>
  <r>
    <s v="NO"/>
    <s v="RUC"/>
    <s v="10459141249"/>
    <s v="CHACHAQUE PILCO WILBER"/>
    <s v="4090340018668"/>
    <x v="84"/>
    <n v="125"/>
    <d v="2025-12-24T00:00:00"/>
    <s v="RECURSO EN ANÁLISIS DE FONDO"/>
    <x v="7"/>
    <x v="1"/>
    <s v="ROBERTO GABRIEL, VERA TUDELA GALLESI"/>
    <m/>
  </r>
  <r>
    <s v="NO"/>
    <s v="RUC"/>
    <s v="10438627401"/>
    <s v="QUEVEDO CASTILLO GLEIDI MARIELA"/>
    <s v="4090340018058"/>
    <x v="85"/>
    <n v="125"/>
    <d v="2025-12-26T00:00:00"/>
    <s v="RECURSO EN ANÁLISIS DE FONDO"/>
    <x v="6"/>
    <x v="0"/>
    <s v="ROBERTO GABRIEL, VERA TUDELA GALLESI"/>
    <m/>
  </r>
  <r>
    <s v="NO"/>
    <s v="RUC"/>
    <s v="20608323725"/>
    <s v="DASIN PERU S.A.C."/>
    <s v="4090340018093"/>
    <x v="85"/>
    <n v="125"/>
    <d v="2025-12-26T00:00:00"/>
    <s v="RECURSO EN ANÁLISIS DE FONDO"/>
    <x v="4"/>
    <x v="0"/>
    <s v="ROBERTO GABRIEL, VERA TUDELA GALLESI"/>
    <m/>
  </r>
  <r>
    <s v="NO"/>
    <s v="RUC"/>
    <s v="20604180229"/>
    <s v="MADERACRE TIMBER S.A.C."/>
    <s v="4090340018101"/>
    <x v="85"/>
    <n v="125"/>
    <d v="2025-12-26T00:00:00"/>
    <s v="RECURSO EN ANÁLISIS DE FONDO"/>
    <x v="10"/>
    <x v="1"/>
    <s v="ROBERTO GABRIEL, VERA TUDELA GALLESI"/>
    <m/>
  </r>
  <r>
    <s v="NO"/>
    <s v="RUC"/>
    <s v="20604180229"/>
    <s v="MADERACRE TIMBER S.A.C."/>
    <s v="4090340018103"/>
    <x v="85"/>
    <n v="125"/>
    <d v="2025-12-26T00:00:00"/>
    <s v="RECURSO EN ANÁLISIS DE FONDO"/>
    <x v="10"/>
    <x v="1"/>
    <s v="ROBERTO GABRIEL, VERA TUDELA GALLESI"/>
    <m/>
  </r>
  <r>
    <s v="NO"/>
    <s v="RUC"/>
    <s v="20604180229"/>
    <s v="MADERACRE TIMBER S.A.C."/>
    <s v="4090340018105"/>
    <x v="85"/>
    <n v="125"/>
    <d v="2025-12-26T00:00:00"/>
    <s v="RECURSO EN ANÁLISIS DE FONDO"/>
    <x v="10"/>
    <x v="1"/>
    <s v="ROBERTO GABRIEL, VERA TUDELA GALLESI"/>
    <m/>
  </r>
  <r>
    <s v="NO"/>
    <s v="RUC"/>
    <s v="20604180229"/>
    <s v="MADERACRE TIMBER S.A.C."/>
    <s v="4090340018107"/>
    <x v="85"/>
    <n v="125"/>
    <d v="2025-12-26T00:00:00"/>
    <s v="RECURSO EN ANÁLISIS DE FONDO"/>
    <x v="10"/>
    <x v="1"/>
    <s v="ROBERTO GABRIEL, VERA TUDELA GALLESI"/>
    <m/>
  </r>
  <r>
    <s v="NO"/>
    <s v="RUC"/>
    <s v="20604180229"/>
    <s v="MADERACRE TIMBER S.A.C."/>
    <s v="4090340018108"/>
    <x v="85"/>
    <n v="125"/>
    <d v="2025-12-26T00:00:00"/>
    <s v="RECURSO EN ANÁLISIS DE FONDO"/>
    <x v="10"/>
    <x v="1"/>
    <s v="ROBERTO GABRIEL, VERA TUDELA GALLESI"/>
    <m/>
  </r>
  <r>
    <s v="NO"/>
    <s v="RUC"/>
    <s v="20604180229"/>
    <s v="MADERACRE TIMBER S.A.C."/>
    <s v="4090340018120"/>
    <x v="85"/>
    <n v="125"/>
    <d v="2025-12-26T00:00:00"/>
    <s v="RECURSO EN ANÁLISIS DE FONDO"/>
    <x v="10"/>
    <x v="1"/>
    <s v="ROBERTO GABRIEL, VERA TUDELA GALLESI"/>
    <m/>
  </r>
  <r>
    <s v="NO"/>
    <s v="RUC"/>
    <s v="20454254105"/>
    <s v="EMPRESA DE TRANSPORTE Y TURISMO WAYRA SOCIEDAD ANONIMA CERRADA - TRANSPORTE WAYRA S.A.C."/>
    <s v="4090340018208"/>
    <x v="85"/>
    <n v="125"/>
    <d v="2025-12-26T00:00:00"/>
    <s v="RECURSO EN ANÁLISIS DE FONDO"/>
    <x v="7"/>
    <x v="1"/>
    <s v="ROBERTO GABRIEL, VERA TUDELA GALLESI"/>
    <m/>
  </r>
  <r>
    <s v="NO"/>
    <s v="RUC"/>
    <s v="10438627401"/>
    <s v="QUEVEDO CASTILLO GLEIDI MARIELA"/>
    <s v="4090340018244"/>
    <x v="85"/>
    <n v="125"/>
    <d v="2025-12-26T00:00:00"/>
    <s v="RECURSO EN ANÁLISIS DE FONDO"/>
    <x v="6"/>
    <x v="0"/>
    <s v="ROBERTO GABRIEL, VERA TUDELA GALLESI"/>
    <m/>
  </r>
  <r>
    <s v="NO"/>
    <s v="RUC"/>
    <s v="20608563343"/>
    <s v="RIVERTOP TEXTIL S.A.C."/>
    <s v="4090340018320"/>
    <x v="85"/>
    <n v="125"/>
    <d v="2025-12-26T00:00:00"/>
    <s v="RECURSO EN ANÁLISIS DE FONDO"/>
    <x v="4"/>
    <x v="0"/>
    <s v="ROBERTO GABRIEL, VERA TUDELA GALLESI"/>
    <m/>
  </r>
  <r>
    <s v="NO"/>
    <s v="RUC"/>
    <s v="20454254105"/>
    <s v="EMPRESA DE TRANSPORTE Y TURISMO WAYRA SOCIEDAD ANONIMA CERRADA - TRANSPORTE WAYRA S.A.C."/>
    <s v="4090340018371"/>
    <x v="85"/>
    <n v="125"/>
    <d v="2025-12-26T00:00:00"/>
    <s v="RECURSO EN ANÁLISIS DE FONDO"/>
    <x v="7"/>
    <x v="1"/>
    <s v="ROBERTO GABRIEL, VERA TUDELA GALLESI"/>
    <m/>
  </r>
  <r>
    <s v="NO"/>
    <s v="RUC"/>
    <s v="10411058692"/>
    <s v="PEREZ CASTILLO JOSE SAULO"/>
    <s v="4090340018100"/>
    <x v="86"/>
    <n v="125"/>
    <d v="2025-12-29T00:00:00"/>
    <s v="RECURSO EN ANÁLISIS DE FONDO"/>
    <x v="12"/>
    <x v="0"/>
    <s v="ROBERTO GABRIEL, VERA TUDELA GALLESI"/>
    <m/>
  </r>
  <r>
    <s v="NO"/>
    <s v="RUC"/>
    <s v="10308363029"/>
    <s v="TICONA GOMEZ MIGUEL ANGEL"/>
    <s v="4090340018202"/>
    <x v="86"/>
    <n v="125"/>
    <d v="2025-12-29T00:00:00"/>
    <s v="RECURSO EN ANÁLISIS DE FONDO"/>
    <x v="7"/>
    <x v="1"/>
    <s v="ROBERTO GABRIEL, VERA TUDELA GALLESI"/>
    <m/>
  </r>
  <r>
    <s v="NO"/>
    <s v="RUC"/>
    <s v="20507969811"/>
    <s v="LA SEMILLA DE ORO S.A.C."/>
    <s v="4090340018146"/>
    <x v="87"/>
    <n v="125"/>
    <d v="2025-12-30T00:00:00"/>
    <s v="RECURSO EN ANÁLISIS DE FONDO"/>
    <x v="9"/>
    <x v="1"/>
    <s v="ROBERTO GABRIEL, VERA TUDELA GALLESI"/>
    <m/>
  </r>
  <r>
    <s v="NO"/>
    <s v="RUC"/>
    <s v="20602195750"/>
    <s v="MODA MILENIUM EMPRESA INDIVIDUAL DE RESPONSABILIDAD LIMITADA"/>
    <s v="4090340018149"/>
    <x v="87"/>
    <n v="125"/>
    <d v="2025-12-30T00:00:00"/>
    <s v="RECURSO EN ANÁLISIS DE FONDO"/>
    <x v="9"/>
    <x v="1"/>
    <s v="ROBERTO GABRIEL, VERA TUDELA GALLESI"/>
    <m/>
  </r>
  <r>
    <s v="NO"/>
    <s v="RUC"/>
    <s v="20601311781"/>
    <s v="RICBEL F.H. LOGISTICA S.A."/>
    <s v="4090340018154"/>
    <x v="87"/>
    <n v="125"/>
    <d v="2025-12-30T00:00:00"/>
    <s v="RECURSO EN ANÁLISIS DE FONDO"/>
    <x v="4"/>
    <x v="0"/>
    <s v="ROBERTO GABRIEL, VERA TUDELA GALLESI"/>
    <m/>
  </r>
  <r>
    <s v="NO"/>
    <s v="RUC"/>
    <s v="20350361210"/>
    <s v="INVERSIONES COFIMAR E.I.R.L."/>
    <s v="4090340018169"/>
    <x v="87"/>
    <n v="125"/>
    <d v="2025-12-30T00:00:00"/>
    <s v="RECURSO EN ANÁLISIS DE FONDO"/>
    <x v="10"/>
    <x v="1"/>
    <s v="ROBERTO GABRIEL, VERA TUDELA GALLESI"/>
    <m/>
  </r>
  <r>
    <s v="NO"/>
    <s v="RUC"/>
    <s v="20418896753"/>
    <s v="MAXIMILIAN INVERSIONES S.A."/>
    <s v="4090340018178"/>
    <x v="87"/>
    <n v="125"/>
    <d v="2025-12-30T00:00:00"/>
    <s v="RECURSO EN ANÁLISIS DE FONDO"/>
    <x v="9"/>
    <x v="1"/>
    <s v="ROBERTO GABRIEL, VERA TUDELA GALLESI"/>
    <m/>
  </r>
  <r>
    <s v="NO"/>
    <s v="RUC"/>
    <s v="20418896753"/>
    <s v="MAXIMILIAN INVERSIONES S.A."/>
    <s v="4090340018181"/>
    <x v="87"/>
    <n v="125"/>
    <d v="2025-12-30T00:00:00"/>
    <s v="RECURSO EN ANÁLISIS DE FONDO"/>
    <x v="9"/>
    <x v="1"/>
    <s v="ROBERTO GABRIEL, VERA TUDELA GALLESI"/>
    <m/>
  </r>
  <r>
    <s v="NO"/>
    <s v="RUC"/>
    <s v="20418896753"/>
    <s v="MAXIMILIAN INVERSIONES S.A."/>
    <s v="4090340018182"/>
    <x v="87"/>
    <n v="125"/>
    <d v="2025-12-30T00:00:00"/>
    <s v="RECURSO EN ANÁLISIS DE FONDO"/>
    <x v="9"/>
    <x v="1"/>
    <s v="ROBERTO GABRIEL, VERA TUDELA GALLESI"/>
    <m/>
  </r>
  <r>
    <s v="NO"/>
    <s v="RUC"/>
    <s v="20418896753"/>
    <s v="MAXIMILIAN INVERSIONES S.A."/>
    <s v="4090340018183"/>
    <x v="87"/>
    <n v="125"/>
    <d v="2025-12-30T00:00:00"/>
    <s v="RECURSO EN ANÁLISIS DE FONDO"/>
    <x v="9"/>
    <x v="1"/>
    <s v="ROBERTO GABRIEL, VERA TUDELA GALLESI"/>
    <m/>
  </r>
  <r>
    <s v="NO"/>
    <s v="RUC"/>
    <s v="20507646051"/>
    <s v="TERMINALES PORTUARIOS PERUANOS SAC"/>
    <s v="4090340018195"/>
    <x v="87"/>
    <n v="125"/>
    <d v="2025-12-30T00:00:00"/>
    <s v="RECURSO EN ANÁLISIS DE FONDO"/>
    <x v="7"/>
    <x v="1"/>
    <s v="ROBERTO GABRIEL, VERA TUDELA GALLESI"/>
    <m/>
  </r>
  <r>
    <s v="NO"/>
    <s v="RUC"/>
    <s v="20607788406"/>
    <s v="D´DARIEMS INTERNATIONAL S.A.C."/>
    <s v="4090340018315"/>
    <x v="87"/>
    <n v="125"/>
    <d v="2025-12-30T00:00:00"/>
    <s v="RECURSO EN ANÁLISIS DE FONDO"/>
    <x v="4"/>
    <x v="0"/>
    <s v="ROBERTO GABRIEL, VERA TUDELA GALLESI"/>
    <m/>
  </r>
  <r>
    <s v="NO"/>
    <s v="RUC"/>
    <s v="10404375178"/>
    <s v="NARVAEZ ORTECHO OMAR IVAN"/>
    <s v="4090340018369"/>
    <x v="87"/>
    <n v="125"/>
    <d v="2025-12-30T00:00:00"/>
    <s v="RECURSO EN ANÁLISIS DE FONDO"/>
    <x v="0"/>
    <x v="0"/>
    <s v="ROBERTO GABRIEL, VERA TUDELA GALLESI"/>
    <m/>
  </r>
  <r>
    <s v="NO"/>
    <s v="RUC"/>
    <s v="20602195750"/>
    <s v="MODA MILENIUM EMPRESA INDIVIDUAL DE RESPONSABILIDAD LIMITADA"/>
    <s v="4090340018913"/>
    <x v="87"/>
    <n v="125"/>
    <d v="2025-12-30T00:00:00"/>
    <s v="RECURSO EN ANÁLISIS DE FONDO"/>
    <x v="9"/>
    <x v="1"/>
    <s v="ROBERTO GABRIEL, VERA TUDELA GALLESI"/>
    <m/>
  </r>
  <r>
    <s v="NO"/>
    <s v="RUC"/>
    <s v="10429379968"/>
    <s v="MARTINEZ HIDROGO ELMER AINES"/>
    <s v="4090340018187"/>
    <x v="88"/>
    <n v="125"/>
    <d v="2025-12-31T00:00:00"/>
    <s v="RECURSO EN ANÁLISIS DE FONDO"/>
    <x v="12"/>
    <x v="0"/>
    <s v="ROBERTO GABRIEL, VERA TUDELA GALLESI"/>
    <m/>
  </r>
  <r>
    <s v="NO"/>
    <s v="RUC"/>
    <s v="10727179637"/>
    <s v="TTUPA VALDEZ NEFALY"/>
    <s v="4090340018197"/>
    <x v="88"/>
    <n v="125"/>
    <d v="2025-12-31T00:00:00"/>
    <s v="RECURSO EN ANÁLISIS DE FONDO"/>
    <x v="11"/>
    <x v="1"/>
    <s v="ROBERTO GABRIEL, VERA TUDELA GALLESI"/>
    <m/>
  </r>
  <r>
    <s v="NO"/>
    <s v="RUC"/>
    <s v="10327327491"/>
    <s v="AZNARAN CABALLERO ANGEL ANTONIO"/>
    <s v="4090340018245"/>
    <x v="88"/>
    <n v="125"/>
    <d v="2025-12-31T00:00:00"/>
    <s v="RECURSO EN ANÁLISIS DE FONDO"/>
    <x v="6"/>
    <x v="0"/>
    <s v="ROBERTO GABRIEL, VERA TUDELA GALLESI"/>
    <m/>
  </r>
  <r>
    <s v="NO"/>
    <s v="RUC"/>
    <s v="20607788406"/>
    <s v="D´DARIEMS INTERNATIONAL S.A.C."/>
    <s v="4090340018452"/>
    <x v="88"/>
    <n v="125"/>
    <d v="2025-12-31T00:00:00"/>
    <s v="RECURSO EN ANÁLISIS DE FONDO"/>
    <x v="4"/>
    <x v="0"/>
    <s v="ROBERTO GABRIEL, VERA TUDELA GALLESI"/>
    <m/>
  </r>
  <r>
    <s v="NO"/>
    <s v="RUC"/>
    <s v="10727179637"/>
    <s v="TTUPA VALDEZ NEFALY"/>
    <s v="4090340018568"/>
    <x v="88"/>
    <n v="125"/>
    <d v="2025-12-31T00:00:00"/>
    <s v="RECURSO EN ANÁLISIS DE FONDO"/>
    <x v="11"/>
    <x v="1"/>
    <s v="ROBERTO GABRIEL, VERA TUDELA GALLESI"/>
    <m/>
  </r>
  <r>
    <s v="NO"/>
    <s v="RUC"/>
    <s v="10410721347"/>
    <s v="LIVIAPOMA SANTOS KARINA INGRID"/>
    <s v="4090340018215"/>
    <x v="89"/>
    <n v="125"/>
    <d v="2026-01-01T00:00:00"/>
    <s v="RECURSO EN ANÁLISIS DE FONDO"/>
    <x v="5"/>
    <x v="0"/>
    <s v="ROBERTO GABRIEL, VERA TUDELA GALLESI"/>
    <m/>
  </r>
  <r>
    <s v="NO"/>
    <s v="RUC"/>
    <s v="20608435914"/>
    <s v="BIOLAB SCIENTIFIC E.I.R.L."/>
    <s v="4090340018222"/>
    <x v="89"/>
    <n v="125"/>
    <d v="2026-01-01T00:00:00"/>
    <s v="RECURSO EN ANÁLISIS DE FONDO"/>
    <x v="0"/>
    <x v="0"/>
    <s v="ROBERTO GABRIEL, VERA TUDELA GALLESI"/>
    <m/>
  </r>
  <r>
    <s v="NO"/>
    <s v="RUC"/>
    <s v="20602272151"/>
    <s v="DREYCOM ELECTRONIC'S S.A.C."/>
    <s v="4090340018226"/>
    <x v="89"/>
    <n v="125"/>
    <d v="2026-01-01T00:00:00"/>
    <s v="RECURSO EN ANÁLISIS DE FONDO"/>
    <x v="4"/>
    <x v="0"/>
    <s v="ROBERTO GABRIEL, VERA TUDELA GALLESI"/>
    <m/>
  </r>
  <r>
    <s v="NO"/>
    <s v="RUC"/>
    <s v="10411058692"/>
    <s v="PEREZ CASTILLO JOSE SAULO"/>
    <s v="4090340018230"/>
    <x v="89"/>
    <n v="125"/>
    <d v="2026-01-01T00:00:00"/>
    <s v="RECURSO EN ANÁLISIS DE FONDO"/>
    <x v="12"/>
    <x v="0"/>
    <s v="ROBERTO GABRIEL, VERA TUDELA GALLESI"/>
    <m/>
  </r>
  <r>
    <s v="NO"/>
    <s v="CI"/>
    <s v="112846182"/>
    <s v="Jaque Castro Eduardo Alejandro"/>
    <s v="4090340018246"/>
    <x v="89"/>
    <n v="125"/>
    <d v="2026-01-01T00:00:00"/>
    <s v="RECURSO EN ANÁLISIS DE FONDO"/>
    <x v="3"/>
    <x v="1"/>
    <s v="ROBERTO GABRIEL, VERA TUDELA GALLESI"/>
    <m/>
  </r>
  <r>
    <s v="NO"/>
    <s v="CI"/>
    <s v="112846182"/>
    <s v="JAQUE CASTRO EDUARDO ALEJANDRO"/>
    <s v="4090340018248"/>
    <x v="89"/>
    <n v="125"/>
    <d v="2026-01-01T00:00:00"/>
    <s v="RECURSO EN ANÁLISIS DE FONDO"/>
    <x v="10"/>
    <x v="1"/>
    <s v="ROBERTO GABRIEL, VERA TUDELA GALLESI"/>
    <m/>
  </r>
  <r>
    <s v="NO"/>
    <s v="RUC"/>
    <s v="20604180229"/>
    <s v="MADERACRE TIMBER S.A.C."/>
    <s v="4090340018278"/>
    <x v="89"/>
    <n v="125"/>
    <d v="2026-01-01T00:00:00"/>
    <s v="RECURSO EN ANÁLISIS DE FONDO"/>
    <x v="10"/>
    <x v="1"/>
    <s v="ROBERTO GABRIEL, VERA TUDELA GALLESI"/>
    <m/>
  </r>
  <r>
    <s v="NO"/>
    <s v="RUC"/>
    <s v="20286155317"/>
    <s v="JULSA ANGELES TOURS S.A.C."/>
    <s v="4090340018311"/>
    <x v="89"/>
    <n v="125"/>
    <d v="2026-01-01T00:00:00"/>
    <s v="RECURSO EN ANÁLISIS DE FONDO"/>
    <x v="13"/>
    <x v="1"/>
    <s v="ROBERTO GABRIEL, VERA TUDELA GALLESI"/>
    <m/>
  </r>
  <r>
    <s v="NO"/>
    <s v="RUC"/>
    <s v="10480427152"/>
    <s v="CAMPOS REATEGUI THALIA TAISY"/>
    <s v="4090340018381"/>
    <x v="89"/>
    <n v="125"/>
    <d v="2026-01-01T00:00:00"/>
    <s v="RECURSO EN ANÁLISIS DE FONDO"/>
    <x v="11"/>
    <x v="1"/>
    <s v="ROBERTO GABRIEL, VERA TUDELA GALLESI"/>
    <m/>
  </r>
  <r>
    <s v="NO"/>
    <s v="RUC"/>
    <s v="20606793481"/>
    <s v="IMPORT &amp; EXPORT JUNHONG S.A.C"/>
    <s v="4090340018388"/>
    <x v="89"/>
    <n v="125"/>
    <d v="2026-01-01T00:00:00"/>
    <s v="RECURSO EN ANÁLISIS DE FONDO"/>
    <x v="4"/>
    <x v="0"/>
    <s v="ROBERTO GABRIEL, VERA TUDELA GALLESI"/>
    <m/>
  </r>
  <r>
    <s v="NO"/>
    <s v="RUC"/>
    <s v="20610756566"/>
    <s v="INTERNATIONAL ENERGY SERVICES SOUTH AMERICA CO. LTD SUCURSAL PERU"/>
    <s v="4090340018475"/>
    <x v="89"/>
    <n v="125"/>
    <d v="2026-01-01T00:00:00"/>
    <s v="RECURSO EN ANÁLISIS DE FONDO"/>
    <x v="4"/>
    <x v="0"/>
    <s v="ROBERTO GABRIEL, VERA TUDELA GALLESI"/>
    <m/>
  </r>
  <r>
    <s v="NO"/>
    <s v="RUC"/>
    <s v="10084467630"/>
    <s v="AGUIRRE VERAMENDI DE BARROS EMERITTA"/>
    <s v="4090340018553"/>
    <x v="89"/>
    <n v="125"/>
    <d v="2026-01-01T00:00:00"/>
    <s v="RECURSO EN ANÁLISIS DE FONDO"/>
    <x v="6"/>
    <x v="0"/>
    <s v="ROBERTO GABRIEL, VERA TUDELA GALLESI"/>
    <m/>
  </r>
  <r>
    <s v="NO"/>
    <s v="RUC"/>
    <s v="20503650186"/>
    <s v="SPECTRUM INGENIEROS SOCIEDAD ANONIMA CERRADA"/>
    <s v="4090340018283"/>
    <x v="90"/>
    <n v="125"/>
    <d v="2026-01-02T00:00:00"/>
    <s v="RECURSO EN ANÁLISIS DE FONDO"/>
    <x v="1"/>
    <x v="0"/>
    <s v="ROBERTO GABRIEL, VERA TUDELA GALLESI"/>
    <m/>
  </r>
  <r>
    <s v="NO"/>
    <s v="RUC"/>
    <s v="10426738851"/>
    <s v="GUILLEN ESPINOZA JUDITH BELINDA"/>
    <s v="4090340018338"/>
    <x v="90"/>
    <n v="125"/>
    <d v="2026-01-02T00:00:00"/>
    <s v="RECURSO EN ANÁLISIS DE FONDO"/>
    <x v="0"/>
    <x v="0"/>
    <s v="ROBERTO GABRIEL, VERA TUDELA GALLESI"/>
    <m/>
  </r>
  <r>
    <s v="NO"/>
    <s v="RUC"/>
    <s v="20503650186"/>
    <s v="SPECTRUM INGENIEROS SOCIEDAD ANONIMA CERRADA"/>
    <s v="4090340019484"/>
    <x v="90"/>
    <n v="125"/>
    <d v="2026-01-02T00:00:00"/>
    <s v="RECURSO EN ANÁLISIS DE FONDO"/>
    <x v="1"/>
    <x v="0"/>
    <s v="ROBERTO GABRIEL, VERA TUDELA GALLESI"/>
    <m/>
  </r>
  <r>
    <s v="NO"/>
    <s v="RUC"/>
    <s v="20393063956"/>
    <s v="INDUSTRIAS TRICAR S.A.C."/>
    <s v="4090340018295"/>
    <x v="91"/>
    <n v="125"/>
    <d v="2026-01-05T00:00:00"/>
    <s v="RECURSO EN ANÁLISIS DE FONDO"/>
    <x v="12"/>
    <x v="0"/>
    <s v="ROBERTO GABRIEL, VERA TUDELA GALLESI"/>
    <m/>
  </r>
  <r>
    <s v="NO"/>
    <s v="RUC"/>
    <s v="20393063956"/>
    <s v="INDUSTRIAS TRICAR S.A.C."/>
    <s v="4090340018316"/>
    <x v="91"/>
    <n v="125"/>
    <d v="2026-01-05T00:00:00"/>
    <s v="RECURSO EN ANÁLISIS DE FONDO"/>
    <x v="12"/>
    <x v="0"/>
    <s v="ROBERTO GABRIEL, VERA TUDELA GALLESI"/>
    <m/>
  </r>
  <r>
    <s v="NO"/>
    <s v="RUC"/>
    <s v="10282979395"/>
    <s v="LOPEZ MANTILLA TITO"/>
    <s v="4090340018379"/>
    <x v="91"/>
    <n v="125"/>
    <d v="2026-01-05T00:00:00"/>
    <s v="RECURSO EN ANÁLISIS DE FONDO"/>
    <x v="11"/>
    <x v="1"/>
    <s v="ROBERTO GABRIEL, VERA TUDELA GALLESI"/>
    <m/>
  </r>
  <r>
    <s v="NO"/>
    <s v="RUC"/>
    <s v="10411458909"/>
    <s v="BARBA CRESPO JULIO CESAR"/>
    <s v="4090340018401"/>
    <x v="91"/>
    <n v="125"/>
    <d v="2026-01-05T00:00:00"/>
    <s v="RECURSO EN ANÁLISIS DE FONDO"/>
    <x v="5"/>
    <x v="0"/>
    <s v="ROBERTO GABRIEL, VERA TUDELA GALLESI"/>
    <m/>
  </r>
  <r>
    <s v="NO"/>
    <s v="RUC"/>
    <s v="10108660819"/>
    <s v="MOURRE RIVAS JEAN PIERRE"/>
    <s v="4090340018343"/>
    <x v="92"/>
    <n v="125"/>
    <d v="2026-01-06T00:00:00"/>
    <s v="RECURSO EN ANÁLISIS DE FONDO"/>
    <x v="0"/>
    <x v="0"/>
    <s v="ROBERTO GABRIEL, VERA TUDELA GALLESI"/>
    <m/>
  </r>
  <r>
    <s v="NO"/>
    <s v="RUC"/>
    <s v="20601260345"/>
    <s v="PACHACUTECH INDUSTRIAL E.I.R.L."/>
    <s v="4090340018349"/>
    <x v="92"/>
    <n v="125"/>
    <d v="2026-01-06T00:00:00"/>
    <s v="RECURSO EN ANÁLISIS DE FONDO"/>
    <x v="4"/>
    <x v="0"/>
    <s v="ROBERTO GABRIEL, VERA TUDELA GALLESI"/>
    <m/>
  </r>
  <r>
    <s v="NO"/>
    <s v="RUC"/>
    <s v="10472359687"/>
    <s v="MAMANI RAMOS BANEZA ROXANA"/>
    <s v="4090340018380"/>
    <x v="93"/>
    <n v="125"/>
    <d v="2026-01-07T00:00:00"/>
    <s v="RECURSO EN ANÁLISIS DE FONDO"/>
    <x v="5"/>
    <x v="0"/>
    <s v="ROBERTO GABRIEL, VERA TUDELA GALLESI"/>
    <m/>
  </r>
  <r>
    <s v="NO"/>
    <s v="RUC"/>
    <s v="20381034071"/>
    <s v="NOVOPAN PERU S.A.C."/>
    <s v="4090340018390"/>
    <x v="93"/>
    <n v="125"/>
    <d v="2026-01-07T00:00:00"/>
    <s v="RECURSO EN ANÁLISIS DE FONDO"/>
    <x v="13"/>
    <x v="1"/>
    <s v="ROBERTO GABRIEL, VERA TUDELA GALLESI"/>
    <m/>
  </r>
  <r>
    <s v="NO"/>
    <s v="RUC"/>
    <s v="20257364357"/>
    <s v="MOLINOS &amp; CIA S.A."/>
    <s v="4090340018391"/>
    <x v="93"/>
    <n v="125"/>
    <d v="2026-01-07T00:00:00"/>
    <s v="RECURSO EN ANÁLISIS DE FONDO"/>
    <x v="7"/>
    <x v="1"/>
    <s v="ROBERTO GABRIEL, VERA TUDELA GALLESI"/>
    <m/>
  </r>
  <r>
    <s v="NO"/>
    <s v="RUC"/>
    <s v="10471458053"/>
    <s v="LAZO CAHUI NATALI YAMILA"/>
    <s v="4090340018414"/>
    <x v="93"/>
    <n v="125"/>
    <d v="2026-01-07T00:00:00"/>
    <s v="RECURSO EN ANÁLISIS DE FONDO"/>
    <x v="1"/>
    <x v="0"/>
    <s v="ROBERTO GABRIEL, VERA TUDELA GALLESI"/>
    <m/>
  </r>
  <r>
    <s v="NO"/>
    <s v="RUC"/>
    <s v="10000939914"/>
    <s v="SALDAÑA GARCIA PABLO"/>
    <s v="4090340018587"/>
    <x v="94"/>
    <n v="125"/>
    <d v="2026-01-07T00:00:00"/>
    <s v="RECURSO EN ANÁLISIS DE FONDO"/>
    <x v="6"/>
    <x v="0"/>
    <s v="ROBERTO GABRIEL, VERA TUDELA GALLESI"/>
    <m/>
  </r>
  <r>
    <s v="NO"/>
    <s v="RUC"/>
    <s v="20601311781"/>
    <s v="RICBEL F.H. LOGISTICA S.A."/>
    <s v="4090340018413"/>
    <x v="95"/>
    <n v="125"/>
    <d v="2026-01-08T00:00:00"/>
    <s v="RECURSO EN ANÁLISIS DE FONDO"/>
    <x v="4"/>
    <x v="0"/>
    <s v="ROBERTO GABRIEL, VERA TUDELA GALLESI"/>
    <m/>
  </r>
  <r>
    <s v="NO"/>
    <s v="RUC"/>
    <s v="10000939914"/>
    <s v="SALDAÑA GARCIA PABLO"/>
    <s v="4090340018754"/>
    <x v="95"/>
    <n v="125"/>
    <d v="2026-01-08T00:00:00"/>
    <s v="RECURSO EN ANÁLISIS DE FONDO"/>
    <x v="6"/>
    <x v="0"/>
    <s v="ROBERTO GABRIEL, VERA TUDELA GALLESI"/>
    <m/>
  </r>
  <r>
    <s v="NO"/>
    <s v="RUC"/>
    <s v="10424737050"/>
    <s v="CHARA APAZA MARITZA"/>
    <s v="4090340018418"/>
    <x v="96"/>
    <n v="125"/>
    <d v="2026-01-09T00:00:00"/>
    <s v="RECURSO EN ANÁLISIS DE FONDO"/>
    <x v="3"/>
    <x v="1"/>
    <s v="ROBERTO GABRIEL, VERA TUDELA GALLESI"/>
    <m/>
  </r>
  <r>
    <s v="NO"/>
    <s v="RUC"/>
    <s v="20601833621"/>
    <s v="MAQTRUCK S.A.C."/>
    <s v="4090340018432"/>
    <x v="96"/>
    <n v="125"/>
    <d v="2026-01-09T00:00:00"/>
    <s v="RECURSO EN ANÁLISIS DE FONDO"/>
    <x v="12"/>
    <x v="0"/>
    <s v="ROBERTO GABRIEL, VERA TUDELA GALLESI"/>
    <m/>
  </r>
  <r>
    <s v="SI"/>
    <s v="RUC"/>
    <s v="20100027021"/>
    <s v="UNIMAQ S.A."/>
    <s v="4090340018442"/>
    <x v="96"/>
    <n v="60"/>
    <d v="2025-10-06T00:00:00"/>
    <s v="RECURSO EN ANÁLISIS DE FONDO"/>
    <x v="6"/>
    <x v="0"/>
    <s v="ROBERTO GABRIEL, VERA TUDELA GALLESI"/>
    <m/>
  </r>
  <r>
    <s v="NO"/>
    <s v="RUC"/>
    <s v="20613070355"/>
    <s v="JC JOEL CELL S.A.C."/>
    <s v="4090340018446"/>
    <x v="96"/>
    <n v="125"/>
    <d v="2026-01-09T00:00:00"/>
    <s v="RECURSO EN ANÁLISIS DE FONDO"/>
    <x v="1"/>
    <x v="0"/>
    <s v="ROBERTO GABRIEL, VERA TUDELA GALLESI"/>
    <m/>
  </r>
  <r>
    <s v="NO"/>
    <s v="RUC"/>
    <s v="20613070355"/>
    <s v="JC JOEL CELL S.A.C."/>
    <s v="4090340018447"/>
    <x v="96"/>
    <n v="125"/>
    <d v="2026-01-09T00:00:00"/>
    <s v="RECURSO EN ANÁLISIS DE FONDO"/>
    <x v="1"/>
    <x v="0"/>
    <s v="ROBERTO GABRIEL, VERA TUDELA GALLESI"/>
    <m/>
  </r>
  <r>
    <s v="NO"/>
    <s v="RUC"/>
    <s v="20612760111"/>
    <s v="GOLDEN BOY PERU E.I.R.L."/>
    <s v="4090340018464"/>
    <x v="96"/>
    <n v="125"/>
    <d v="2026-01-09T00:00:00"/>
    <s v="RECURSO EN ANÁLISIS DE FONDO"/>
    <x v="1"/>
    <x v="0"/>
    <s v="ROBERTO GABRIEL, VERA TUDELA GALLESI"/>
    <m/>
  </r>
  <r>
    <s v="NO"/>
    <s v="RUC"/>
    <s v="20608919601"/>
    <s v="JOYERIA SALDAÑEZ S.A.C."/>
    <s v="4090340018504"/>
    <x v="96"/>
    <n v="125"/>
    <d v="2026-01-09T00:00:00"/>
    <s v="RECURSO EN ANÁLISIS DE FONDO"/>
    <x v="1"/>
    <x v="0"/>
    <s v="ROBERTO GABRIEL, VERA TUDELA GALLESI"/>
    <m/>
  </r>
  <r>
    <s v="NO"/>
    <s v="RUC"/>
    <s v="20603248288"/>
    <s v="AGROINDUSTRIAS LIMATERRA S.A.C. - AGROLIMATERRA S.A.C."/>
    <s v="4090340018461"/>
    <x v="97"/>
    <n v="125"/>
    <d v="2026-01-12T00:00:00"/>
    <s v="RECURSO EN ANÁLISIS DE FONDO"/>
    <x v="10"/>
    <x v="1"/>
    <s v="ROBERTO GABRIEL, VERA TUDELA GALLESI"/>
    <m/>
  </r>
  <r>
    <s v="NO"/>
    <s v="RUC"/>
    <s v="20603164823"/>
    <s v="G &amp; G LATIN AMERICA CORPORATION S.A.C."/>
    <s v="4090340018463"/>
    <x v="97"/>
    <n v="125"/>
    <d v="2026-01-12T00:00:00"/>
    <s v="RECURSO EN ANÁLISIS DE FONDO"/>
    <x v="1"/>
    <x v="0"/>
    <s v="ROBERTO GABRIEL, VERA TUDELA GALLESI"/>
    <m/>
  </r>
  <r>
    <s v="NO"/>
    <s v="RUC"/>
    <s v="10080016471"/>
    <s v="MENDEZ BANDA DANIEL RICHARD"/>
    <s v="4090340018457"/>
    <x v="98"/>
    <n v="125"/>
    <d v="2026-01-13T00:00:00"/>
    <s v="RECURSO EN ANÁLISIS DE FONDO"/>
    <x v="6"/>
    <x v="0"/>
    <s v="ROBERTO GABRIEL, VERA TUDELA GALLESI"/>
    <m/>
  </r>
  <r>
    <s v="NO"/>
    <s v="RUC"/>
    <s v="20521770814"/>
    <s v="PERU CUSTOMS ADVISER S.A.C."/>
    <s v="4090340018474"/>
    <x v="98"/>
    <n v="125"/>
    <d v="2026-01-13T00:00:00"/>
    <s v="RECURSO EN ANÁLISIS DE FONDO"/>
    <x v="3"/>
    <x v="1"/>
    <s v="ROBERTO GABRIEL, VERA TUDELA GALLESI"/>
    <m/>
  </r>
  <r>
    <s v="NO"/>
    <s v="RUC"/>
    <s v="10419038046"/>
    <s v="DEZA JIMENEZ RUTH EVA"/>
    <s v="4090340018485"/>
    <x v="98"/>
    <n v="125"/>
    <d v="2026-01-13T00:00:00"/>
    <s v="RECURSO EN ANÁLISIS DE FONDO"/>
    <x v="6"/>
    <x v="0"/>
    <s v="ROBERTO GABRIEL, VERA TUDELA GALLESI"/>
    <m/>
  </r>
  <r>
    <s v="NO"/>
    <s v="RUC"/>
    <s v="20603607555"/>
    <s v="GRUPO FEY SOCIEDAD ANONIMA CERRADA - GRUPOS FEY S.A.C"/>
    <s v="4090340018506"/>
    <x v="98"/>
    <n v="125"/>
    <d v="2026-01-13T00:00:00"/>
    <s v="RECURSO EN ANÁLISIS DE FONDO"/>
    <x v="4"/>
    <x v="0"/>
    <s v="ROBERTO GABRIEL, VERA TUDELA GALLESI"/>
    <m/>
  </r>
  <r>
    <s v="NO"/>
    <s v="RUC"/>
    <s v="20601654696"/>
    <s v="TECHNOLOGY NUTRITION PERU S.A.C."/>
    <s v="4090340018519"/>
    <x v="98"/>
    <n v="125"/>
    <d v="2026-01-13T00:00:00"/>
    <s v="RECURSO EN ANÁLISIS DE FONDO"/>
    <x v="12"/>
    <x v="0"/>
    <s v="ROBERTO GABRIEL, VERA TUDELA GALLESI"/>
    <m/>
  </r>
  <r>
    <s v="NO"/>
    <s v="RUC"/>
    <s v="20613154982"/>
    <s v="FZ SPORT E.I.R.L."/>
    <s v="4090340019018"/>
    <x v="98"/>
    <n v="125"/>
    <d v="2026-01-13T00:00:00"/>
    <s v="RECURSO EN ANÁLISIS DE FONDO"/>
    <x v="6"/>
    <x v="0"/>
    <s v="ROBERTO GABRIEL, VERA TUDELA GALLESI"/>
    <m/>
  </r>
  <r>
    <s v="NO"/>
    <s v="CI"/>
    <s v="0706777760"/>
    <s v="CARREÑO LOAYZA DAYANARA ANGELY"/>
    <s v="4090340019303"/>
    <x v="98"/>
    <n v="125"/>
    <d v="2026-01-13T00:00:00"/>
    <s v="RECURSO EN ANÁLISIS DE FONDO"/>
    <x v="5"/>
    <x v="0"/>
    <s v="ROBERTO GABRIEL, VERA TUDELA GALLESI"/>
    <m/>
  </r>
  <r>
    <s v="NO"/>
    <s v="RUC"/>
    <s v="10480427152"/>
    <s v="CAMPOS REATEGUI THALIA TAISY"/>
    <s v="4090340018491"/>
    <x v="99"/>
    <n v="125"/>
    <d v="2026-01-14T00:00:00"/>
    <s v="RECURSO EN ANÁLISIS DE FONDO"/>
    <x v="11"/>
    <x v="1"/>
    <s v="ROBERTO GABRIEL, VERA TUDELA GALLESI"/>
    <m/>
  </r>
  <r>
    <s v="NO"/>
    <s v="RUC"/>
    <s v="20600681932"/>
    <s v="D.C.C. INVERSIONES E.I.R.L."/>
    <s v="4090340018533"/>
    <x v="99"/>
    <n v="125"/>
    <d v="2026-01-14T00:00:00"/>
    <s v="RECURSO EN ANÁLISIS DE FONDO"/>
    <x v="7"/>
    <x v="1"/>
    <s v="ROBERTO GABRIEL, VERA TUDELA GALLESI"/>
    <m/>
  </r>
  <r>
    <s v="NO"/>
    <s v="RUC"/>
    <s v="10415684211"/>
    <s v="LOPEZ PEREIRA BASILIA"/>
    <s v="4090340019471"/>
    <x v="99"/>
    <n v="125"/>
    <d v="2026-01-14T00:00:00"/>
    <s v="RECURSO EN ANÁLISIS DE FONDO"/>
    <x v="11"/>
    <x v="1"/>
    <s v="ROBERTO GABRIEL, VERA TUDELA GALLESI"/>
    <m/>
  </r>
  <r>
    <s v="NO"/>
    <s v="RUC"/>
    <s v="20602708731"/>
    <s v="LIZGOTEX SAC"/>
    <s v="4090340018520"/>
    <x v="100"/>
    <n v="125"/>
    <d v="2026-01-15T00:00:00"/>
    <s v="RECURSO EN ANÁLISIS DE FONDO"/>
    <x v="7"/>
    <x v="1"/>
    <s v="ROBERTO GABRIEL, VERA TUDELA GALLESI"/>
    <m/>
  </r>
  <r>
    <s v="NO"/>
    <s v="RUC"/>
    <s v="20600324421"/>
    <s v="DULCE MODA EIRL"/>
    <s v="4090340018538"/>
    <x v="100"/>
    <n v="125"/>
    <d v="2026-01-15T00:00:00"/>
    <s v="RECURSO EN ANÁLISIS DE FONDO"/>
    <x v="3"/>
    <x v="1"/>
    <s v="ROBERTO GABRIEL, VERA TUDELA GALLESI"/>
    <m/>
  </r>
  <r>
    <s v="NO"/>
    <s v="RUC"/>
    <s v="20602817921"/>
    <s v="ORTOPEDIA SOLIDARIA DEL NORTE S.R.L."/>
    <s v="4090340018592"/>
    <x v="100"/>
    <n v="125"/>
    <d v="2026-01-15T00:00:00"/>
    <s v="RECURSO EN ANÁLISIS DE FONDO"/>
    <x v="0"/>
    <x v="0"/>
    <s v="ROBERTO GABRIEL, VERA TUDELA GALLESI"/>
    <m/>
  </r>
  <r>
    <s v="NO"/>
    <s v="CI"/>
    <s v="1103307250"/>
    <s v="MARCO LUIS QUISHPE PINZÓN"/>
    <s v="4090340018664"/>
    <x v="100"/>
    <n v="125"/>
    <d v="2026-01-15T00:00:00"/>
    <s v="RECURSO EN ANÁLISIS DE FONDO"/>
    <x v="5"/>
    <x v="0"/>
    <s v="ROBERTO GABRIEL, VERA TUDELA GALLESI"/>
    <m/>
  </r>
  <r>
    <s v="NO"/>
    <s v="RUC"/>
    <s v="10482365707"/>
    <s v="BENAVIDES RAMIREZ BRUSS BRANDO LEE"/>
    <s v="4090340019210"/>
    <x v="100"/>
    <n v="125"/>
    <d v="2026-01-15T00:00:00"/>
    <s v="RECURSO EN ANÁLISIS DE FONDO"/>
    <x v="11"/>
    <x v="1"/>
    <s v="ROBERTO GABRIEL, VERA TUDELA GALLESI"/>
    <m/>
  </r>
  <r>
    <s v="NO"/>
    <s v="RUC"/>
    <s v="10701222232"/>
    <s v="VARGAS FLORES YENNI"/>
    <s v="4090340018618"/>
    <x v="101"/>
    <n v="125"/>
    <d v="2026-01-16T00:00:00"/>
    <s v="RECURSO EN ANÁLISIS DE FONDO"/>
    <x v="11"/>
    <x v="1"/>
    <s v="ROBERTO GABRIEL, VERA TUDELA GALLESI"/>
    <m/>
  </r>
  <r>
    <s v="NO"/>
    <s v="RUC"/>
    <s v="10282079181"/>
    <s v="HUAMAN GAMBOA PRIMITIVO"/>
    <s v="4090340018629"/>
    <x v="101"/>
    <n v="125"/>
    <d v="2026-01-16T00:00:00"/>
    <s v="RECURSO EN ANÁLISIS DE FONDO"/>
    <x v="7"/>
    <x v="1"/>
    <s v="ROBERTO GABRIEL, VERA TUDELA GALLESI"/>
    <m/>
  </r>
  <r>
    <s v="NO"/>
    <s v="RUC"/>
    <s v="10419610114"/>
    <s v="TORRES PAZ MIGUEL ANGEL"/>
    <s v="4090340018709"/>
    <x v="101"/>
    <n v="125"/>
    <d v="2026-01-16T00:00:00"/>
    <s v="RECURSO EN ANÁLISIS DE FONDO"/>
    <x v="6"/>
    <x v="0"/>
    <s v="ROBERTO GABRIEL, VERA TUDELA GALLESI"/>
    <m/>
  </r>
  <r>
    <s v="NO"/>
    <s v="RUC"/>
    <s v="10306688141"/>
    <s v="INCA CHUE LUZGARDO"/>
    <s v="4090340018759"/>
    <x v="101"/>
    <n v="125"/>
    <d v="2026-01-16T00:00:00"/>
    <s v="RECURSO EN ANÁLISIS DE FONDO"/>
    <x v="6"/>
    <x v="0"/>
    <s v="ROBERTO GABRIEL, VERA TUDELA GALLESI"/>
    <m/>
  </r>
  <r>
    <s v="NO"/>
    <s v="RUC"/>
    <s v="10306688141"/>
    <s v="INCA CHUE LUZGARDO"/>
    <s v="4090340018761"/>
    <x v="101"/>
    <n v="125"/>
    <d v="2026-01-16T00:00:00"/>
    <s v="RECURSO EN ANÁLISIS DE FONDO"/>
    <x v="6"/>
    <x v="0"/>
    <s v="ROBERTO GABRIEL, VERA TUDELA GALLESI"/>
    <m/>
  </r>
  <r>
    <s v="NO"/>
    <s v="RUC"/>
    <s v="10724330997"/>
    <s v="PARI GOMEZ ANTHONY WILLYAN"/>
    <s v="4090340018611"/>
    <x v="102"/>
    <n v="125"/>
    <d v="2026-01-19T00:00:00"/>
    <s v="RECURSO EN ANÁLISIS DE FONDO"/>
    <x v="13"/>
    <x v="1"/>
    <s v="ROBERTO GABRIEL, VERA TUDELA GALLESI"/>
    <m/>
  </r>
  <r>
    <s v="NO"/>
    <s v="RUC"/>
    <s v="10017762279"/>
    <s v="PARI ATAHUACHI CRISTOBAL"/>
    <s v="4090340018661"/>
    <x v="102"/>
    <n v="125"/>
    <d v="2026-01-19T00:00:00"/>
    <s v="RECURSO EN ANÁLISIS DE FONDO"/>
    <x v="7"/>
    <x v="1"/>
    <s v="ROBERTO GABRIEL, VERA TUDELA GALLESI"/>
    <m/>
  </r>
  <r>
    <s v="NO"/>
    <s v="RUC"/>
    <s v="10017762279"/>
    <s v="PARI ATAHUACHI CRISTOBAL"/>
    <s v="4090340018662"/>
    <x v="102"/>
    <n v="125"/>
    <d v="2026-01-19T00:00:00"/>
    <s v="RECURSO EN ANÁLISIS DE FONDO"/>
    <x v="7"/>
    <x v="1"/>
    <s v="ROBERTO GABRIEL, VERA TUDELA GALLESI"/>
    <m/>
  </r>
  <r>
    <s v="NO"/>
    <s v="RUC"/>
    <s v="10756049602"/>
    <s v="ACEDO ROJAS JESUS MAYCOL"/>
    <s v="4090340018703"/>
    <x v="102"/>
    <n v="125"/>
    <d v="2026-01-19T00:00:00"/>
    <s v="RECURSO EN ANÁLISIS DE FONDO"/>
    <x v="6"/>
    <x v="0"/>
    <s v="ROBERTO GABRIEL, VERA TUDELA GALLESI"/>
    <m/>
  </r>
  <r>
    <s v="NO"/>
    <s v="RUC"/>
    <s v="20601420881"/>
    <s v="CARGO WORLD ADUANAS S.A.C."/>
    <s v="4090340018616"/>
    <x v="103"/>
    <n v="125"/>
    <d v="2026-01-20T00:00:00"/>
    <s v="RECURSO EN ANÁLISIS DE FONDO"/>
    <x v="0"/>
    <x v="0"/>
    <s v="ROBERTO GABRIEL, VERA TUDELA GALLESI"/>
    <m/>
  </r>
  <r>
    <s v="NO"/>
    <s v="RUC"/>
    <s v="10308563397"/>
    <s v="FLORES VEGA RAIMUNDO RENE"/>
    <s v="4090340018615"/>
    <x v="104"/>
    <n v="125"/>
    <d v="2026-01-21T00:00:00"/>
    <s v="RECURSO EN ANÁLISIS DE FONDO"/>
    <x v="11"/>
    <x v="1"/>
    <s v="ROBERTO GABRIEL, VERA TUDELA GALLESI"/>
    <m/>
  </r>
  <r>
    <s v="NO"/>
    <s v="RUC"/>
    <s v="20609096501"/>
    <s v="AVICOLA MEZA S.R.L."/>
    <s v="4090340018628"/>
    <x v="105"/>
    <n v="125"/>
    <d v="2026-01-22T00:00:00"/>
    <s v="RECURSO EN ANÁLISIS DE FONDO"/>
    <x v="6"/>
    <x v="0"/>
    <s v="ROBERTO GABRIEL, VERA TUDELA GALLESI"/>
    <m/>
  </r>
  <r>
    <s v="NO"/>
    <s v="RUC"/>
    <s v="20100227461"/>
    <s v="TRANSPORTES CRUZ DEL SUR S.A.C."/>
    <s v="4090340018651"/>
    <x v="105"/>
    <n v="125"/>
    <d v="2026-01-22T00:00:00"/>
    <s v="RECURSO EN ANÁLISIS DE FONDO"/>
    <x v="3"/>
    <x v="1"/>
    <s v="ROBERTO GABRIEL, VERA TUDELA GALLESI"/>
    <m/>
  </r>
  <r>
    <s v="NO"/>
    <s v="RUC"/>
    <s v="20602274803"/>
    <s v="NHT GLOBAL PERU S.A.C."/>
    <s v="4090340018653"/>
    <x v="105"/>
    <n v="125"/>
    <d v="2026-01-22T00:00:00"/>
    <s v="RECURSO EN ANÁLISIS DE FONDO"/>
    <x v="0"/>
    <x v="0"/>
    <s v="ROBERTO GABRIEL, VERA TUDELA GALLESI"/>
    <m/>
  </r>
  <r>
    <s v="NO"/>
    <s v="RUC"/>
    <s v="20501523837"/>
    <s v="EXPLOMIN DEL PERU S.A.C."/>
    <s v="4090340018665"/>
    <x v="105"/>
    <n v="125"/>
    <d v="2026-01-22T00:00:00"/>
    <s v="RECURSO EN ANÁLISIS DE FONDO"/>
    <x v="3"/>
    <x v="1"/>
    <s v="ROBERTO GABRIEL, VERA TUDELA GALLESI"/>
    <m/>
  </r>
  <r>
    <s v="NO"/>
    <s v="RUC"/>
    <s v="10404135398"/>
    <s v="CURO NAZARIO ERMELINDA LUZ"/>
    <s v="4090340018660"/>
    <x v="106"/>
    <n v="125"/>
    <d v="2026-01-23T00:00:00"/>
    <s v="RECURSO EN ANÁLISIS DE FONDO"/>
    <x v="6"/>
    <x v="0"/>
    <s v="ROBERTO GABRIEL, VERA TUDELA GALLESI"/>
    <m/>
  </r>
  <r>
    <s v="NO"/>
    <s v="RUC"/>
    <s v="20100075009"/>
    <s v="IBM DEL PERU S A C"/>
    <s v="4090340018736"/>
    <x v="106"/>
    <n v="125"/>
    <d v="2026-01-23T00:00:00"/>
    <s v="RECURSO EN ANÁLISIS DE FONDO"/>
    <x v="0"/>
    <x v="0"/>
    <s v="ROBERTO GABRIEL, VERA TUDELA GALLESI"/>
    <m/>
  </r>
  <r>
    <s v="NO"/>
    <s v="RUC"/>
    <s v="10447297961"/>
    <s v="ESPINOZA ZUÑIGA RICARDO MANUEL"/>
    <s v="4090340018679"/>
    <x v="107"/>
    <n v="125"/>
    <d v="2026-01-26T00:00:00"/>
    <s v="RECURSO EN ANÁLISIS DE FONDO"/>
    <x v="7"/>
    <x v="1"/>
    <s v="ROBERTO GABRIEL, VERA TUDELA GALLESI"/>
    <m/>
  </r>
  <r>
    <s v="NO"/>
    <s v="RUC"/>
    <s v="10004865206"/>
    <s v="APAZA SIHUAYRO CIRIACO"/>
    <s v="4090340018699"/>
    <x v="107"/>
    <n v="125"/>
    <d v="2026-01-26T00:00:00"/>
    <s v="RECURSO EN ANÁLISIS DE FONDO"/>
    <x v="3"/>
    <x v="1"/>
    <s v="ROBERTO GABRIEL, VERA TUDELA GALLESI"/>
    <m/>
  </r>
  <r>
    <s v="NO"/>
    <s v="RUC"/>
    <s v="10415684211"/>
    <s v="LOPEZ PEREIRA BASILIA"/>
    <s v="4090340018756"/>
    <x v="107"/>
    <n v="125"/>
    <d v="2026-01-26T00:00:00"/>
    <s v="RECURSO EN ANÁLISIS DE FONDO"/>
    <x v="11"/>
    <x v="1"/>
    <s v="ROBERTO GABRIEL, VERA TUDELA GALLESI"/>
    <m/>
  </r>
  <r>
    <s v="NO"/>
    <s v="RUC"/>
    <s v="20607405591"/>
    <s v="INTERNACIONAL SOL ANDINO S.A.C."/>
    <s v="4090340018799"/>
    <x v="107"/>
    <n v="125"/>
    <d v="2026-01-26T00:00:00"/>
    <s v="RECURSO EN ANÁLISIS DE FONDO"/>
    <x v="7"/>
    <x v="1"/>
    <s v="ROBERTO GABRIEL, VERA TUDELA GALLESI"/>
    <m/>
  </r>
  <r>
    <s v="NO"/>
    <s v="RUC"/>
    <s v="20607405591"/>
    <s v="INTERNACIONAL SOL ANDINO S.A.C."/>
    <s v="4090340018803"/>
    <x v="107"/>
    <n v="125"/>
    <d v="2026-01-26T00:00:00"/>
    <s v="RECURSO EN ANÁLISIS DE FONDO"/>
    <x v="7"/>
    <x v="1"/>
    <s v="ROBERTO GABRIEL, VERA TUDELA GALLESI"/>
    <m/>
  </r>
  <r>
    <s v="NO"/>
    <s v="RUC"/>
    <s v="20137913250"/>
    <s v="ANGLO AMERICAN QUELLAVECO S.A."/>
    <s v="4090340018810"/>
    <x v="107"/>
    <n v="125"/>
    <d v="2026-01-26T00:00:00"/>
    <s v="RECURSO EN ANÁLISIS DE FONDO"/>
    <x v="3"/>
    <x v="1"/>
    <s v="ROBERTO GABRIEL, VERA TUDELA GALLESI"/>
    <m/>
  </r>
  <r>
    <s v="NO"/>
    <s v="RUC"/>
    <s v="20493910052"/>
    <s v="GRUPO INVERSIONES DE LA SELVA SAC"/>
    <s v="4090340018894"/>
    <x v="107"/>
    <n v="125"/>
    <d v="2026-01-26T00:00:00"/>
    <s v="RECURSO EN ANÁLISIS DE FONDO"/>
    <x v="6"/>
    <x v="0"/>
    <s v="ROBERTO GABRIEL, VERA TUDELA GALLESI"/>
    <m/>
  </r>
  <r>
    <s v="NO"/>
    <s v="RUC"/>
    <s v="20609096501"/>
    <s v="AVICOLA MEZA S.R.L."/>
    <s v="4090340018719"/>
    <x v="108"/>
    <n v="125"/>
    <d v="2026-01-27T00:00:00"/>
    <s v="RECURSO EN ANÁLISIS DE FONDO"/>
    <x v="6"/>
    <x v="0"/>
    <s v="ROBERTO GABRIEL, VERA TUDELA GALLESI"/>
    <m/>
  </r>
  <r>
    <s v="NO"/>
    <s v="RUC"/>
    <s v="10438783534"/>
    <s v="TICONA JINEZ GILMER LIZANDRO"/>
    <s v="4090340018731"/>
    <x v="108"/>
    <n v="125"/>
    <d v="2026-01-27T00:00:00"/>
    <s v="RECURSO EN ANÁLISIS DE FONDO"/>
    <x v="3"/>
    <x v="1"/>
    <s v="ROBERTO GABRIEL, VERA TUDELA GALLESI"/>
    <m/>
  </r>
  <r>
    <s v="NO"/>
    <s v="RUC"/>
    <s v="20533054821"/>
    <s v="EMPRESA DE TRANSPORTES PACIFICO PULLMAN EMPRESA INDIVIDUAL DE RESPONSABILIDAD LIMITADA"/>
    <s v="4090340018751"/>
    <x v="108"/>
    <n v="125"/>
    <d v="2026-01-27T00:00:00"/>
    <s v="RECURSO EN ANÁLISIS DE FONDO"/>
    <x v="3"/>
    <x v="1"/>
    <s v="ROBERTO GABRIEL, VERA TUDELA GALLESI"/>
    <m/>
  </r>
  <r>
    <s v="NO"/>
    <s v="RUC"/>
    <s v="10266764320"/>
    <s v="TEJADA RODRIGUEZ ROBERTO WILDER"/>
    <s v="4090340018755"/>
    <x v="108"/>
    <n v="125"/>
    <d v="2026-01-27T00:00:00"/>
    <s v="RECURSO EN ANÁLISIS DE FONDO"/>
    <x v="9"/>
    <x v="1"/>
    <s v="ROBERTO GABRIEL, VERA TUDELA GALLESI"/>
    <m/>
  </r>
  <r>
    <s v="NO"/>
    <s v="RUC"/>
    <s v="10422836956"/>
    <s v="ROJAS HERRERA DILVER"/>
    <s v="4090340018780"/>
    <x v="108"/>
    <n v="125"/>
    <d v="2026-01-27T00:00:00"/>
    <s v="RECURSO EN ANÁLISIS DE FONDO"/>
    <x v="6"/>
    <x v="0"/>
    <s v="ROBERTO GABRIEL, VERA TUDELA GALLESI"/>
    <m/>
  </r>
  <r>
    <s v="NO"/>
    <s v="RUC"/>
    <s v="20533054821"/>
    <s v="EMPRESA DE TRANSPORTES PACIFICO PULLMAN EMPRESA INDIVIDUAL DE RESPONSABILIDAD LIMITADA"/>
    <s v="4090340018827"/>
    <x v="108"/>
    <n v="125"/>
    <d v="2026-01-27T00:00:00"/>
    <s v="RECURSO EN ANÁLISIS DE FONDO"/>
    <x v="3"/>
    <x v="1"/>
    <s v="ROBERTO GABRIEL, VERA TUDELA GALLESI"/>
    <m/>
  </r>
  <r>
    <s v="NO"/>
    <s v="RUC"/>
    <s v="10417404649"/>
    <s v="VASQUEZ SOLORZANO YAMBERT FABRICIO"/>
    <s v="4090340018932"/>
    <x v="108"/>
    <n v="125"/>
    <d v="2026-01-27T00:00:00"/>
    <s v="RECURSO EN ANÁLISIS DE FONDO"/>
    <x v="11"/>
    <x v="1"/>
    <s v="ROBERTO GABRIEL, VERA TUDELA GALLESI"/>
    <m/>
  </r>
  <r>
    <s v="NO"/>
    <s v="RUC"/>
    <s v="10461024012"/>
    <s v="TUNQUE GARCIA VICTOR ALEX"/>
    <s v="4090340019012"/>
    <x v="108"/>
    <n v="125"/>
    <d v="2026-01-27T00:00:00"/>
    <s v="RECURSO EN ANÁLISIS DE FONDO"/>
    <x v="3"/>
    <x v="1"/>
    <s v="ROBERTO GABRIEL, VERA TUDELA GALLESI"/>
    <m/>
  </r>
  <r>
    <s v="NO"/>
    <s v="RUC"/>
    <s v="10433853313"/>
    <s v="CCENTE CISNEROS LUZ ZARITA"/>
    <s v="4090340018776"/>
    <x v="109"/>
    <n v="125"/>
    <d v="2026-01-28T00:00:00"/>
    <s v="RECURSO EN ANÁLISIS DE FONDO"/>
    <x v="6"/>
    <x v="0"/>
    <s v="ROBERTO GABRIEL, VERA TUDELA GALLESI"/>
    <m/>
  </r>
  <r>
    <s v="NO"/>
    <s v="RUC"/>
    <s v="20601468787"/>
    <s v="NUEVO MUNDO DE RELOJES E.I.R.L."/>
    <s v="4090340018903"/>
    <x v="109"/>
    <n v="125"/>
    <d v="2026-01-28T00:00:00"/>
    <s v="RECURSO EN ANÁLISIS DE FONDO"/>
    <x v="13"/>
    <x v="1"/>
    <s v="ROBERTO GABRIEL, VERA TUDELA GALLESI"/>
    <m/>
  </r>
  <r>
    <s v="NO"/>
    <s v="RUC"/>
    <s v="20556620882"/>
    <s v="GROUP KNUP SOCIEDAD ANONIMA CERRADA - GROUP KNUP S.A.C."/>
    <s v="4090340018929"/>
    <x v="109"/>
    <n v="125"/>
    <d v="2026-01-28T00:00:00"/>
    <s v="RECURSO EN ANÁLISIS DE FONDO"/>
    <x v="4"/>
    <x v="0"/>
    <s v="ROBERTO GABRIEL, VERA TUDELA GALLESI"/>
    <m/>
  </r>
  <r>
    <s v="NO"/>
    <s v="RUC"/>
    <s v="10751865941"/>
    <s v="BOZA HINOSTROZA JOEL KENGUI"/>
    <s v="4090340019463"/>
    <x v="109"/>
    <n v="125"/>
    <d v="2026-01-28T00:00:00"/>
    <s v="RECURSO EN ANÁLISIS DE FONDO"/>
    <x v="9"/>
    <x v="1"/>
    <s v="ROBERTO GABRIEL, VERA TUDELA GALLESI"/>
    <m/>
  </r>
  <r>
    <s v="NO"/>
    <s v="RUC"/>
    <s v="10751865941"/>
    <s v="BOZA HINOSTROZA JOEL KENGUI"/>
    <s v="4090340019466"/>
    <x v="109"/>
    <n v="125"/>
    <d v="2026-01-28T00:00:00"/>
    <s v="RECURSO EN ANÁLISIS DE FONDO"/>
    <x v="9"/>
    <x v="1"/>
    <s v="ROBERTO GABRIEL, VERA TUDELA GALLESI"/>
    <m/>
  </r>
  <r>
    <s v="NO"/>
    <s v="RUC"/>
    <s v="20472156251"/>
    <s v="COMERCIAL PONGO E.I.R.L."/>
    <s v="4090340018912"/>
    <x v="110"/>
    <n v="125"/>
    <d v="2026-01-29T00:00:00"/>
    <s v="RECURSO EN ANÁLISIS DE FONDO"/>
    <x v="4"/>
    <x v="0"/>
    <s v="ROBERTO GABRIEL, VERA TUDELA GALLESI"/>
    <m/>
  </r>
  <r>
    <s v="NO"/>
    <s v="RUC"/>
    <s v="10419636610"/>
    <s v="CABALLERO MAMANI RENE ANSELMO"/>
    <s v="4090340018997"/>
    <x v="110"/>
    <n v="125"/>
    <d v="2026-01-29T00:00:00"/>
    <s v="RECURSO EN ANÁLISIS DE FONDO"/>
    <x v="13"/>
    <x v="1"/>
    <s v="ROBERTO GABRIEL, VERA TUDELA GALLESI"/>
    <m/>
  </r>
  <r>
    <s v="NO"/>
    <s v="RUC"/>
    <s v="10419636610"/>
    <s v="CABALLERO MAMANI RENE ANSELMO"/>
    <s v="4090340018998"/>
    <x v="110"/>
    <n v="125"/>
    <d v="2026-01-29T00:00:00"/>
    <s v="RECURSO EN ANÁLISIS DE FONDO"/>
    <x v="3"/>
    <x v="1"/>
    <s v="ROBERTO GABRIEL, VERA TUDELA GALLESI"/>
    <m/>
  </r>
  <r>
    <s v="NO"/>
    <s v="DNI"/>
    <s v="17989876"/>
    <s v="JOEL SANCHEZ CESPEDES"/>
    <s v="4090340018899"/>
    <x v="111"/>
    <n v="125"/>
    <d v="2026-01-30T00:00:00"/>
    <s v="RECURSO EN ANÁLISIS DE FONDO"/>
    <x v="3"/>
    <x v="1"/>
    <s v="ROBERTO GABRIEL, VERA TUDELA GALLESI"/>
    <m/>
  </r>
  <r>
    <s v="NO"/>
    <s v="RUC"/>
    <s v="10067405825"/>
    <s v="INGAROCA CORONADO ABEL SIMON"/>
    <s v="4090340019408"/>
    <x v="111"/>
    <n v="125"/>
    <d v="2026-01-30T00:00:00"/>
    <s v="RECURSO EN ANÁLISIS DE FONDO"/>
    <x v="11"/>
    <x v="1"/>
    <s v="ROBERTO GABRIEL, VERA TUDELA GALLESI"/>
    <m/>
  </r>
  <r>
    <s v="NO"/>
    <s v="RUC"/>
    <s v="10448899735"/>
    <s v="ORTIZ CASTILLO HISABELL ROCIO"/>
    <s v="4090340019007"/>
    <x v="112"/>
    <n v="125"/>
    <d v="2026-01-30T00:00:00"/>
    <s v="RECURSO EN ANÁLISIS DE FONDO"/>
    <x v="6"/>
    <x v="0"/>
    <s v="ROBERTO GABRIEL, VERA TUDELA GALLESI"/>
    <m/>
  </r>
  <r>
    <s v="NO"/>
    <s v="RUC"/>
    <s v="10487560265"/>
    <s v="ESPINOZA ORTIZ GIAN PIERRE"/>
    <s v="4090340018900"/>
    <x v="113"/>
    <n v="125"/>
    <d v="2026-02-02T00:00:00"/>
    <s v="RECURSO EN ANÁLISIS DE FONDO"/>
    <x v="10"/>
    <x v="1"/>
    <s v="ROBERTO GABRIEL, VERA TUDELA GALLESI"/>
    <m/>
  </r>
  <r>
    <s v="NO"/>
    <s v="RUC"/>
    <s v="20601311781"/>
    <s v="RICBEL F.H. LOGISTICA S.A."/>
    <s v="4090340018960"/>
    <x v="113"/>
    <n v="125"/>
    <d v="2026-02-02T00:00:00"/>
    <s v="RECURSO EN ANÁLISIS DE FONDO"/>
    <x v="1"/>
    <x v="0"/>
    <s v="ROBERTO GABRIEL, VERA TUDELA GALLESI"/>
    <m/>
  </r>
  <r>
    <s v="NO"/>
    <s v="RUC"/>
    <s v="20608661221"/>
    <s v="SEBAS TEXTIL E.I.R.L."/>
    <s v="4090340019005"/>
    <x v="113"/>
    <n v="125"/>
    <d v="2026-02-02T00:00:00"/>
    <s v="RECURSO EN ANÁLISIS DE FONDO"/>
    <x v="4"/>
    <x v="0"/>
    <s v="ROBERTO GABRIEL, VERA TUDELA GALLESI"/>
    <m/>
  </r>
  <r>
    <s v="NO"/>
    <s v="RUC"/>
    <s v="20613658638"/>
    <s v="INTESOL DISTRIBUCION S.A.C."/>
    <s v="4090340018937"/>
    <x v="114"/>
    <n v="125"/>
    <d v="2026-02-03T00:00:00"/>
    <s v="RECURSO EN ANÁLISIS DE FONDO"/>
    <x v="5"/>
    <x v="0"/>
    <s v="ROBERTO GABRIEL, VERA TUDELA GALLESI"/>
    <m/>
  </r>
  <r>
    <s v="NO"/>
    <s v="RUC"/>
    <s v="20601789184"/>
    <s v="TELAS &amp; DISEÑOS APACHE E.I.R.L."/>
    <s v="4090340018977"/>
    <x v="114"/>
    <n v="125"/>
    <d v="2026-02-03T00:00:00"/>
    <s v="RECURSO EN ANÁLISIS DE FONDO"/>
    <x v="4"/>
    <x v="0"/>
    <s v="ROBERTO GABRIEL, VERA TUDELA GALLESI"/>
    <m/>
  </r>
  <r>
    <s v="NO"/>
    <s v="RUC"/>
    <s v="20601311781"/>
    <s v="RICBEL F.H. LOGISTICA S.A."/>
    <s v="4090340018950"/>
    <x v="115"/>
    <n v="125"/>
    <d v="2026-02-04T00:00:00"/>
    <s v="RECURSO EN ANÁLISIS DE FONDO"/>
    <x v="1"/>
    <x v="0"/>
    <s v="ROBERTO GABRIEL, VERA TUDELA GALLESI"/>
    <m/>
  </r>
  <r>
    <s v="NO"/>
    <s v="RUC"/>
    <s v="20612116521"/>
    <s v="COSMETICOS AMERICANOS DE VANGUARDIA PERU S.A.C."/>
    <s v="4090340018985"/>
    <x v="115"/>
    <n v="125"/>
    <d v="2026-02-04T00:00:00"/>
    <s v="RECURSO EN ANÁLISIS DE FONDO"/>
    <x v="3"/>
    <x v="1"/>
    <s v="ROBERTO GABRIEL, VERA TUDELA GALLESI"/>
    <m/>
  </r>
  <r>
    <s v="NO"/>
    <s v="RUC"/>
    <s v="20612116521"/>
    <s v="COSMETICOS AMERICANOS DE VANGUARDIA PERU S.A.C."/>
    <s v="4090340018986"/>
    <x v="115"/>
    <n v="125"/>
    <d v="2026-02-04T00:00:00"/>
    <s v="RECURSO EN ANÁLISIS DE FONDO"/>
    <x v="3"/>
    <x v="1"/>
    <s v="ROBERTO GABRIEL, VERA TUDELA GALLESI"/>
    <m/>
  </r>
  <r>
    <s v="NO"/>
    <s v="RUC"/>
    <s v="20100204330"/>
    <s v="LABORATORIOS PORTUGAL S R L"/>
    <s v="4090340018995"/>
    <x v="115"/>
    <n v="125"/>
    <d v="2026-02-04T00:00:00"/>
    <s v="RECURSO EN ANÁLISIS DE FONDO"/>
    <x v="6"/>
    <x v="0"/>
    <s v="ROBERTO GABRIEL, VERA TUDELA GALLESI"/>
    <m/>
  </r>
  <r>
    <s v="NO"/>
    <s v="RUC"/>
    <s v="20545649455"/>
    <s v="HC-GROUP PERU SOCIEDAD ANONIMA CERRADA"/>
    <s v="4090340019003"/>
    <x v="116"/>
    <n v="125"/>
    <d v="2026-02-05T00:00:00"/>
    <s v="RECURSO EN ANÁLISIS DE FONDO"/>
    <x v="4"/>
    <x v="0"/>
    <s v="ROBERTO GABRIEL, VERA TUDELA GALLESI"/>
    <m/>
  </r>
  <r>
    <s v="NO"/>
    <s v="RUC"/>
    <s v="20602708731"/>
    <s v="LIZGOTEX SAC"/>
    <s v="4090340019056"/>
    <x v="117"/>
    <n v="125"/>
    <d v="2026-02-06T00:00:00"/>
    <s v="RECURSO EN ANÁLISIS DE FONDO"/>
    <x v="14"/>
    <x v="2"/>
    <s v="ROBERTO GABRIEL, VERA TUDELA GALLESI"/>
    <m/>
  </r>
  <r>
    <s v="NO"/>
    <s v="RUC"/>
    <s v="20110353538"/>
    <s v="CRAMER PERU SOCIEDAD ANONIMA CERRADA"/>
    <s v="4090340019065"/>
    <x v="117"/>
    <n v="125"/>
    <d v="2026-02-06T00:00:00"/>
    <s v="RECURSO EN ANÁLISIS DE FONDO"/>
    <x v="13"/>
    <x v="1"/>
    <s v="ROBERTO GABRIEL, VERA TUDELA GALLESI"/>
    <m/>
  </r>
  <r>
    <s v="NO"/>
    <s v="RUC"/>
    <s v="20600324421"/>
    <s v="DULCE MODA EIRL"/>
    <s v="4090340019074"/>
    <x v="117"/>
    <n v="125"/>
    <d v="2026-02-06T00:00:00"/>
    <s v="RECURSO EN ANÁLISIS DE FONDO"/>
    <x v="3"/>
    <x v="1"/>
    <s v="ROBERTO GABRIEL, VERA TUDELA GALLESI"/>
    <m/>
  </r>
  <r>
    <s v="NO"/>
    <s v="RUC"/>
    <s v="20610133305"/>
    <s v="XCELLANCE INDUSTRIES S.A.C."/>
    <s v="4090340019083"/>
    <x v="117"/>
    <n v="125"/>
    <d v="2026-02-06T00:00:00"/>
    <s v="RECURSO EN ANÁLISIS DE FONDO"/>
    <x v="6"/>
    <x v="0"/>
    <s v="ROBERTO GABRIEL, VERA TUDELA GALLESI"/>
    <m/>
  </r>
  <r>
    <s v="NO"/>
    <s v="RUC"/>
    <s v="20612906425"/>
    <s v="CONFECCIONES SOALI E.I.R.L."/>
    <s v="4090340019084"/>
    <x v="118"/>
    <n v="125"/>
    <d v="2026-02-09T00:00:00"/>
    <s v="RECURSO EN ANÁLISIS DE FONDO"/>
    <x v="6"/>
    <x v="0"/>
    <s v="ROBERTO GABRIEL, VERA TUDELA GALLESI"/>
    <m/>
  </r>
  <r>
    <s v="NO"/>
    <s v="RUC"/>
    <s v="20601311781"/>
    <s v="RICBEL F.H. LOGISTICA S.A."/>
    <s v="4090340019086"/>
    <x v="118"/>
    <n v="125"/>
    <d v="2026-02-09T00:00:00"/>
    <s v="RECURSO EN ANÁLISIS DE FONDO"/>
    <x v="4"/>
    <x v="0"/>
    <s v="ROBERTO GABRIEL, VERA TUDELA GALLESI"/>
    <m/>
  </r>
  <r>
    <s v="NO"/>
    <s v="RUC"/>
    <s v="20532620580"/>
    <s v="LOGISTIC TRAVEL ILO S.A.C."/>
    <s v="4090340019104"/>
    <x v="118"/>
    <n v="125"/>
    <d v="2026-02-09T00:00:00"/>
    <s v="RECURSO EN ANÁLISIS DE FONDO"/>
    <x v="3"/>
    <x v="1"/>
    <s v="ROBERTO GABRIEL, VERA TUDELA GALLESI"/>
    <m/>
  </r>
  <r>
    <s v="NO"/>
    <s v="RUC"/>
    <s v="20100398606"/>
    <s v="SERPAC PORTUARIA S.A.C."/>
    <s v="4090340019109"/>
    <x v="118"/>
    <n v="125"/>
    <d v="2026-02-09T00:00:00"/>
    <s v="RECURSO EN ANÁLISIS DE FONDO"/>
    <x v="7"/>
    <x v="1"/>
    <s v="ROBERTO GABRIEL, VERA TUDELA GALLESI"/>
    <m/>
  </r>
  <r>
    <s v="NO"/>
    <s v="RUC"/>
    <s v="20612001937"/>
    <s v="CORPORACION TEXTIL ALITEX S.A.C."/>
    <s v="4090340019100"/>
    <x v="119"/>
    <n v="125"/>
    <d v="2026-02-10T00:00:00"/>
    <s v="RECURSO EN ANÁLISIS DE FONDO"/>
    <x v="4"/>
    <x v="0"/>
    <s v="ROBERTO GABRIEL, VERA TUDELA GALLESI"/>
    <m/>
  </r>
  <r>
    <s v="NO"/>
    <s v="RUC"/>
    <s v="20601311781"/>
    <s v="RICBEL F.H. LOGISTICA S.A."/>
    <s v="4090340019123"/>
    <x v="119"/>
    <n v="125"/>
    <d v="2026-02-10T00:00:00"/>
    <s v="RECURSO EN ANÁLISIS DE FONDO"/>
    <x v="1"/>
    <x v="0"/>
    <s v="ROBERTO GABRIEL, VERA TUDELA GALLESI"/>
    <m/>
  </r>
  <r>
    <s v="NO"/>
    <s v="RUC"/>
    <s v="20492483428"/>
    <s v="REPRESENTACIONES FRANK YAVEL´S E.I.R.L."/>
    <s v="4090340019136"/>
    <x v="119"/>
    <n v="125"/>
    <d v="2026-02-10T00:00:00"/>
    <s v="RECURSO EN ANÁLISIS DE FONDO"/>
    <x v="4"/>
    <x v="0"/>
    <s v="ROBERTO GABRIEL, VERA TUDELA GALLESI"/>
    <m/>
  </r>
  <r>
    <s v="NO"/>
    <s v="RUC"/>
    <s v="20293774308"/>
    <s v="TRACTO CAMIONES USA S.A.C."/>
    <s v="4090340019138"/>
    <x v="119"/>
    <n v="125"/>
    <d v="2026-02-10T00:00:00"/>
    <s v="RECURSO EN ANÁLISIS DE FONDO"/>
    <x v="1"/>
    <x v="0"/>
    <s v="ROBERTO GABRIEL, VERA TUDELA GALLESI"/>
    <m/>
  </r>
  <r>
    <s v="NO"/>
    <s v="RUC"/>
    <s v="20603781385"/>
    <s v="IMPORTACIONES YOSUKA S.A.C."/>
    <s v="4090340019172"/>
    <x v="119"/>
    <n v="125"/>
    <d v="2026-02-10T00:00:00"/>
    <s v="RECURSO EN ANÁLISIS DE FONDO"/>
    <x v="4"/>
    <x v="0"/>
    <s v="ROBERTO GABRIEL, VERA TUDELA GALLESI"/>
    <m/>
  </r>
  <r>
    <s v="NO"/>
    <s v="RUC"/>
    <s v="20601043557"/>
    <s v="PROLIDER EMPRESARIAL S.A.C."/>
    <s v="4090340019414"/>
    <x v="119"/>
    <n v="125"/>
    <d v="2026-02-10T00:00:00"/>
    <s v="RECURSO EN ANÁLISIS DE FONDO"/>
    <x v="6"/>
    <x v="0"/>
    <s v="ROBERTO GABRIEL, VERA TUDELA GALLESI"/>
    <m/>
  </r>
  <r>
    <s v="NO"/>
    <s v="RUC"/>
    <s v="20601043557"/>
    <s v="PROLIDER EMPRESARIAL S.A.C."/>
    <s v="4090340019416"/>
    <x v="119"/>
    <n v="125"/>
    <d v="2026-02-10T00:00:00"/>
    <s v="RECURSO EN ANÁLISIS DE FONDO"/>
    <x v="6"/>
    <x v="0"/>
    <s v="ROBERTO GABRIEL, VERA TUDELA GALLESI"/>
    <m/>
  </r>
  <r>
    <s v="NO"/>
    <s v="RUC"/>
    <s v="10258437891"/>
    <s v="OLAZABAL GUARNIZO OSCAR"/>
    <s v="4090340019429"/>
    <x v="119"/>
    <n v="125"/>
    <d v="2026-02-10T00:00:00"/>
    <s v="RECURSO EN ANÁLISIS DE FONDO"/>
    <x v="12"/>
    <x v="0"/>
    <s v="ROBERTO GABRIEL, VERA TUDELA GALLESI"/>
    <m/>
  </r>
  <r>
    <s v="NO"/>
    <s v="RUC"/>
    <s v="10062293697"/>
    <s v="POMACHAGUA PEREZ GERMAN ELIAS"/>
    <s v="4090340019158"/>
    <x v="120"/>
    <n v="125"/>
    <d v="2026-02-11T00:00:00"/>
    <s v="RECURSO EN ANÁLISIS DE FONDO"/>
    <x v="1"/>
    <x v="0"/>
    <s v="ROBERTO GABRIEL, VERA TUDELA GALLESI"/>
    <m/>
  </r>
  <r>
    <s v="NO"/>
    <s v="RUC"/>
    <s v="10087762438"/>
    <s v="CONROY LANATTA CARLOS GUILLERMO"/>
    <s v="4090340019208"/>
    <x v="121"/>
    <n v="125"/>
    <d v="2026-02-12T00:00:00"/>
    <s v="RECURSO EN ANÁLISIS DE FONDO"/>
    <x v="1"/>
    <x v="0"/>
    <s v="ROBERTO GABRIEL, VERA TUDELA GALLESI"/>
    <m/>
  </r>
  <r>
    <s v="NO"/>
    <s v="RUC"/>
    <s v="10445275412"/>
    <s v="PEREYRA AGUILAR ROSA GLADYS"/>
    <s v="4090340019439"/>
    <x v="121"/>
    <n v="125"/>
    <d v="2026-02-12T00:00:00"/>
    <s v="RECURSO EN ANÁLISIS DE FONDO"/>
    <x v="12"/>
    <x v="0"/>
    <s v="ROBERTO GABRIEL, VERA TUDELA GALLESI"/>
    <m/>
  </r>
  <r>
    <s v="NO"/>
    <s v="RUC"/>
    <s v="20542821508"/>
    <s v="REPUESTOS MALDONADO EMPRESA INDIVIDUAL DE RESPONSABILIDAD LIMITADA - REPUESTOS MALDONADO E.I.R.L."/>
    <s v="4090340019447"/>
    <x v="122"/>
    <n v="125"/>
    <d v="2026-02-12T00:00:00"/>
    <s v="RECURSO EN ANÁLISIS DE FONDO"/>
    <x v="9"/>
    <x v="1"/>
    <s v="ROBERTO GABRIEL, VERA TUDELA GALLESI"/>
    <m/>
  </r>
  <r>
    <s v="NO"/>
    <s v="RUC"/>
    <s v="20551759939"/>
    <s v="CORPORACION TEXTIL WALAS S.A.C."/>
    <s v="4090340019247"/>
    <x v="123"/>
    <n v="125"/>
    <d v="2026-02-13T00:00:00"/>
    <s v="RECURSO EN ANÁLISIS DE FONDO"/>
    <x v="4"/>
    <x v="0"/>
    <s v="ROBERTO GABRIEL, VERA TUDELA GALLESI"/>
    <m/>
  </r>
  <r>
    <s v="NO"/>
    <s v="RUC"/>
    <s v="20601311781"/>
    <s v="RICBEL F.H. LOGISTICA S.A."/>
    <s v="4090340019252"/>
    <x v="123"/>
    <n v="125"/>
    <d v="2026-02-13T00:00:00"/>
    <s v="RECURSO EN ANÁLISIS DE FONDO"/>
    <x v="1"/>
    <x v="0"/>
    <s v="ROBERTO GABRIEL, VERA TUDELA GALLESI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EAE31-B1F4-487A-B69E-D7B896E20937}" name="TablaDinámica4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G22" firstHeaderRow="1" firstDataRow="4" firstDataCol="1"/>
  <pivotFields count="15">
    <pivotField showAll="0"/>
    <pivotField showAll="0"/>
    <pivotField showAll="0"/>
    <pivotField showAll="0"/>
    <pivotField dataField="1" showAll="0"/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4" showAll="0"/>
    <pivotField showAll="0"/>
    <pivotField axis="axisRow" showAll="0">
      <items count="16">
        <item x="2"/>
        <item x="7"/>
        <item x="0"/>
        <item x="8"/>
        <item x="12"/>
        <item x="13"/>
        <item x="1"/>
        <item x="5"/>
        <item x="9"/>
        <item x="11"/>
        <item x="3"/>
        <item x="10"/>
        <item x="6"/>
        <item x="4"/>
        <item x="1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9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3">
    <field x="14"/>
    <field x="13"/>
    <field x="5"/>
  </colFields>
  <colItems count="6">
    <i>
      <x v="1"/>
    </i>
    <i>
      <x v="3"/>
    </i>
    <i>
      <x v="4"/>
    </i>
    <i>
      <x v="5"/>
    </i>
    <i>
      <x v="6"/>
    </i>
    <i t="grand">
      <x/>
    </i>
  </colItems>
  <dataFields count="1">
    <dataField name="Cuenta de Número de Expedient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B3E0A-C694-4CAC-ADDC-16DF499DFC69}" name="TablaDinámica8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/>
  <pivotFields count="16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numFmtId="164"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Número de Resolución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14A6-CAB8-476F-9027-D6E54668CE42}">
  <dimension ref="A3:G22"/>
  <sheetViews>
    <sheetView tabSelected="1" workbookViewId="0">
      <selection activeCell="D11" sqref="D11"/>
    </sheetView>
  </sheetViews>
  <sheetFormatPr baseColWidth="10" defaultRowHeight="14.5" x14ac:dyDescent="0.35"/>
  <cols>
    <col min="1" max="1" width="38.08984375" bestFit="1" customWidth="1"/>
    <col min="2" max="2" width="21.453125" bestFit="1" customWidth="1"/>
    <col min="3" max="6" width="7" bestFit="1" customWidth="1"/>
    <col min="7" max="7" width="11.90625" bestFit="1" customWidth="1"/>
    <col min="8" max="8" width="11" bestFit="1" customWidth="1"/>
    <col min="9" max="9" width="8.36328125" bestFit="1" customWidth="1"/>
    <col min="10" max="10" width="4.453125" bestFit="1" customWidth="1"/>
    <col min="11" max="11" width="11" bestFit="1" customWidth="1"/>
    <col min="12" max="12" width="9.6328125" bestFit="1" customWidth="1"/>
    <col min="13" max="13" width="8.36328125" bestFit="1" customWidth="1"/>
    <col min="14" max="14" width="11" bestFit="1" customWidth="1"/>
    <col min="15" max="15" width="8.36328125" bestFit="1" customWidth="1"/>
    <col min="16" max="16" width="11" bestFit="1" customWidth="1"/>
    <col min="17" max="17" width="8.36328125" bestFit="1" customWidth="1"/>
    <col min="18" max="18" width="4.36328125" bestFit="1" customWidth="1"/>
    <col min="19" max="19" width="11" bestFit="1" customWidth="1"/>
    <col min="20" max="20" width="8.36328125" bestFit="1" customWidth="1"/>
    <col min="21" max="21" width="11" bestFit="1" customWidth="1"/>
    <col min="22" max="22" width="9.6328125" bestFit="1" customWidth="1"/>
    <col min="23" max="23" width="8.36328125" bestFit="1" customWidth="1"/>
    <col min="24" max="24" width="3.6328125" bestFit="1" customWidth="1"/>
    <col min="25" max="25" width="11" bestFit="1" customWidth="1"/>
    <col min="26" max="26" width="9.6328125" bestFit="1" customWidth="1"/>
    <col min="27" max="27" width="8.36328125" bestFit="1" customWidth="1"/>
    <col min="28" max="28" width="4.453125" bestFit="1" customWidth="1"/>
    <col min="29" max="29" width="11" bestFit="1" customWidth="1"/>
    <col min="30" max="30" width="8.36328125" bestFit="1" customWidth="1"/>
    <col min="31" max="31" width="4.81640625" bestFit="1" customWidth="1"/>
    <col min="32" max="32" width="3.90625" bestFit="1" customWidth="1"/>
    <col min="33" max="33" width="11" bestFit="1" customWidth="1"/>
    <col min="34" max="34" width="8.36328125" bestFit="1" customWidth="1"/>
    <col min="35" max="35" width="4.36328125" bestFit="1" customWidth="1"/>
    <col min="36" max="36" width="11" bestFit="1" customWidth="1"/>
    <col min="37" max="37" width="9.6328125" bestFit="1" customWidth="1"/>
    <col min="38" max="38" width="11.90625" bestFit="1" customWidth="1"/>
    <col min="39" max="48" width="10.81640625" bestFit="1" customWidth="1"/>
    <col min="49" max="55" width="9.81640625" bestFit="1" customWidth="1"/>
    <col min="56" max="69" width="10.81640625" bestFit="1" customWidth="1"/>
    <col min="70" max="75" width="9.81640625" bestFit="1" customWidth="1"/>
    <col min="76" max="91" width="10.81640625" bestFit="1" customWidth="1"/>
    <col min="92" max="99" width="9.81640625" bestFit="1" customWidth="1"/>
    <col min="100" max="112" width="10.81640625" bestFit="1" customWidth="1"/>
    <col min="113" max="118" width="9.81640625" bestFit="1" customWidth="1"/>
    <col min="119" max="125" width="10.81640625" bestFit="1" customWidth="1"/>
    <col min="126" max="126" width="11.90625" bestFit="1" customWidth="1"/>
  </cols>
  <sheetData>
    <row r="3" spans="1:7" x14ac:dyDescent="0.35">
      <c r="A3" s="11" t="s">
        <v>0</v>
      </c>
      <c r="B3" s="11" t="s">
        <v>1</v>
      </c>
    </row>
    <row r="4" spans="1:7" x14ac:dyDescent="0.35">
      <c r="B4" t="s">
        <v>2</v>
      </c>
      <c r="C4" t="s">
        <v>136</v>
      </c>
      <c r="D4" t="s">
        <v>3</v>
      </c>
      <c r="E4" t="s">
        <v>4</v>
      </c>
      <c r="F4" t="s">
        <v>167</v>
      </c>
      <c r="G4" t="s">
        <v>5</v>
      </c>
    </row>
    <row r="6" spans="1:7" x14ac:dyDescent="0.35">
      <c r="A6" s="11" t="s">
        <v>6</v>
      </c>
    </row>
    <row r="7" spans="1:7" x14ac:dyDescent="0.35">
      <c r="A7" s="2" t="s">
        <v>988</v>
      </c>
      <c r="B7">
        <v>2</v>
      </c>
      <c r="G7">
        <v>2</v>
      </c>
    </row>
    <row r="8" spans="1:7" x14ac:dyDescent="0.35">
      <c r="A8" s="2" t="s">
        <v>333</v>
      </c>
      <c r="D8">
        <v>1</v>
      </c>
      <c r="F8">
        <v>24</v>
      </c>
      <c r="G8">
        <v>25</v>
      </c>
    </row>
    <row r="9" spans="1:7" x14ac:dyDescent="0.35">
      <c r="A9" s="2" t="s">
        <v>342</v>
      </c>
      <c r="B9">
        <v>8</v>
      </c>
      <c r="C9">
        <v>2</v>
      </c>
      <c r="F9">
        <v>31</v>
      </c>
      <c r="G9">
        <v>41</v>
      </c>
    </row>
    <row r="10" spans="1:7" x14ac:dyDescent="0.35">
      <c r="A10" s="2" t="s">
        <v>352</v>
      </c>
      <c r="D10">
        <v>1</v>
      </c>
      <c r="G10">
        <v>1</v>
      </c>
    </row>
    <row r="11" spans="1:7" x14ac:dyDescent="0.35">
      <c r="A11" s="2" t="s">
        <v>331</v>
      </c>
      <c r="F11">
        <v>36</v>
      </c>
      <c r="G11">
        <v>36</v>
      </c>
    </row>
    <row r="12" spans="1:7" x14ac:dyDescent="0.35">
      <c r="A12" s="2" t="s">
        <v>338</v>
      </c>
      <c r="F12">
        <v>28</v>
      </c>
      <c r="G12">
        <v>28</v>
      </c>
    </row>
    <row r="13" spans="1:7" x14ac:dyDescent="0.35">
      <c r="A13" s="2" t="s">
        <v>340</v>
      </c>
      <c r="B13">
        <v>6</v>
      </c>
      <c r="D13">
        <v>1</v>
      </c>
      <c r="E13">
        <v>1</v>
      </c>
      <c r="F13">
        <v>40</v>
      </c>
      <c r="G13">
        <v>48</v>
      </c>
    </row>
    <row r="14" spans="1:7" x14ac:dyDescent="0.35">
      <c r="A14" s="2" t="s">
        <v>332</v>
      </c>
      <c r="C14">
        <v>1</v>
      </c>
      <c r="D14">
        <v>1</v>
      </c>
      <c r="F14">
        <v>41</v>
      </c>
      <c r="G14">
        <v>43</v>
      </c>
    </row>
    <row r="15" spans="1:7" x14ac:dyDescent="0.35">
      <c r="A15" s="2" t="s">
        <v>345</v>
      </c>
      <c r="E15">
        <v>1</v>
      </c>
      <c r="F15">
        <v>31</v>
      </c>
      <c r="G15">
        <v>32</v>
      </c>
    </row>
    <row r="16" spans="1:7" x14ac:dyDescent="0.35">
      <c r="A16" s="2" t="s">
        <v>343</v>
      </c>
      <c r="F16">
        <v>28</v>
      </c>
      <c r="G16">
        <v>28</v>
      </c>
    </row>
    <row r="17" spans="1:7" x14ac:dyDescent="0.35">
      <c r="A17" s="2" t="s">
        <v>339</v>
      </c>
      <c r="C17">
        <v>1</v>
      </c>
      <c r="D17">
        <v>1</v>
      </c>
      <c r="F17">
        <v>42</v>
      </c>
      <c r="G17">
        <v>44</v>
      </c>
    </row>
    <row r="18" spans="1:7" x14ac:dyDescent="0.35">
      <c r="A18" s="2" t="s">
        <v>336</v>
      </c>
      <c r="F18">
        <v>42</v>
      </c>
      <c r="G18">
        <v>42</v>
      </c>
    </row>
    <row r="19" spans="1:7" x14ac:dyDescent="0.35">
      <c r="A19" s="2" t="s">
        <v>328</v>
      </c>
      <c r="D19">
        <v>1</v>
      </c>
      <c r="F19">
        <v>45</v>
      </c>
      <c r="G19">
        <v>46</v>
      </c>
    </row>
    <row r="20" spans="1:7" x14ac:dyDescent="0.35">
      <c r="A20" s="2" t="s">
        <v>341</v>
      </c>
      <c r="C20">
        <v>1</v>
      </c>
      <c r="F20">
        <v>45</v>
      </c>
      <c r="G20">
        <v>46</v>
      </c>
    </row>
    <row r="21" spans="1:7" x14ac:dyDescent="0.35">
      <c r="A21" s="2" t="s">
        <v>334</v>
      </c>
      <c r="F21">
        <v>1</v>
      </c>
      <c r="G21">
        <v>1</v>
      </c>
    </row>
    <row r="22" spans="1:7" x14ac:dyDescent="0.35">
      <c r="A22" s="2" t="s">
        <v>5</v>
      </c>
      <c r="B22">
        <v>16</v>
      </c>
      <c r="C22">
        <v>5</v>
      </c>
      <c r="D22">
        <v>6</v>
      </c>
      <c r="E22">
        <v>2</v>
      </c>
      <c r="F22">
        <v>434</v>
      </c>
      <c r="G22">
        <v>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48BF-865E-45A3-BB6E-4F8901F993E1}">
  <dimension ref="A1:M519"/>
  <sheetViews>
    <sheetView topLeftCell="E18" workbookViewId="0">
      <selection activeCell="G31" sqref="G31"/>
    </sheetView>
  </sheetViews>
  <sheetFormatPr baseColWidth="10" defaultColWidth="11.453125" defaultRowHeight="14.5" x14ac:dyDescent="0.35"/>
  <cols>
    <col min="1" max="1" width="20.453125" customWidth="1"/>
    <col min="2" max="2" width="17.54296875" customWidth="1"/>
    <col min="3" max="3" width="12.81640625" customWidth="1"/>
    <col min="4" max="4" width="52" customWidth="1"/>
    <col min="5" max="5" width="17" customWidth="1"/>
    <col min="6" max="6" width="13.1796875" customWidth="1"/>
    <col min="7" max="7" width="17.1796875" customWidth="1"/>
    <col min="8" max="8" width="15" customWidth="1"/>
    <col min="9" max="9" width="33.81640625" hidden="1" customWidth="1"/>
    <col min="10" max="11" width="36.08984375" hidden="1" customWidth="1"/>
    <col min="12" max="12" width="31.81640625" hidden="1" customWidth="1"/>
    <col min="13" max="13" width="68.81640625" customWidth="1"/>
  </cols>
  <sheetData>
    <row r="1" spans="1:13" x14ac:dyDescent="0.35">
      <c r="A1" s="28" t="s">
        <v>7</v>
      </c>
      <c r="B1" s="29" t="s">
        <v>8</v>
      </c>
      <c r="C1" s="28" t="s">
        <v>9</v>
      </c>
      <c r="D1" s="29" t="s">
        <v>10</v>
      </c>
      <c r="E1" s="29" t="s">
        <v>11</v>
      </c>
      <c r="F1" s="29" t="s">
        <v>12</v>
      </c>
      <c r="G1" s="29" t="s">
        <v>166</v>
      </c>
      <c r="H1" s="29" t="s">
        <v>13</v>
      </c>
      <c r="I1" s="29" t="s">
        <v>14</v>
      </c>
      <c r="J1" s="29" t="s">
        <v>15</v>
      </c>
      <c r="K1" s="29" t="s">
        <v>16</v>
      </c>
      <c r="L1" s="29" t="s">
        <v>68</v>
      </c>
      <c r="M1" s="29" t="s">
        <v>165</v>
      </c>
    </row>
    <row r="2" spans="1:13" x14ac:dyDescent="0.35">
      <c r="A2" s="33" t="s">
        <v>327</v>
      </c>
      <c r="B2" s="33" t="s">
        <v>17</v>
      </c>
      <c r="C2" s="33" t="s">
        <v>18</v>
      </c>
      <c r="D2" s="33" t="s">
        <v>19</v>
      </c>
      <c r="E2" s="33" t="s">
        <v>20</v>
      </c>
      <c r="F2" s="53">
        <v>44099</v>
      </c>
      <c r="G2" s="33">
        <v>125</v>
      </c>
      <c r="H2" s="53">
        <v>44279</v>
      </c>
      <c r="I2" s="33" t="s">
        <v>21</v>
      </c>
      <c r="J2" s="33" t="s">
        <v>342</v>
      </c>
      <c r="K2" s="33" t="s">
        <v>329</v>
      </c>
      <c r="L2" s="33" t="s">
        <v>330</v>
      </c>
      <c r="M2" s="33" t="s">
        <v>150</v>
      </c>
    </row>
    <row r="3" spans="1:13" x14ac:dyDescent="0.35">
      <c r="A3" s="33" t="s">
        <v>327</v>
      </c>
      <c r="B3" s="33" t="s">
        <v>17</v>
      </c>
      <c r="C3" s="33" t="s">
        <v>18</v>
      </c>
      <c r="D3" s="33" t="s">
        <v>19</v>
      </c>
      <c r="E3" s="33" t="s">
        <v>23</v>
      </c>
      <c r="F3" s="53">
        <v>44099</v>
      </c>
      <c r="G3" s="33">
        <v>125</v>
      </c>
      <c r="H3" s="53">
        <v>44279</v>
      </c>
      <c r="I3" s="33" t="s">
        <v>21</v>
      </c>
      <c r="J3" s="33" t="s">
        <v>342</v>
      </c>
      <c r="K3" s="33" t="s">
        <v>329</v>
      </c>
      <c r="L3" s="33" t="s">
        <v>330</v>
      </c>
      <c r="M3" s="33" t="s">
        <v>150</v>
      </c>
    </row>
    <row r="4" spans="1:13" x14ac:dyDescent="0.35">
      <c r="A4" s="33" t="s">
        <v>327</v>
      </c>
      <c r="B4" s="33" t="s">
        <v>17</v>
      </c>
      <c r="C4" s="33" t="s">
        <v>18</v>
      </c>
      <c r="D4" s="33" t="s">
        <v>19</v>
      </c>
      <c r="E4" s="33" t="s">
        <v>32</v>
      </c>
      <c r="F4" s="53">
        <v>44099</v>
      </c>
      <c r="G4" s="33">
        <v>125</v>
      </c>
      <c r="H4" s="53">
        <v>44279</v>
      </c>
      <c r="I4" s="33" t="s">
        <v>21</v>
      </c>
      <c r="J4" s="33" t="s">
        <v>340</v>
      </c>
      <c r="K4" s="33" t="s">
        <v>329</v>
      </c>
      <c r="L4" s="33" t="s">
        <v>330</v>
      </c>
      <c r="M4" s="33" t="s">
        <v>150</v>
      </c>
    </row>
    <row r="5" spans="1:13" x14ac:dyDescent="0.35">
      <c r="A5" s="33" t="s">
        <v>327</v>
      </c>
      <c r="B5" s="33" t="s">
        <v>17</v>
      </c>
      <c r="C5" s="33" t="s">
        <v>18</v>
      </c>
      <c r="D5" s="33" t="s">
        <v>19</v>
      </c>
      <c r="E5" s="33" t="s">
        <v>33</v>
      </c>
      <c r="F5" s="53">
        <v>44099</v>
      </c>
      <c r="G5" s="33">
        <v>125</v>
      </c>
      <c r="H5" s="53">
        <v>44279</v>
      </c>
      <c r="I5" s="33" t="s">
        <v>21</v>
      </c>
      <c r="J5" s="33" t="s">
        <v>340</v>
      </c>
      <c r="K5" s="33" t="s">
        <v>329</v>
      </c>
      <c r="L5" s="33" t="s">
        <v>330</v>
      </c>
      <c r="M5" s="33" t="s">
        <v>150</v>
      </c>
    </row>
    <row r="6" spans="1:13" x14ac:dyDescent="0.35">
      <c r="A6" s="33" t="s">
        <v>327</v>
      </c>
      <c r="B6" s="33" t="s">
        <v>17</v>
      </c>
      <c r="C6" s="33" t="s">
        <v>18</v>
      </c>
      <c r="D6" s="33" t="s">
        <v>19</v>
      </c>
      <c r="E6" s="33" t="s">
        <v>24</v>
      </c>
      <c r="F6" s="53">
        <v>44099</v>
      </c>
      <c r="G6" s="33">
        <v>125</v>
      </c>
      <c r="H6" s="53">
        <v>44279</v>
      </c>
      <c r="I6" s="33" t="s">
        <v>21</v>
      </c>
      <c r="J6" s="33" t="s">
        <v>342</v>
      </c>
      <c r="K6" s="33" t="s">
        <v>329</v>
      </c>
      <c r="L6" s="33" t="s">
        <v>330</v>
      </c>
      <c r="M6" s="33" t="s">
        <v>150</v>
      </c>
    </row>
    <row r="7" spans="1:13" x14ac:dyDescent="0.35">
      <c r="A7" s="33" t="s">
        <v>327</v>
      </c>
      <c r="B7" s="33" t="s">
        <v>17</v>
      </c>
      <c r="C7" s="33" t="s">
        <v>18</v>
      </c>
      <c r="D7" s="33" t="s">
        <v>19</v>
      </c>
      <c r="E7" s="33" t="s">
        <v>25</v>
      </c>
      <c r="F7" s="53">
        <v>44099</v>
      </c>
      <c r="G7" s="33">
        <v>125</v>
      </c>
      <c r="H7" s="53">
        <v>44279</v>
      </c>
      <c r="I7" s="33" t="s">
        <v>21</v>
      </c>
      <c r="J7" s="33" t="s">
        <v>342</v>
      </c>
      <c r="K7" s="33" t="s">
        <v>329</v>
      </c>
      <c r="L7" s="33" t="s">
        <v>330</v>
      </c>
      <c r="M7" s="33" t="s">
        <v>150</v>
      </c>
    </row>
    <row r="8" spans="1:13" x14ac:dyDescent="0.35">
      <c r="A8" s="33" t="s">
        <v>327</v>
      </c>
      <c r="B8" s="33" t="s">
        <v>17</v>
      </c>
      <c r="C8" s="33" t="s">
        <v>18</v>
      </c>
      <c r="D8" s="33" t="s">
        <v>19</v>
      </c>
      <c r="E8" s="33" t="s">
        <v>34</v>
      </c>
      <c r="F8" s="53">
        <v>44099</v>
      </c>
      <c r="G8" s="33">
        <v>125</v>
      </c>
      <c r="H8" s="53">
        <v>44279</v>
      </c>
      <c r="I8" s="33" t="s">
        <v>21</v>
      </c>
      <c r="J8" s="33" t="s">
        <v>340</v>
      </c>
      <c r="K8" s="33" t="s">
        <v>329</v>
      </c>
      <c r="L8" s="33" t="s">
        <v>330</v>
      </c>
      <c r="M8" s="33" t="s">
        <v>150</v>
      </c>
    </row>
    <row r="9" spans="1:13" x14ac:dyDescent="0.35">
      <c r="A9" s="33" t="s">
        <v>327</v>
      </c>
      <c r="B9" s="33" t="s">
        <v>17</v>
      </c>
      <c r="C9" s="33" t="s">
        <v>18</v>
      </c>
      <c r="D9" s="33" t="s">
        <v>19</v>
      </c>
      <c r="E9" s="33" t="s">
        <v>30</v>
      </c>
      <c r="F9" s="53">
        <v>44099</v>
      </c>
      <c r="G9" s="33">
        <v>125</v>
      </c>
      <c r="H9" s="53">
        <v>44279</v>
      </c>
      <c r="I9" s="33" t="s">
        <v>21</v>
      </c>
      <c r="J9" s="33" t="s">
        <v>988</v>
      </c>
      <c r="K9" s="33" t="s">
        <v>329</v>
      </c>
      <c r="L9" s="33" t="s">
        <v>330</v>
      </c>
      <c r="M9" s="33" t="s">
        <v>150</v>
      </c>
    </row>
    <row r="10" spans="1:13" x14ac:dyDescent="0.35">
      <c r="A10" s="33" t="s">
        <v>327</v>
      </c>
      <c r="B10" s="33" t="s">
        <v>17</v>
      </c>
      <c r="C10" s="33" t="s">
        <v>18</v>
      </c>
      <c r="D10" s="33" t="s">
        <v>19</v>
      </c>
      <c r="E10" s="33" t="s">
        <v>31</v>
      </c>
      <c r="F10" s="53">
        <v>44099</v>
      </c>
      <c r="G10" s="33">
        <v>125</v>
      </c>
      <c r="H10" s="53">
        <v>44279</v>
      </c>
      <c r="I10" s="33" t="s">
        <v>21</v>
      </c>
      <c r="J10" s="33" t="s">
        <v>988</v>
      </c>
      <c r="K10" s="33" t="s">
        <v>329</v>
      </c>
      <c r="L10" s="33" t="s">
        <v>330</v>
      </c>
      <c r="M10" s="33" t="s">
        <v>150</v>
      </c>
    </row>
    <row r="11" spans="1:13" x14ac:dyDescent="0.35">
      <c r="A11" s="33" t="s">
        <v>327</v>
      </c>
      <c r="B11" s="33" t="s">
        <v>17</v>
      </c>
      <c r="C11" s="33" t="s">
        <v>18</v>
      </c>
      <c r="D11" s="33" t="s">
        <v>19</v>
      </c>
      <c r="E11" s="33" t="s">
        <v>26</v>
      </c>
      <c r="F11" s="53">
        <v>44099</v>
      </c>
      <c r="G11" s="33">
        <v>125</v>
      </c>
      <c r="H11" s="53">
        <v>44279</v>
      </c>
      <c r="I11" s="33" t="s">
        <v>21</v>
      </c>
      <c r="J11" s="33" t="s">
        <v>342</v>
      </c>
      <c r="K11" s="33" t="s">
        <v>329</v>
      </c>
      <c r="L11" s="33" t="s">
        <v>330</v>
      </c>
      <c r="M11" s="33" t="s">
        <v>150</v>
      </c>
    </row>
    <row r="12" spans="1:13" x14ac:dyDescent="0.35">
      <c r="A12" s="33" t="s">
        <v>327</v>
      </c>
      <c r="B12" s="33" t="s">
        <v>17</v>
      </c>
      <c r="C12" s="33" t="s">
        <v>18</v>
      </c>
      <c r="D12" s="33" t="s">
        <v>19</v>
      </c>
      <c r="E12" s="33" t="s">
        <v>27</v>
      </c>
      <c r="F12" s="53">
        <v>44099</v>
      </c>
      <c r="G12" s="33">
        <v>125</v>
      </c>
      <c r="H12" s="53">
        <v>44279</v>
      </c>
      <c r="I12" s="33" t="s">
        <v>21</v>
      </c>
      <c r="J12" s="33" t="s">
        <v>342</v>
      </c>
      <c r="K12" s="33" t="s">
        <v>329</v>
      </c>
      <c r="L12" s="33" t="s">
        <v>330</v>
      </c>
      <c r="M12" s="33" t="s">
        <v>150</v>
      </c>
    </row>
    <row r="13" spans="1:13" x14ac:dyDescent="0.35">
      <c r="A13" s="33" t="s">
        <v>327</v>
      </c>
      <c r="B13" s="33" t="s">
        <v>17</v>
      </c>
      <c r="C13" s="33" t="s">
        <v>18</v>
      </c>
      <c r="D13" s="33" t="s">
        <v>19</v>
      </c>
      <c r="E13" s="33" t="s">
        <v>35</v>
      </c>
      <c r="F13" s="53">
        <v>44099</v>
      </c>
      <c r="G13" s="33">
        <v>125</v>
      </c>
      <c r="H13" s="53">
        <v>44279</v>
      </c>
      <c r="I13" s="33" t="s">
        <v>21</v>
      </c>
      <c r="J13" s="33" t="s">
        <v>340</v>
      </c>
      <c r="K13" s="33" t="s">
        <v>329</v>
      </c>
      <c r="L13" s="33" t="s">
        <v>330</v>
      </c>
      <c r="M13" s="33" t="s">
        <v>150</v>
      </c>
    </row>
    <row r="14" spans="1:13" x14ac:dyDescent="0.35">
      <c r="A14" s="33" t="s">
        <v>327</v>
      </c>
      <c r="B14" s="33" t="s">
        <v>17</v>
      </c>
      <c r="C14" s="33" t="s">
        <v>18</v>
      </c>
      <c r="D14" s="33" t="s">
        <v>19</v>
      </c>
      <c r="E14" s="33" t="s">
        <v>28</v>
      </c>
      <c r="F14" s="53">
        <v>44099</v>
      </c>
      <c r="G14" s="33">
        <v>125</v>
      </c>
      <c r="H14" s="53">
        <v>44279</v>
      </c>
      <c r="I14" s="33" t="s">
        <v>21</v>
      </c>
      <c r="J14" s="33" t="s">
        <v>342</v>
      </c>
      <c r="K14" s="33" t="s">
        <v>329</v>
      </c>
      <c r="L14" s="33" t="s">
        <v>330</v>
      </c>
      <c r="M14" s="33" t="s">
        <v>150</v>
      </c>
    </row>
    <row r="15" spans="1:13" x14ac:dyDescent="0.35">
      <c r="A15" s="33" t="s">
        <v>327</v>
      </c>
      <c r="B15" s="33" t="s">
        <v>17</v>
      </c>
      <c r="C15" s="33" t="s">
        <v>18</v>
      </c>
      <c r="D15" s="33" t="s">
        <v>19</v>
      </c>
      <c r="E15" s="33" t="s">
        <v>29</v>
      </c>
      <c r="F15" s="53">
        <v>44099</v>
      </c>
      <c r="G15" s="33">
        <v>125</v>
      </c>
      <c r="H15" s="53">
        <v>44279</v>
      </c>
      <c r="I15" s="33" t="s">
        <v>21</v>
      </c>
      <c r="J15" s="33" t="s">
        <v>342</v>
      </c>
      <c r="K15" s="33" t="s">
        <v>329</v>
      </c>
      <c r="L15" s="33" t="s">
        <v>330</v>
      </c>
      <c r="M15" s="33" t="s">
        <v>150</v>
      </c>
    </row>
    <row r="16" spans="1:13" x14ac:dyDescent="0.35">
      <c r="A16" s="33" t="s">
        <v>327</v>
      </c>
      <c r="B16" s="33" t="s">
        <v>17</v>
      </c>
      <c r="C16" s="33" t="s">
        <v>18</v>
      </c>
      <c r="D16" s="33" t="s">
        <v>19</v>
      </c>
      <c r="E16" s="33" t="s">
        <v>36</v>
      </c>
      <c r="F16" s="53">
        <v>44099</v>
      </c>
      <c r="G16" s="33">
        <v>125</v>
      </c>
      <c r="H16" s="53">
        <v>44279</v>
      </c>
      <c r="I16" s="33" t="s">
        <v>21</v>
      </c>
      <c r="J16" s="33" t="s">
        <v>340</v>
      </c>
      <c r="K16" s="33" t="s">
        <v>329</v>
      </c>
      <c r="L16" s="33" t="s">
        <v>330</v>
      </c>
      <c r="M16" s="33" t="s">
        <v>150</v>
      </c>
    </row>
    <row r="17" spans="1:13" x14ac:dyDescent="0.35">
      <c r="A17" s="33" t="s">
        <v>327</v>
      </c>
      <c r="B17" s="33" t="s">
        <v>17</v>
      </c>
      <c r="C17" s="33" t="s">
        <v>18</v>
      </c>
      <c r="D17" s="33" t="s">
        <v>19</v>
      </c>
      <c r="E17" s="33" t="s">
        <v>37</v>
      </c>
      <c r="F17" s="53">
        <v>44099</v>
      </c>
      <c r="G17" s="33">
        <v>125</v>
      </c>
      <c r="H17" s="53">
        <v>44279</v>
      </c>
      <c r="I17" s="33" t="s">
        <v>21</v>
      </c>
      <c r="J17" s="33" t="s">
        <v>340</v>
      </c>
      <c r="K17" s="33" t="s">
        <v>329</v>
      </c>
      <c r="L17" s="33" t="s">
        <v>330</v>
      </c>
      <c r="M17" s="33" t="s">
        <v>150</v>
      </c>
    </row>
    <row r="18" spans="1:13" x14ac:dyDescent="0.35">
      <c r="A18" s="33" t="s">
        <v>335</v>
      </c>
      <c r="B18" s="33" t="s">
        <v>17</v>
      </c>
      <c r="C18" s="33" t="s">
        <v>1306</v>
      </c>
      <c r="D18" s="33" t="s">
        <v>1307</v>
      </c>
      <c r="E18" s="33" t="s">
        <v>1308</v>
      </c>
      <c r="F18" s="53">
        <v>44700</v>
      </c>
      <c r="G18" s="33">
        <v>60</v>
      </c>
      <c r="H18" s="53">
        <v>44789</v>
      </c>
      <c r="I18" s="33" t="s">
        <v>21</v>
      </c>
      <c r="J18" s="33" t="s">
        <v>342</v>
      </c>
      <c r="K18" s="33" t="s">
        <v>329</v>
      </c>
      <c r="L18" s="33" t="s">
        <v>330</v>
      </c>
      <c r="M18" s="33" t="s">
        <v>678</v>
      </c>
    </row>
    <row r="19" spans="1:13" x14ac:dyDescent="0.35">
      <c r="A19" s="33" t="s">
        <v>327</v>
      </c>
      <c r="B19" s="33" t="s">
        <v>17</v>
      </c>
      <c r="C19" s="33" t="s">
        <v>139</v>
      </c>
      <c r="D19" s="33" t="s">
        <v>140</v>
      </c>
      <c r="E19" s="33" t="s">
        <v>141</v>
      </c>
      <c r="F19" s="53">
        <v>44763</v>
      </c>
      <c r="G19" s="33">
        <v>125</v>
      </c>
      <c r="H19" s="53">
        <v>44946</v>
      </c>
      <c r="I19" s="33" t="s">
        <v>21</v>
      </c>
      <c r="J19" s="33" t="s">
        <v>342</v>
      </c>
      <c r="K19" s="33" t="s">
        <v>329</v>
      </c>
      <c r="L19" s="33" t="s">
        <v>330</v>
      </c>
      <c r="M19" s="33" t="s">
        <v>150</v>
      </c>
    </row>
    <row r="20" spans="1:13" x14ac:dyDescent="0.35">
      <c r="A20" s="33" t="s">
        <v>327</v>
      </c>
      <c r="B20" s="33" t="s">
        <v>17</v>
      </c>
      <c r="C20" s="33" t="s">
        <v>1309</v>
      </c>
      <c r="D20" s="33" t="s">
        <v>1310</v>
      </c>
      <c r="E20" s="33" t="s">
        <v>1311</v>
      </c>
      <c r="F20" s="53">
        <v>44861</v>
      </c>
      <c r="G20" s="33">
        <v>125</v>
      </c>
      <c r="H20" s="53">
        <v>45043</v>
      </c>
      <c r="I20" s="33" t="s">
        <v>21</v>
      </c>
      <c r="J20" s="33" t="s">
        <v>339</v>
      </c>
      <c r="K20" s="33" t="s">
        <v>338</v>
      </c>
      <c r="L20" s="33" t="s">
        <v>330</v>
      </c>
      <c r="M20" s="33" t="s">
        <v>678</v>
      </c>
    </row>
    <row r="21" spans="1:13" x14ac:dyDescent="0.35">
      <c r="A21" s="33" t="s">
        <v>327</v>
      </c>
      <c r="B21" s="33" t="s">
        <v>17</v>
      </c>
      <c r="C21" s="33" t="s">
        <v>989</v>
      </c>
      <c r="D21" s="33" t="s">
        <v>151</v>
      </c>
      <c r="E21" s="33" t="s">
        <v>152</v>
      </c>
      <c r="F21" s="53">
        <v>44876</v>
      </c>
      <c r="G21" s="33">
        <v>125</v>
      </c>
      <c r="H21" s="53">
        <v>45058</v>
      </c>
      <c r="I21" s="33" t="s">
        <v>21</v>
      </c>
      <c r="J21" s="33" t="s">
        <v>341</v>
      </c>
      <c r="K21" s="33" t="s">
        <v>329</v>
      </c>
      <c r="L21" s="33" t="s">
        <v>330</v>
      </c>
      <c r="M21" s="33" t="s">
        <v>153</v>
      </c>
    </row>
    <row r="22" spans="1:13" x14ac:dyDescent="0.35">
      <c r="A22" s="33" t="s">
        <v>327</v>
      </c>
      <c r="B22" s="33" t="s">
        <v>17</v>
      </c>
      <c r="C22" s="33" t="s">
        <v>349</v>
      </c>
      <c r="D22" s="33" t="s">
        <v>350</v>
      </c>
      <c r="E22" s="33" t="s">
        <v>351</v>
      </c>
      <c r="F22" s="53">
        <v>44887</v>
      </c>
      <c r="G22" s="33">
        <v>125</v>
      </c>
      <c r="H22" s="53">
        <v>45069</v>
      </c>
      <c r="I22" s="33" t="s">
        <v>21</v>
      </c>
      <c r="J22" s="33" t="s">
        <v>332</v>
      </c>
      <c r="K22" s="33" t="s">
        <v>329</v>
      </c>
      <c r="L22" s="33" t="s">
        <v>330</v>
      </c>
      <c r="M22" s="33" t="s">
        <v>678</v>
      </c>
    </row>
    <row r="23" spans="1:13" x14ac:dyDescent="0.35">
      <c r="A23" s="33" t="s">
        <v>327</v>
      </c>
      <c r="B23" s="33" t="s">
        <v>17</v>
      </c>
      <c r="C23" s="33" t="s">
        <v>990</v>
      </c>
      <c r="D23" s="33" t="s">
        <v>154</v>
      </c>
      <c r="E23" s="33" t="s">
        <v>991</v>
      </c>
      <c r="F23" s="53">
        <v>44994</v>
      </c>
      <c r="G23" s="33">
        <v>125</v>
      </c>
      <c r="H23" s="53">
        <v>45177</v>
      </c>
      <c r="I23" s="33" t="s">
        <v>21</v>
      </c>
      <c r="J23" s="33" t="s">
        <v>328</v>
      </c>
      <c r="K23" s="33" t="s">
        <v>329</v>
      </c>
      <c r="L23" s="33" t="s">
        <v>330</v>
      </c>
      <c r="M23" s="33" t="s">
        <v>155</v>
      </c>
    </row>
    <row r="24" spans="1:13" x14ac:dyDescent="0.35">
      <c r="A24" s="33" t="s">
        <v>327</v>
      </c>
      <c r="B24" s="33" t="s">
        <v>17</v>
      </c>
      <c r="C24" s="33" t="s">
        <v>1312</v>
      </c>
      <c r="D24" s="33" t="s">
        <v>1313</v>
      </c>
      <c r="E24" s="33" t="s">
        <v>1314</v>
      </c>
      <c r="F24" s="53">
        <v>45014</v>
      </c>
      <c r="G24" s="33">
        <v>125</v>
      </c>
      <c r="H24" s="53">
        <v>45197</v>
      </c>
      <c r="I24" s="33" t="s">
        <v>21</v>
      </c>
      <c r="J24" s="33" t="s">
        <v>339</v>
      </c>
      <c r="K24" s="33" t="s">
        <v>338</v>
      </c>
      <c r="L24" s="33" t="s">
        <v>330</v>
      </c>
      <c r="M24" s="33" t="s">
        <v>678</v>
      </c>
    </row>
    <row r="25" spans="1:13" x14ac:dyDescent="0.35">
      <c r="A25" s="33" t="s">
        <v>327</v>
      </c>
      <c r="B25" s="33" t="s">
        <v>17</v>
      </c>
      <c r="C25" s="33" t="s">
        <v>1315</v>
      </c>
      <c r="D25" s="33" t="s">
        <v>1316</v>
      </c>
      <c r="E25" s="33" t="s">
        <v>1317</v>
      </c>
      <c r="F25" s="53">
        <v>45082</v>
      </c>
      <c r="G25" s="33">
        <v>125</v>
      </c>
      <c r="H25" s="53">
        <v>45261</v>
      </c>
      <c r="I25" s="33" t="s">
        <v>21</v>
      </c>
      <c r="J25" s="33" t="s">
        <v>333</v>
      </c>
      <c r="K25" s="33" t="s">
        <v>338</v>
      </c>
      <c r="L25" s="33" t="s">
        <v>330</v>
      </c>
      <c r="M25" s="33" t="s">
        <v>678</v>
      </c>
    </row>
    <row r="26" spans="1:13" x14ac:dyDescent="0.35">
      <c r="A26" s="33" t="s">
        <v>327</v>
      </c>
      <c r="B26" s="33" t="s">
        <v>17</v>
      </c>
      <c r="C26" s="33" t="s">
        <v>985</v>
      </c>
      <c r="D26" s="33" t="s">
        <v>986</v>
      </c>
      <c r="E26" s="33" t="s">
        <v>987</v>
      </c>
      <c r="F26" s="53">
        <v>45124</v>
      </c>
      <c r="G26" s="33">
        <v>125</v>
      </c>
      <c r="H26" s="53">
        <v>45307</v>
      </c>
      <c r="I26" s="33" t="s">
        <v>21</v>
      </c>
      <c r="J26" s="33" t="s">
        <v>332</v>
      </c>
      <c r="K26" s="33" t="s">
        <v>329</v>
      </c>
      <c r="L26" s="33" t="s">
        <v>330</v>
      </c>
      <c r="M26" s="33" t="s">
        <v>678</v>
      </c>
    </row>
    <row r="27" spans="1:13" x14ac:dyDescent="0.35">
      <c r="A27" s="33" t="s">
        <v>327</v>
      </c>
      <c r="B27" s="33" t="s">
        <v>17</v>
      </c>
      <c r="C27" s="33" t="s">
        <v>156</v>
      </c>
      <c r="D27" s="33" t="s">
        <v>157</v>
      </c>
      <c r="E27" s="33" t="s">
        <v>158</v>
      </c>
      <c r="F27" s="53">
        <v>45146</v>
      </c>
      <c r="G27" s="33">
        <v>125</v>
      </c>
      <c r="H27" s="53">
        <v>45328</v>
      </c>
      <c r="I27" s="33" t="s">
        <v>21</v>
      </c>
      <c r="J27" s="33" t="s">
        <v>352</v>
      </c>
      <c r="K27" s="33" t="s">
        <v>329</v>
      </c>
      <c r="L27" s="33" t="s">
        <v>330</v>
      </c>
      <c r="M27" s="33" t="s">
        <v>150</v>
      </c>
    </row>
    <row r="28" spans="1:13" x14ac:dyDescent="0.35">
      <c r="A28" s="33" t="s">
        <v>327</v>
      </c>
      <c r="B28" s="33" t="s">
        <v>17</v>
      </c>
      <c r="C28" s="33" t="s">
        <v>170</v>
      </c>
      <c r="D28" s="33" t="s">
        <v>171</v>
      </c>
      <c r="E28" s="33" t="s">
        <v>172</v>
      </c>
      <c r="F28" s="53">
        <v>45211</v>
      </c>
      <c r="G28" s="33">
        <v>125</v>
      </c>
      <c r="H28" s="53">
        <v>45394</v>
      </c>
      <c r="I28" s="33" t="s">
        <v>21</v>
      </c>
      <c r="J28" s="33" t="s">
        <v>340</v>
      </c>
      <c r="K28" s="33" t="s">
        <v>329</v>
      </c>
      <c r="L28" s="33" t="s">
        <v>330</v>
      </c>
      <c r="M28" s="33" t="s">
        <v>678</v>
      </c>
    </row>
    <row r="29" spans="1:13" x14ac:dyDescent="0.35">
      <c r="A29" s="33" t="s">
        <v>327</v>
      </c>
      <c r="B29" s="33" t="s">
        <v>17</v>
      </c>
      <c r="C29" s="33" t="s">
        <v>146</v>
      </c>
      <c r="D29" s="33" t="s">
        <v>147</v>
      </c>
      <c r="E29" s="33" t="s">
        <v>148</v>
      </c>
      <c r="F29" s="53">
        <v>45476</v>
      </c>
      <c r="G29" s="33">
        <v>125</v>
      </c>
      <c r="H29" s="53">
        <v>45663</v>
      </c>
      <c r="I29" s="33" t="s">
        <v>21</v>
      </c>
      <c r="J29" s="33" t="s">
        <v>345</v>
      </c>
      <c r="K29" s="33" t="s">
        <v>338</v>
      </c>
      <c r="L29" s="33" t="s">
        <v>330</v>
      </c>
      <c r="M29" s="33" t="s">
        <v>353</v>
      </c>
    </row>
    <row r="30" spans="1:13" x14ac:dyDescent="0.35">
      <c r="A30" s="33" t="s">
        <v>327</v>
      </c>
      <c r="B30" s="33" t="s">
        <v>42</v>
      </c>
      <c r="C30" s="33" t="s">
        <v>354</v>
      </c>
      <c r="D30" s="33" t="s">
        <v>355</v>
      </c>
      <c r="E30" s="33" t="s">
        <v>356</v>
      </c>
      <c r="F30" s="53">
        <v>45559</v>
      </c>
      <c r="G30" s="33">
        <v>125</v>
      </c>
      <c r="H30" s="53">
        <v>45741</v>
      </c>
      <c r="I30" s="33" t="s">
        <v>21</v>
      </c>
      <c r="J30" s="33" t="s">
        <v>340</v>
      </c>
      <c r="K30" s="33" t="s">
        <v>329</v>
      </c>
      <c r="L30" s="33" t="s">
        <v>330</v>
      </c>
      <c r="M30" s="33" t="s">
        <v>1318</v>
      </c>
    </row>
    <row r="31" spans="1:13" x14ac:dyDescent="0.35">
      <c r="A31" s="33" t="s">
        <v>327</v>
      </c>
      <c r="B31" s="33" t="s">
        <v>17</v>
      </c>
      <c r="C31" s="33" t="s">
        <v>205</v>
      </c>
      <c r="D31" s="33" t="s">
        <v>206</v>
      </c>
      <c r="E31" s="33" t="s">
        <v>207</v>
      </c>
      <c r="F31" s="53">
        <v>45702</v>
      </c>
      <c r="G31" s="33">
        <v>125</v>
      </c>
      <c r="H31" s="53">
        <v>45888</v>
      </c>
      <c r="I31" s="33" t="s">
        <v>21</v>
      </c>
      <c r="J31" s="33" t="s">
        <v>328</v>
      </c>
      <c r="K31" s="33" t="s">
        <v>329</v>
      </c>
      <c r="L31" s="33" t="s">
        <v>330</v>
      </c>
      <c r="M31" s="33" t="s">
        <v>1319</v>
      </c>
    </row>
    <row r="32" spans="1:13" x14ac:dyDescent="0.35">
      <c r="A32" s="33" t="s">
        <v>327</v>
      </c>
      <c r="B32" s="33" t="s">
        <v>17</v>
      </c>
      <c r="C32" s="33" t="s">
        <v>363</v>
      </c>
      <c r="D32" s="33" t="s">
        <v>364</v>
      </c>
      <c r="E32" s="33" t="s">
        <v>365</v>
      </c>
      <c r="F32" s="53">
        <v>45722</v>
      </c>
      <c r="G32" s="33">
        <v>125</v>
      </c>
      <c r="H32" s="53">
        <v>45908</v>
      </c>
      <c r="I32" s="33" t="s">
        <v>21</v>
      </c>
      <c r="J32" s="33" t="s">
        <v>339</v>
      </c>
      <c r="K32" s="33" t="s">
        <v>338</v>
      </c>
      <c r="L32" s="33" t="s">
        <v>330</v>
      </c>
      <c r="M32" s="33"/>
    </row>
    <row r="33" spans="1:13" x14ac:dyDescent="0.35">
      <c r="A33" s="33" t="s">
        <v>327</v>
      </c>
      <c r="B33" s="33" t="s">
        <v>17</v>
      </c>
      <c r="C33" s="33" t="s">
        <v>265</v>
      </c>
      <c r="D33" s="33" t="s">
        <v>266</v>
      </c>
      <c r="E33" s="33" t="s">
        <v>274</v>
      </c>
      <c r="F33" s="53">
        <v>45723</v>
      </c>
      <c r="G33" s="33">
        <v>125</v>
      </c>
      <c r="H33" s="53">
        <v>45909</v>
      </c>
      <c r="I33" s="33" t="s">
        <v>21</v>
      </c>
      <c r="J33" s="33" t="s">
        <v>339</v>
      </c>
      <c r="K33" s="33" t="s">
        <v>338</v>
      </c>
      <c r="L33" s="33" t="s">
        <v>330</v>
      </c>
      <c r="M33" s="33"/>
    </row>
    <row r="34" spans="1:13" x14ac:dyDescent="0.35">
      <c r="A34" s="33" t="s">
        <v>327</v>
      </c>
      <c r="B34" s="33" t="s">
        <v>17</v>
      </c>
      <c r="C34" s="33" t="s">
        <v>289</v>
      </c>
      <c r="D34" s="33" t="s">
        <v>290</v>
      </c>
      <c r="E34" s="33" t="s">
        <v>291</v>
      </c>
      <c r="F34" s="53">
        <v>45728</v>
      </c>
      <c r="G34" s="33">
        <v>125</v>
      </c>
      <c r="H34" s="53">
        <v>45912</v>
      </c>
      <c r="I34" s="33" t="s">
        <v>21</v>
      </c>
      <c r="J34" s="33" t="s">
        <v>332</v>
      </c>
      <c r="K34" s="33" t="s">
        <v>329</v>
      </c>
      <c r="L34" s="33" t="s">
        <v>330</v>
      </c>
      <c r="M34" s="33"/>
    </row>
    <row r="35" spans="1:13" x14ac:dyDescent="0.35">
      <c r="A35" s="33" t="s">
        <v>327</v>
      </c>
      <c r="B35" s="33" t="s">
        <v>17</v>
      </c>
      <c r="C35" s="33" t="s">
        <v>134</v>
      </c>
      <c r="D35" s="33" t="s">
        <v>135</v>
      </c>
      <c r="E35" s="33" t="s">
        <v>295</v>
      </c>
      <c r="F35" s="53">
        <v>45730</v>
      </c>
      <c r="G35" s="33">
        <v>125</v>
      </c>
      <c r="H35" s="53">
        <v>45916</v>
      </c>
      <c r="I35" s="33" t="s">
        <v>21</v>
      </c>
      <c r="J35" s="33" t="s">
        <v>342</v>
      </c>
      <c r="K35" s="33" t="s">
        <v>329</v>
      </c>
      <c r="L35" s="33" t="s">
        <v>330</v>
      </c>
      <c r="M35" s="33"/>
    </row>
    <row r="36" spans="1:13" x14ac:dyDescent="0.35">
      <c r="A36" s="33" t="s">
        <v>327</v>
      </c>
      <c r="B36" s="33" t="s">
        <v>17</v>
      </c>
      <c r="C36" s="33" t="s">
        <v>366</v>
      </c>
      <c r="D36" s="33" t="s">
        <v>367</v>
      </c>
      <c r="E36" s="33" t="s">
        <v>368</v>
      </c>
      <c r="F36" s="53">
        <v>45730</v>
      </c>
      <c r="G36" s="33">
        <v>125</v>
      </c>
      <c r="H36" s="53">
        <v>45916</v>
      </c>
      <c r="I36" s="33" t="s">
        <v>21</v>
      </c>
      <c r="J36" s="33" t="s">
        <v>332</v>
      </c>
      <c r="K36" s="33" t="s">
        <v>329</v>
      </c>
      <c r="L36" s="33" t="s">
        <v>330</v>
      </c>
      <c r="M36" s="33"/>
    </row>
    <row r="37" spans="1:13" x14ac:dyDescent="0.35">
      <c r="A37" s="33" t="s">
        <v>327</v>
      </c>
      <c r="B37" s="33" t="s">
        <v>17</v>
      </c>
      <c r="C37" s="33" t="s">
        <v>296</v>
      </c>
      <c r="D37" s="33" t="s">
        <v>297</v>
      </c>
      <c r="E37" s="33" t="s">
        <v>298</v>
      </c>
      <c r="F37" s="53">
        <v>45733</v>
      </c>
      <c r="G37" s="33">
        <v>125</v>
      </c>
      <c r="H37" s="53">
        <v>45917</v>
      </c>
      <c r="I37" s="33" t="s">
        <v>21</v>
      </c>
      <c r="J37" s="33" t="s">
        <v>342</v>
      </c>
      <c r="K37" s="33" t="s">
        <v>329</v>
      </c>
      <c r="L37" s="33" t="s">
        <v>330</v>
      </c>
      <c r="M37" s="33"/>
    </row>
    <row r="38" spans="1:13" x14ac:dyDescent="0.35">
      <c r="A38" s="33" t="s">
        <v>327</v>
      </c>
      <c r="B38" s="33" t="s">
        <v>17</v>
      </c>
      <c r="C38" s="33" t="s">
        <v>302</v>
      </c>
      <c r="D38" s="33" t="s">
        <v>303</v>
      </c>
      <c r="E38" s="33" t="s">
        <v>307</v>
      </c>
      <c r="F38" s="53">
        <v>45733</v>
      </c>
      <c r="G38" s="33">
        <v>125</v>
      </c>
      <c r="H38" s="53">
        <v>45917</v>
      </c>
      <c r="I38" s="33" t="s">
        <v>21</v>
      </c>
      <c r="J38" s="33" t="s">
        <v>336</v>
      </c>
      <c r="K38" s="33" t="s">
        <v>338</v>
      </c>
      <c r="L38" s="33" t="s">
        <v>330</v>
      </c>
      <c r="M38" s="33"/>
    </row>
    <row r="39" spans="1:13" x14ac:dyDescent="0.35">
      <c r="A39" s="33" t="s">
        <v>327</v>
      </c>
      <c r="B39" s="33" t="s">
        <v>17</v>
      </c>
      <c r="C39" s="33" t="s">
        <v>302</v>
      </c>
      <c r="D39" s="33" t="s">
        <v>303</v>
      </c>
      <c r="E39" s="33" t="s">
        <v>306</v>
      </c>
      <c r="F39" s="53">
        <v>45733</v>
      </c>
      <c r="G39" s="33">
        <v>125</v>
      </c>
      <c r="H39" s="53">
        <v>45917</v>
      </c>
      <c r="I39" s="33" t="s">
        <v>21</v>
      </c>
      <c r="J39" s="33" t="s">
        <v>336</v>
      </c>
      <c r="K39" s="33" t="s">
        <v>338</v>
      </c>
      <c r="L39" s="33" t="s">
        <v>330</v>
      </c>
      <c r="M39" s="33"/>
    </row>
    <row r="40" spans="1:13" x14ac:dyDescent="0.35">
      <c r="A40" s="33" t="s">
        <v>327</v>
      </c>
      <c r="B40" s="33" t="s">
        <v>17</v>
      </c>
      <c r="C40" s="33" t="s">
        <v>302</v>
      </c>
      <c r="D40" s="33" t="s">
        <v>303</v>
      </c>
      <c r="E40" s="33" t="s">
        <v>305</v>
      </c>
      <c r="F40" s="53">
        <v>45733</v>
      </c>
      <c r="G40" s="33">
        <v>125</v>
      </c>
      <c r="H40" s="53">
        <v>45917</v>
      </c>
      <c r="I40" s="33" t="s">
        <v>21</v>
      </c>
      <c r="J40" s="33" t="s">
        <v>336</v>
      </c>
      <c r="K40" s="33" t="s">
        <v>338</v>
      </c>
      <c r="L40" s="33" t="s">
        <v>330</v>
      </c>
      <c r="M40" s="33"/>
    </row>
    <row r="41" spans="1:13" x14ac:dyDescent="0.35">
      <c r="A41" s="33" t="s">
        <v>327</v>
      </c>
      <c r="B41" s="33" t="s">
        <v>17</v>
      </c>
      <c r="C41" s="33" t="s">
        <v>302</v>
      </c>
      <c r="D41" s="33" t="s">
        <v>303</v>
      </c>
      <c r="E41" s="33" t="s">
        <v>304</v>
      </c>
      <c r="F41" s="53">
        <v>45733</v>
      </c>
      <c r="G41" s="33">
        <v>125</v>
      </c>
      <c r="H41" s="53">
        <v>45917</v>
      </c>
      <c r="I41" s="33" t="s">
        <v>21</v>
      </c>
      <c r="J41" s="33" t="s">
        <v>336</v>
      </c>
      <c r="K41" s="33" t="s">
        <v>338</v>
      </c>
      <c r="L41" s="33" t="s">
        <v>330</v>
      </c>
      <c r="M41" s="33"/>
    </row>
    <row r="42" spans="1:13" x14ac:dyDescent="0.35">
      <c r="A42" s="33" t="s">
        <v>327</v>
      </c>
      <c r="B42" s="33" t="s">
        <v>173</v>
      </c>
      <c r="C42" s="33" t="s">
        <v>299</v>
      </c>
      <c r="D42" s="33" t="s">
        <v>300</v>
      </c>
      <c r="E42" s="33" t="s">
        <v>301</v>
      </c>
      <c r="F42" s="53">
        <v>45733</v>
      </c>
      <c r="G42" s="33">
        <v>125</v>
      </c>
      <c r="H42" s="53">
        <v>45917</v>
      </c>
      <c r="I42" s="33" t="s">
        <v>21</v>
      </c>
      <c r="J42" s="33" t="s">
        <v>339</v>
      </c>
      <c r="K42" s="33" t="s">
        <v>338</v>
      </c>
      <c r="L42" s="33" t="s">
        <v>330</v>
      </c>
      <c r="M42" s="33"/>
    </row>
    <row r="43" spans="1:13" x14ac:dyDescent="0.35">
      <c r="A43" s="33" t="s">
        <v>327</v>
      </c>
      <c r="B43" s="33" t="s">
        <v>17</v>
      </c>
      <c r="C43" s="33" t="s">
        <v>314</v>
      </c>
      <c r="D43" s="33" t="s">
        <v>315</v>
      </c>
      <c r="E43" s="33" t="s">
        <v>316</v>
      </c>
      <c r="F43" s="53">
        <v>45734</v>
      </c>
      <c r="G43" s="33">
        <v>125</v>
      </c>
      <c r="H43" s="53">
        <v>45918</v>
      </c>
      <c r="I43" s="33" t="s">
        <v>21</v>
      </c>
      <c r="J43" s="33" t="s">
        <v>332</v>
      </c>
      <c r="K43" s="33" t="s">
        <v>329</v>
      </c>
      <c r="L43" s="33" t="s">
        <v>330</v>
      </c>
      <c r="M43" s="33"/>
    </row>
    <row r="44" spans="1:13" x14ac:dyDescent="0.35">
      <c r="A44" s="33" t="s">
        <v>327</v>
      </c>
      <c r="B44" s="33" t="s">
        <v>17</v>
      </c>
      <c r="C44" s="33" t="s">
        <v>311</v>
      </c>
      <c r="D44" s="33" t="s">
        <v>312</v>
      </c>
      <c r="E44" s="33" t="s">
        <v>313</v>
      </c>
      <c r="F44" s="53">
        <v>45734</v>
      </c>
      <c r="G44" s="33">
        <v>125</v>
      </c>
      <c r="H44" s="53">
        <v>45918</v>
      </c>
      <c r="I44" s="33" t="s">
        <v>21</v>
      </c>
      <c r="J44" s="33" t="s">
        <v>332</v>
      </c>
      <c r="K44" s="33" t="s">
        <v>329</v>
      </c>
      <c r="L44" s="33" t="s">
        <v>330</v>
      </c>
      <c r="M44" s="33"/>
    </row>
    <row r="45" spans="1:13" x14ac:dyDescent="0.35">
      <c r="A45" s="33" t="s">
        <v>327</v>
      </c>
      <c r="B45" s="33" t="s">
        <v>17</v>
      </c>
      <c r="C45" s="33" t="s">
        <v>265</v>
      </c>
      <c r="D45" s="33" t="s">
        <v>266</v>
      </c>
      <c r="E45" s="33" t="s">
        <v>317</v>
      </c>
      <c r="F45" s="53">
        <v>45735</v>
      </c>
      <c r="G45" s="33">
        <v>125</v>
      </c>
      <c r="H45" s="53">
        <v>45919</v>
      </c>
      <c r="I45" s="33" t="s">
        <v>21</v>
      </c>
      <c r="J45" s="33" t="s">
        <v>336</v>
      </c>
      <c r="K45" s="33" t="s">
        <v>338</v>
      </c>
      <c r="L45" s="33" t="s">
        <v>330</v>
      </c>
      <c r="M45" s="33"/>
    </row>
    <row r="46" spans="1:13" x14ac:dyDescent="0.35">
      <c r="A46" s="33" t="s">
        <v>327</v>
      </c>
      <c r="B46" s="33" t="s">
        <v>17</v>
      </c>
      <c r="C46" s="33" t="s">
        <v>378</v>
      </c>
      <c r="D46" s="33" t="s">
        <v>379</v>
      </c>
      <c r="E46" s="33" t="s">
        <v>380</v>
      </c>
      <c r="F46" s="53">
        <v>45736</v>
      </c>
      <c r="G46" s="33">
        <v>125</v>
      </c>
      <c r="H46" s="53">
        <v>45922</v>
      </c>
      <c r="I46" s="33" t="s">
        <v>21</v>
      </c>
      <c r="J46" s="33" t="s">
        <v>342</v>
      </c>
      <c r="K46" s="33" t="s">
        <v>329</v>
      </c>
      <c r="L46" s="33" t="s">
        <v>330</v>
      </c>
      <c r="M46" s="33"/>
    </row>
    <row r="47" spans="1:13" x14ac:dyDescent="0.35">
      <c r="A47" s="33" t="s">
        <v>327</v>
      </c>
      <c r="B47" s="33" t="s">
        <v>17</v>
      </c>
      <c r="C47" s="33" t="s">
        <v>386</v>
      </c>
      <c r="D47" s="33" t="s">
        <v>387</v>
      </c>
      <c r="E47" s="33" t="s">
        <v>388</v>
      </c>
      <c r="F47" s="53">
        <v>45740</v>
      </c>
      <c r="G47" s="33">
        <v>125</v>
      </c>
      <c r="H47" s="53">
        <v>45924</v>
      </c>
      <c r="I47" s="33" t="s">
        <v>21</v>
      </c>
      <c r="J47" s="33" t="s">
        <v>342</v>
      </c>
      <c r="K47" s="33" t="s">
        <v>329</v>
      </c>
      <c r="L47" s="33" t="s">
        <v>330</v>
      </c>
      <c r="M47" s="33"/>
    </row>
    <row r="48" spans="1:13" x14ac:dyDescent="0.35">
      <c r="A48" s="33" t="s">
        <v>327</v>
      </c>
      <c r="B48" s="33" t="s">
        <v>17</v>
      </c>
      <c r="C48" s="33" t="s">
        <v>389</v>
      </c>
      <c r="D48" s="33" t="s">
        <v>390</v>
      </c>
      <c r="E48" s="33" t="s">
        <v>391</v>
      </c>
      <c r="F48" s="53">
        <v>45740</v>
      </c>
      <c r="G48" s="33">
        <v>125</v>
      </c>
      <c r="H48" s="53">
        <v>45924</v>
      </c>
      <c r="I48" s="33" t="s">
        <v>21</v>
      </c>
      <c r="J48" s="33" t="s">
        <v>332</v>
      </c>
      <c r="K48" s="33" t="s">
        <v>329</v>
      </c>
      <c r="L48" s="33" t="s">
        <v>330</v>
      </c>
      <c r="M48" s="33"/>
    </row>
    <row r="49" spans="1:13" x14ac:dyDescent="0.35">
      <c r="A49" s="33" t="s">
        <v>327</v>
      </c>
      <c r="B49" s="33" t="s">
        <v>17</v>
      </c>
      <c r="C49" s="33" t="s">
        <v>393</v>
      </c>
      <c r="D49" s="33" t="s">
        <v>394</v>
      </c>
      <c r="E49" s="33" t="s">
        <v>395</v>
      </c>
      <c r="F49" s="53">
        <v>45742</v>
      </c>
      <c r="G49" s="33">
        <v>125</v>
      </c>
      <c r="H49" s="53">
        <v>45926</v>
      </c>
      <c r="I49" s="33" t="s">
        <v>21</v>
      </c>
      <c r="J49" s="33" t="s">
        <v>343</v>
      </c>
      <c r="K49" s="33" t="s">
        <v>338</v>
      </c>
      <c r="L49" s="33" t="s">
        <v>330</v>
      </c>
      <c r="M49" s="33"/>
    </row>
    <row r="50" spans="1:13" x14ac:dyDescent="0.35">
      <c r="A50" s="33" t="s">
        <v>327</v>
      </c>
      <c r="B50" s="33" t="s">
        <v>17</v>
      </c>
      <c r="C50" s="33" t="s">
        <v>654</v>
      </c>
      <c r="D50" s="33" t="s">
        <v>655</v>
      </c>
      <c r="E50" s="33" t="s">
        <v>679</v>
      </c>
      <c r="F50" s="53">
        <v>45742</v>
      </c>
      <c r="G50" s="33">
        <v>125</v>
      </c>
      <c r="H50" s="53">
        <v>45926</v>
      </c>
      <c r="I50" s="33" t="s">
        <v>21</v>
      </c>
      <c r="J50" s="33" t="s">
        <v>343</v>
      </c>
      <c r="K50" s="33" t="s">
        <v>338</v>
      </c>
      <c r="L50" s="33" t="s">
        <v>330</v>
      </c>
      <c r="M50" s="33"/>
    </row>
    <row r="51" spans="1:13" x14ac:dyDescent="0.35">
      <c r="A51" s="33" t="s">
        <v>327</v>
      </c>
      <c r="B51" s="33" t="s">
        <v>17</v>
      </c>
      <c r="C51" s="33" t="s">
        <v>399</v>
      </c>
      <c r="D51" s="33" t="s">
        <v>400</v>
      </c>
      <c r="E51" s="33" t="s">
        <v>401</v>
      </c>
      <c r="F51" s="53">
        <v>45744</v>
      </c>
      <c r="G51" s="33">
        <v>125</v>
      </c>
      <c r="H51" s="53">
        <v>45930</v>
      </c>
      <c r="I51" s="33" t="s">
        <v>21</v>
      </c>
      <c r="J51" s="33" t="s">
        <v>342</v>
      </c>
      <c r="K51" s="33" t="s">
        <v>329</v>
      </c>
      <c r="L51" s="33" t="s">
        <v>330</v>
      </c>
      <c r="M51" s="33"/>
    </row>
    <row r="52" spans="1:13" x14ac:dyDescent="0.35">
      <c r="A52" s="33" t="s">
        <v>327</v>
      </c>
      <c r="B52" s="33" t="s">
        <v>17</v>
      </c>
      <c r="C52" s="33" t="s">
        <v>396</v>
      </c>
      <c r="D52" s="33" t="s">
        <v>397</v>
      </c>
      <c r="E52" s="33" t="s">
        <v>398</v>
      </c>
      <c r="F52" s="53">
        <v>45744</v>
      </c>
      <c r="G52" s="33">
        <v>125</v>
      </c>
      <c r="H52" s="53">
        <v>45930</v>
      </c>
      <c r="I52" s="33" t="s">
        <v>21</v>
      </c>
      <c r="J52" s="33" t="s">
        <v>342</v>
      </c>
      <c r="K52" s="33" t="s">
        <v>329</v>
      </c>
      <c r="L52" s="33" t="s">
        <v>330</v>
      </c>
      <c r="M52" s="33"/>
    </row>
    <row r="53" spans="1:13" x14ac:dyDescent="0.35">
      <c r="A53" s="33" t="s">
        <v>327</v>
      </c>
      <c r="B53" s="33" t="s">
        <v>17</v>
      </c>
      <c r="C53" s="33" t="s">
        <v>402</v>
      </c>
      <c r="D53" s="33" t="s">
        <v>403</v>
      </c>
      <c r="E53" s="33" t="s">
        <v>404</v>
      </c>
      <c r="F53" s="53">
        <v>45744</v>
      </c>
      <c r="G53" s="33">
        <v>125</v>
      </c>
      <c r="H53" s="53">
        <v>45930</v>
      </c>
      <c r="I53" s="33" t="s">
        <v>21</v>
      </c>
      <c r="J53" s="33" t="s">
        <v>328</v>
      </c>
      <c r="K53" s="33" t="s">
        <v>329</v>
      </c>
      <c r="L53" s="33" t="s">
        <v>330</v>
      </c>
      <c r="M53" s="33"/>
    </row>
    <row r="54" spans="1:13" x14ac:dyDescent="0.35">
      <c r="A54" s="33" t="s">
        <v>327</v>
      </c>
      <c r="B54" s="33" t="s">
        <v>17</v>
      </c>
      <c r="C54" s="33" t="s">
        <v>405</v>
      </c>
      <c r="D54" s="33" t="s">
        <v>406</v>
      </c>
      <c r="E54" s="33" t="s">
        <v>407</v>
      </c>
      <c r="F54" s="53">
        <v>45745</v>
      </c>
      <c r="G54" s="33">
        <v>125</v>
      </c>
      <c r="H54" s="53">
        <v>45930</v>
      </c>
      <c r="I54" s="33" t="s">
        <v>21</v>
      </c>
      <c r="J54" s="33" t="s">
        <v>331</v>
      </c>
      <c r="K54" s="33" t="s">
        <v>329</v>
      </c>
      <c r="L54" s="33" t="s">
        <v>330</v>
      </c>
      <c r="M54" s="33"/>
    </row>
    <row r="55" spans="1:13" x14ac:dyDescent="0.35">
      <c r="A55" s="33" t="s">
        <v>327</v>
      </c>
      <c r="B55" s="33" t="s">
        <v>17</v>
      </c>
      <c r="C55" s="33" t="s">
        <v>146</v>
      </c>
      <c r="D55" s="33" t="s">
        <v>147</v>
      </c>
      <c r="E55" s="33" t="s">
        <v>411</v>
      </c>
      <c r="F55" s="53">
        <v>45747</v>
      </c>
      <c r="G55" s="33">
        <v>125</v>
      </c>
      <c r="H55" s="53">
        <v>45931</v>
      </c>
      <c r="I55" s="33" t="s">
        <v>21</v>
      </c>
      <c r="J55" s="33" t="s">
        <v>336</v>
      </c>
      <c r="K55" s="33" t="s">
        <v>338</v>
      </c>
      <c r="L55" s="33" t="s">
        <v>330</v>
      </c>
      <c r="M55" s="33"/>
    </row>
    <row r="56" spans="1:13" x14ac:dyDescent="0.35">
      <c r="A56" s="33" t="s">
        <v>327</v>
      </c>
      <c r="B56" s="33" t="s">
        <v>17</v>
      </c>
      <c r="C56" s="33" t="s">
        <v>412</v>
      </c>
      <c r="D56" s="33" t="s">
        <v>413</v>
      </c>
      <c r="E56" s="33" t="s">
        <v>414</v>
      </c>
      <c r="F56" s="53">
        <v>45747</v>
      </c>
      <c r="G56" s="33">
        <v>125</v>
      </c>
      <c r="H56" s="53">
        <v>45931</v>
      </c>
      <c r="I56" s="33" t="s">
        <v>21</v>
      </c>
      <c r="J56" s="33" t="s">
        <v>328</v>
      </c>
      <c r="K56" s="33" t="s">
        <v>329</v>
      </c>
      <c r="L56" s="33" t="s">
        <v>330</v>
      </c>
      <c r="M56" s="33"/>
    </row>
    <row r="57" spans="1:13" x14ac:dyDescent="0.35">
      <c r="A57" s="33" t="s">
        <v>327</v>
      </c>
      <c r="B57" s="33" t="s">
        <v>17</v>
      </c>
      <c r="C57" s="33" t="s">
        <v>415</v>
      </c>
      <c r="D57" s="33" t="s">
        <v>416</v>
      </c>
      <c r="E57" s="33" t="s">
        <v>417</v>
      </c>
      <c r="F57" s="53">
        <v>45749</v>
      </c>
      <c r="G57" s="33">
        <v>125</v>
      </c>
      <c r="H57" s="53">
        <v>45933</v>
      </c>
      <c r="I57" s="33" t="s">
        <v>21</v>
      </c>
      <c r="J57" s="33" t="s">
        <v>342</v>
      </c>
      <c r="K57" s="33" t="s">
        <v>329</v>
      </c>
      <c r="L57" s="33" t="s">
        <v>330</v>
      </c>
      <c r="M57" s="33"/>
    </row>
    <row r="58" spans="1:13" x14ac:dyDescent="0.35">
      <c r="A58" s="33" t="s">
        <v>327</v>
      </c>
      <c r="B58" s="33" t="s">
        <v>17</v>
      </c>
      <c r="C58" s="33" t="s">
        <v>428</v>
      </c>
      <c r="D58" s="33" t="s">
        <v>429</v>
      </c>
      <c r="E58" s="33" t="s">
        <v>430</v>
      </c>
      <c r="F58" s="53">
        <v>45749</v>
      </c>
      <c r="G58" s="33">
        <v>125</v>
      </c>
      <c r="H58" s="53">
        <v>45933</v>
      </c>
      <c r="I58" s="33" t="s">
        <v>21</v>
      </c>
      <c r="J58" s="33" t="s">
        <v>336</v>
      </c>
      <c r="K58" s="33" t="s">
        <v>338</v>
      </c>
      <c r="L58" s="33" t="s">
        <v>330</v>
      </c>
      <c r="M58" s="33"/>
    </row>
    <row r="59" spans="1:13" x14ac:dyDescent="0.35">
      <c r="A59" s="33" t="s">
        <v>327</v>
      </c>
      <c r="B59" s="33" t="s">
        <v>17</v>
      </c>
      <c r="C59" s="33" t="s">
        <v>425</v>
      </c>
      <c r="D59" s="33" t="s">
        <v>426</v>
      </c>
      <c r="E59" s="33" t="s">
        <v>427</v>
      </c>
      <c r="F59" s="53">
        <v>45749</v>
      </c>
      <c r="G59" s="33">
        <v>125</v>
      </c>
      <c r="H59" s="53">
        <v>45933</v>
      </c>
      <c r="I59" s="33" t="s">
        <v>21</v>
      </c>
      <c r="J59" s="33" t="s">
        <v>336</v>
      </c>
      <c r="K59" s="33" t="s">
        <v>338</v>
      </c>
      <c r="L59" s="33" t="s">
        <v>330</v>
      </c>
      <c r="M59" s="33"/>
    </row>
    <row r="60" spans="1:13" x14ac:dyDescent="0.35">
      <c r="A60" s="33" t="s">
        <v>327</v>
      </c>
      <c r="B60" s="33" t="s">
        <v>17</v>
      </c>
      <c r="C60" s="33" t="s">
        <v>432</v>
      </c>
      <c r="D60" s="33" t="s">
        <v>433</v>
      </c>
      <c r="E60" s="33" t="s">
        <v>434</v>
      </c>
      <c r="F60" s="53">
        <v>45749</v>
      </c>
      <c r="G60" s="33">
        <v>125</v>
      </c>
      <c r="H60" s="53">
        <v>45933</v>
      </c>
      <c r="I60" s="33" t="s">
        <v>21</v>
      </c>
      <c r="J60" s="33" t="s">
        <v>338</v>
      </c>
      <c r="K60" s="33" t="s">
        <v>338</v>
      </c>
      <c r="L60" s="33" t="s">
        <v>330</v>
      </c>
      <c r="M60" s="33" t="s">
        <v>1320</v>
      </c>
    </row>
    <row r="61" spans="1:13" x14ac:dyDescent="0.35">
      <c r="A61" s="33" t="s">
        <v>327</v>
      </c>
      <c r="B61" s="33" t="s">
        <v>17</v>
      </c>
      <c r="C61" s="33" t="s">
        <v>436</v>
      </c>
      <c r="D61" s="33" t="s">
        <v>437</v>
      </c>
      <c r="E61" s="33" t="s">
        <v>438</v>
      </c>
      <c r="F61" s="53">
        <v>45750</v>
      </c>
      <c r="G61" s="33">
        <v>125</v>
      </c>
      <c r="H61" s="53">
        <v>45936</v>
      </c>
      <c r="I61" s="33" t="s">
        <v>21</v>
      </c>
      <c r="J61" s="33" t="s">
        <v>342</v>
      </c>
      <c r="K61" s="33" t="s">
        <v>329</v>
      </c>
      <c r="L61" s="33" t="s">
        <v>330</v>
      </c>
      <c r="M61" s="33"/>
    </row>
    <row r="62" spans="1:13" x14ac:dyDescent="0.35">
      <c r="A62" s="33" t="s">
        <v>327</v>
      </c>
      <c r="B62" s="33" t="s">
        <v>17</v>
      </c>
      <c r="C62" s="33" t="s">
        <v>428</v>
      </c>
      <c r="D62" s="33" t="s">
        <v>429</v>
      </c>
      <c r="E62" s="33" t="s">
        <v>435</v>
      </c>
      <c r="F62" s="53">
        <v>45750</v>
      </c>
      <c r="G62" s="33">
        <v>125</v>
      </c>
      <c r="H62" s="53">
        <v>45936</v>
      </c>
      <c r="I62" s="33" t="s">
        <v>21</v>
      </c>
      <c r="J62" s="33" t="s">
        <v>333</v>
      </c>
      <c r="K62" s="33" t="s">
        <v>338</v>
      </c>
      <c r="L62" s="33" t="s">
        <v>330</v>
      </c>
      <c r="M62" s="33"/>
    </row>
    <row r="63" spans="1:13" x14ac:dyDescent="0.35">
      <c r="A63" s="33" t="s">
        <v>327</v>
      </c>
      <c r="B63" s="33" t="s">
        <v>17</v>
      </c>
      <c r="C63" s="33" t="s">
        <v>38</v>
      </c>
      <c r="D63" s="33" t="s">
        <v>39</v>
      </c>
      <c r="E63" s="33" t="s">
        <v>442</v>
      </c>
      <c r="F63" s="53">
        <v>45751</v>
      </c>
      <c r="G63" s="33">
        <v>125</v>
      </c>
      <c r="H63" s="53">
        <v>45937</v>
      </c>
      <c r="I63" s="33" t="s">
        <v>21</v>
      </c>
      <c r="J63" s="33" t="s">
        <v>341</v>
      </c>
      <c r="K63" s="33" t="s">
        <v>329</v>
      </c>
      <c r="L63" s="33" t="s">
        <v>330</v>
      </c>
      <c r="M63" s="33"/>
    </row>
    <row r="64" spans="1:13" x14ac:dyDescent="0.35">
      <c r="A64" s="33" t="s">
        <v>327</v>
      </c>
      <c r="B64" s="33" t="s">
        <v>77</v>
      </c>
      <c r="C64" s="33" t="s">
        <v>1321</v>
      </c>
      <c r="D64" s="33" t="s">
        <v>1322</v>
      </c>
      <c r="E64" s="33" t="s">
        <v>1323</v>
      </c>
      <c r="F64" s="53">
        <v>45751</v>
      </c>
      <c r="G64" s="33">
        <v>125</v>
      </c>
      <c r="H64" s="53">
        <v>45937</v>
      </c>
      <c r="I64" s="33" t="s">
        <v>21</v>
      </c>
      <c r="J64" s="33" t="s">
        <v>339</v>
      </c>
      <c r="K64" s="33" t="s">
        <v>338</v>
      </c>
      <c r="L64" s="33" t="s">
        <v>330</v>
      </c>
      <c r="M64" s="33"/>
    </row>
    <row r="65" spans="1:13" x14ac:dyDescent="0.35">
      <c r="A65" s="33" t="s">
        <v>327</v>
      </c>
      <c r="B65" s="33" t="s">
        <v>17</v>
      </c>
      <c r="C65" s="33" t="s">
        <v>443</v>
      </c>
      <c r="D65" s="33" t="s">
        <v>444</v>
      </c>
      <c r="E65" s="33" t="s">
        <v>445</v>
      </c>
      <c r="F65" s="53">
        <v>45754</v>
      </c>
      <c r="G65" s="33">
        <v>125</v>
      </c>
      <c r="H65" s="53">
        <v>45939</v>
      </c>
      <c r="I65" s="33" t="s">
        <v>21</v>
      </c>
      <c r="J65" s="33" t="s">
        <v>341</v>
      </c>
      <c r="K65" s="33" t="s">
        <v>329</v>
      </c>
      <c r="L65" s="33" t="s">
        <v>330</v>
      </c>
      <c r="M65" s="33"/>
    </row>
    <row r="66" spans="1:13" x14ac:dyDescent="0.35">
      <c r="A66" s="33" t="s">
        <v>327</v>
      </c>
      <c r="B66" s="33" t="s">
        <v>17</v>
      </c>
      <c r="C66" s="33" t="s">
        <v>446</v>
      </c>
      <c r="D66" s="33" t="s">
        <v>447</v>
      </c>
      <c r="E66" s="33" t="s">
        <v>448</v>
      </c>
      <c r="F66" s="53">
        <v>45755</v>
      </c>
      <c r="G66" s="33">
        <v>125</v>
      </c>
      <c r="H66" s="53">
        <v>45940</v>
      </c>
      <c r="I66" s="33" t="s">
        <v>21</v>
      </c>
      <c r="J66" s="33" t="s">
        <v>339</v>
      </c>
      <c r="K66" s="33" t="s">
        <v>338</v>
      </c>
      <c r="L66" s="33" t="s">
        <v>330</v>
      </c>
      <c r="M66" s="33"/>
    </row>
    <row r="67" spans="1:13" x14ac:dyDescent="0.35">
      <c r="A67" s="33" t="s">
        <v>327</v>
      </c>
      <c r="B67" s="33" t="s">
        <v>17</v>
      </c>
      <c r="C67" s="33" t="s">
        <v>454</v>
      </c>
      <c r="D67" s="33" t="s">
        <v>455</v>
      </c>
      <c r="E67" s="33" t="s">
        <v>456</v>
      </c>
      <c r="F67" s="53">
        <v>45756</v>
      </c>
      <c r="G67" s="33">
        <v>125</v>
      </c>
      <c r="H67" s="53">
        <v>45943</v>
      </c>
      <c r="I67" s="33" t="s">
        <v>21</v>
      </c>
      <c r="J67" s="33" t="s">
        <v>332</v>
      </c>
      <c r="K67" s="33" t="s">
        <v>329</v>
      </c>
      <c r="L67" s="33" t="s">
        <v>330</v>
      </c>
      <c r="M67" s="33"/>
    </row>
    <row r="68" spans="1:13" x14ac:dyDescent="0.35">
      <c r="A68" s="33" t="s">
        <v>327</v>
      </c>
      <c r="B68" s="33" t="s">
        <v>17</v>
      </c>
      <c r="C68" s="33" t="s">
        <v>168</v>
      </c>
      <c r="D68" s="33" t="s">
        <v>169</v>
      </c>
      <c r="E68" s="33" t="s">
        <v>449</v>
      </c>
      <c r="F68" s="53">
        <v>45756</v>
      </c>
      <c r="G68" s="33">
        <v>125</v>
      </c>
      <c r="H68" s="53">
        <v>45943</v>
      </c>
      <c r="I68" s="33" t="s">
        <v>21</v>
      </c>
      <c r="J68" s="33" t="s">
        <v>333</v>
      </c>
      <c r="K68" s="33" t="s">
        <v>338</v>
      </c>
      <c r="L68" s="33" t="s">
        <v>330</v>
      </c>
      <c r="M68" s="33"/>
    </row>
    <row r="69" spans="1:13" x14ac:dyDescent="0.35">
      <c r="A69" s="33" t="s">
        <v>327</v>
      </c>
      <c r="B69" s="33" t="s">
        <v>17</v>
      </c>
      <c r="C69" s="33" t="s">
        <v>451</v>
      </c>
      <c r="D69" s="33" t="s">
        <v>452</v>
      </c>
      <c r="E69" s="33" t="s">
        <v>453</v>
      </c>
      <c r="F69" s="53">
        <v>45756</v>
      </c>
      <c r="G69" s="33">
        <v>125</v>
      </c>
      <c r="H69" s="53">
        <v>45943</v>
      </c>
      <c r="I69" s="33" t="s">
        <v>21</v>
      </c>
      <c r="J69" s="33" t="s">
        <v>340</v>
      </c>
      <c r="K69" s="33" t="s">
        <v>329</v>
      </c>
      <c r="L69" s="33" t="s">
        <v>330</v>
      </c>
      <c r="M69" s="33"/>
    </row>
    <row r="70" spans="1:13" x14ac:dyDescent="0.35">
      <c r="A70" s="33" t="s">
        <v>327</v>
      </c>
      <c r="B70" s="33" t="s">
        <v>17</v>
      </c>
      <c r="C70" s="33" t="s">
        <v>38</v>
      </c>
      <c r="D70" s="33" t="s">
        <v>39</v>
      </c>
      <c r="E70" s="33" t="s">
        <v>450</v>
      </c>
      <c r="F70" s="53">
        <v>45756</v>
      </c>
      <c r="G70" s="33">
        <v>125</v>
      </c>
      <c r="H70" s="53">
        <v>45943</v>
      </c>
      <c r="I70" s="33" t="s">
        <v>21</v>
      </c>
      <c r="J70" s="33" t="s">
        <v>342</v>
      </c>
      <c r="K70" s="33" t="s">
        <v>329</v>
      </c>
      <c r="L70" s="33" t="s">
        <v>330</v>
      </c>
      <c r="M70" s="33"/>
    </row>
    <row r="71" spans="1:13" x14ac:dyDescent="0.35">
      <c r="A71" s="33" t="s">
        <v>327</v>
      </c>
      <c r="B71" s="33" t="s">
        <v>17</v>
      </c>
      <c r="C71" s="33" t="s">
        <v>464</v>
      </c>
      <c r="D71" s="33" t="s">
        <v>465</v>
      </c>
      <c r="E71" s="33" t="s">
        <v>466</v>
      </c>
      <c r="F71" s="53">
        <v>45756</v>
      </c>
      <c r="G71" s="33">
        <v>125</v>
      </c>
      <c r="H71" s="53">
        <v>45943</v>
      </c>
      <c r="I71" s="33" t="s">
        <v>21</v>
      </c>
      <c r="J71" s="33" t="s">
        <v>331</v>
      </c>
      <c r="K71" s="33" t="s">
        <v>329</v>
      </c>
      <c r="L71" s="33" t="s">
        <v>330</v>
      </c>
      <c r="M71" s="33"/>
    </row>
    <row r="72" spans="1:13" x14ac:dyDescent="0.35">
      <c r="A72" s="33" t="s">
        <v>327</v>
      </c>
      <c r="B72" s="33" t="s">
        <v>17</v>
      </c>
      <c r="C72" s="33" t="s">
        <v>467</v>
      </c>
      <c r="D72" s="33" t="s">
        <v>468</v>
      </c>
      <c r="E72" s="33" t="s">
        <v>469</v>
      </c>
      <c r="F72" s="53">
        <v>45756</v>
      </c>
      <c r="G72" s="33">
        <v>125</v>
      </c>
      <c r="H72" s="53">
        <v>45943</v>
      </c>
      <c r="I72" s="33" t="s">
        <v>21</v>
      </c>
      <c r="J72" s="33" t="s">
        <v>328</v>
      </c>
      <c r="K72" s="33" t="s">
        <v>329</v>
      </c>
      <c r="L72" s="33" t="s">
        <v>330</v>
      </c>
      <c r="M72" s="33"/>
    </row>
    <row r="73" spans="1:13" x14ac:dyDescent="0.35">
      <c r="A73" s="33" t="s">
        <v>327</v>
      </c>
      <c r="B73" s="33" t="s">
        <v>17</v>
      </c>
      <c r="C73" s="33" t="s">
        <v>461</v>
      </c>
      <c r="D73" s="33" t="s">
        <v>462</v>
      </c>
      <c r="E73" s="33" t="s">
        <v>463</v>
      </c>
      <c r="F73" s="53">
        <v>45756</v>
      </c>
      <c r="G73" s="33">
        <v>125</v>
      </c>
      <c r="H73" s="53">
        <v>45943</v>
      </c>
      <c r="I73" s="33" t="s">
        <v>21</v>
      </c>
      <c r="J73" s="33" t="s">
        <v>343</v>
      </c>
      <c r="K73" s="33" t="s">
        <v>338</v>
      </c>
      <c r="L73" s="33" t="s">
        <v>330</v>
      </c>
      <c r="M73" s="33"/>
    </row>
    <row r="74" spans="1:13" x14ac:dyDescent="0.35">
      <c r="A74" s="33" t="s">
        <v>327</v>
      </c>
      <c r="B74" s="33" t="s">
        <v>17</v>
      </c>
      <c r="C74" s="33" t="s">
        <v>473</v>
      </c>
      <c r="D74" s="33" t="s">
        <v>474</v>
      </c>
      <c r="E74" s="33" t="s">
        <v>475</v>
      </c>
      <c r="F74" s="53">
        <v>45757</v>
      </c>
      <c r="G74" s="33">
        <v>125</v>
      </c>
      <c r="H74" s="53">
        <v>45944</v>
      </c>
      <c r="I74" s="33" t="s">
        <v>21</v>
      </c>
      <c r="J74" s="33" t="s">
        <v>336</v>
      </c>
      <c r="K74" s="33" t="s">
        <v>338</v>
      </c>
      <c r="L74" s="33" t="s">
        <v>330</v>
      </c>
      <c r="M74" s="33"/>
    </row>
    <row r="75" spans="1:13" x14ac:dyDescent="0.35">
      <c r="A75" s="33" t="s">
        <v>327</v>
      </c>
      <c r="B75" s="33" t="s">
        <v>17</v>
      </c>
      <c r="C75" s="33" t="s">
        <v>470</v>
      </c>
      <c r="D75" s="33" t="s">
        <v>471</v>
      </c>
      <c r="E75" s="33" t="s">
        <v>472</v>
      </c>
      <c r="F75" s="53">
        <v>45757</v>
      </c>
      <c r="G75" s="33">
        <v>125</v>
      </c>
      <c r="H75" s="53">
        <v>45944</v>
      </c>
      <c r="I75" s="33" t="s">
        <v>21</v>
      </c>
      <c r="J75" s="33" t="s">
        <v>332</v>
      </c>
      <c r="K75" s="33" t="s">
        <v>329</v>
      </c>
      <c r="L75" s="33" t="s">
        <v>330</v>
      </c>
      <c r="M75" s="33"/>
    </row>
    <row r="76" spans="1:13" x14ac:dyDescent="0.35">
      <c r="A76" s="33" t="s">
        <v>327</v>
      </c>
      <c r="B76" s="33" t="s">
        <v>77</v>
      </c>
      <c r="C76" s="33" t="s">
        <v>680</v>
      </c>
      <c r="D76" s="33" t="s">
        <v>681</v>
      </c>
      <c r="E76" s="33" t="s">
        <v>682</v>
      </c>
      <c r="F76" s="53">
        <v>45757</v>
      </c>
      <c r="G76" s="33">
        <v>125</v>
      </c>
      <c r="H76" s="53">
        <v>45944</v>
      </c>
      <c r="I76" s="33" t="s">
        <v>21</v>
      </c>
      <c r="J76" s="33" t="s">
        <v>331</v>
      </c>
      <c r="K76" s="33" t="s">
        <v>329</v>
      </c>
      <c r="L76" s="33" t="s">
        <v>330</v>
      </c>
      <c r="M76" s="33"/>
    </row>
    <row r="77" spans="1:13" x14ac:dyDescent="0.35">
      <c r="A77" s="33" t="s">
        <v>327</v>
      </c>
      <c r="B77" s="33" t="s">
        <v>17</v>
      </c>
      <c r="C77" s="33" t="s">
        <v>476</v>
      </c>
      <c r="D77" s="33" t="s">
        <v>477</v>
      </c>
      <c r="E77" s="33" t="s">
        <v>478</v>
      </c>
      <c r="F77" s="53">
        <v>45761</v>
      </c>
      <c r="G77" s="33">
        <v>125</v>
      </c>
      <c r="H77" s="53">
        <v>45946</v>
      </c>
      <c r="I77" s="33" t="s">
        <v>21</v>
      </c>
      <c r="J77" s="33" t="s">
        <v>336</v>
      </c>
      <c r="K77" s="33" t="s">
        <v>338</v>
      </c>
      <c r="L77" s="33" t="s">
        <v>330</v>
      </c>
      <c r="M77" s="33"/>
    </row>
    <row r="78" spans="1:13" x14ac:dyDescent="0.35">
      <c r="A78" s="33" t="s">
        <v>327</v>
      </c>
      <c r="B78" s="33" t="s">
        <v>17</v>
      </c>
      <c r="C78" s="33" t="s">
        <v>479</v>
      </c>
      <c r="D78" s="33" t="s">
        <v>480</v>
      </c>
      <c r="E78" s="33" t="s">
        <v>481</v>
      </c>
      <c r="F78" s="53">
        <v>45762</v>
      </c>
      <c r="G78" s="33">
        <v>125</v>
      </c>
      <c r="H78" s="53">
        <v>45947</v>
      </c>
      <c r="I78" s="33" t="s">
        <v>21</v>
      </c>
      <c r="J78" s="33" t="s">
        <v>332</v>
      </c>
      <c r="K78" s="33" t="s">
        <v>329</v>
      </c>
      <c r="L78" s="33" t="s">
        <v>330</v>
      </c>
      <c r="M78" s="33"/>
    </row>
    <row r="79" spans="1:13" x14ac:dyDescent="0.35">
      <c r="A79" s="33" t="s">
        <v>327</v>
      </c>
      <c r="B79" s="33" t="s">
        <v>17</v>
      </c>
      <c r="C79" s="33" t="s">
        <v>132</v>
      </c>
      <c r="D79" s="33" t="s">
        <v>133</v>
      </c>
      <c r="E79" s="33" t="s">
        <v>482</v>
      </c>
      <c r="F79" s="53">
        <v>45762</v>
      </c>
      <c r="G79" s="33">
        <v>125</v>
      </c>
      <c r="H79" s="53">
        <v>45947</v>
      </c>
      <c r="I79" s="33" t="s">
        <v>21</v>
      </c>
      <c r="J79" s="33" t="s">
        <v>328</v>
      </c>
      <c r="K79" s="33" t="s">
        <v>329</v>
      </c>
      <c r="L79" s="33" t="s">
        <v>330</v>
      </c>
      <c r="M79" s="33"/>
    </row>
    <row r="80" spans="1:13" x14ac:dyDescent="0.35">
      <c r="A80" s="33" t="s">
        <v>327</v>
      </c>
      <c r="B80" s="33" t="s">
        <v>17</v>
      </c>
      <c r="C80" s="33" t="s">
        <v>486</v>
      </c>
      <c r="D80" s="33" t="s">
        <v>487</v>
      </c>
      <c r="E80" s="33" t="s">
        <v>488</v>
      </c>
      <c r="F80" s="53">
        <v>45763</v>
      </c>
      <c r="G80" s="33">
        <v>125</v>
      </c>
      <c r="H80" s="53">
        <v>45950</v>
      </c>
      <c r="I80" s="33" t="s">
        <v>21</v>
      </c>
      <c r="J80" s="33" t="s">
        <v>336</v>
      </c>
      <c r="K80" s="33" t="s">
        <v>338</v>
      </c>
      <c r="L80" s="33" t="s">
        <v>330</v>
      </c>
      <c r="M80" s="33"/>
    </row>
    <row r="81" spans="1:13" x14ac:dyDescent="0.35">
      <c r="A81" s="33" t="s">
        <v>327</v>
      </c>
      <c r="B81" s="33" t="s">
        <v>17</v>
      </c>
      <c r="C81" s="33" t="s">
        <v>992</v>
      </c>
      <c r="D81" s="33" t="s">
        <v>993</v>
      </c>
      <c r="E81" s="33" t="s">
        <v>994</v>
      </c>
      <c r="F81" s="53">
        <v>45763</v>
      </c>
      <c r="G81" s="33">
        <v>125</v>
      </c>
      <c r="H81" s="53">
        <v>45950</v>
      </c>
      <c r="I81" s="33" t="s">
        <v>21</v>
      </c>
      <c r="J81" s="33" t="s">
        <v>343</v>
      </c>
      <c r="K81" s="33" t="s">
        <v>338</v>
      </c>
      <c r="L81" s="33" t="s">
        <v>330</v>
      </c>
      <c r="M81" s="33"/>
    </row>
    <row r="82" spans="1:13" x14ac:dyDescent="0.35">
      <c r="A82" s="33" t="s">
        <v>327</v>
      </c>
      <c r="B82" s="33" t="s">
        <v>17</v>
      </c>
      <c r="C82" s="33" t="s">
        <v>489</v>
      </c>
      <c r="D82" s="33" t="s">
        <v>490</v>
      </c>
      <c r="E82" s="33" t="s">
        <v>491</v>
      </c>
      <c r="F82" s="53">
        <v>45766</v>
      </c>
      <c r="G82" s="33">
        <v>125</v>
      </c>
      <c r="H82" s="53">
        <v>45950</v>
      </c>
      <c r="I82" s="33" t="s">
        <v>21</v>
      </c>
      <c r="J82" s="33" t="s">
        <v>328</v>
      </c>
      <c r="K82" s="33" t="s">
        <v>329</v>
      </c>
      <c r="L82" s="33" t="s">
        <v>330</v>
      </c>
      <c r="M82" s="33"/>
    </row>
    <row r="83" spans="1:13" x14ac:dyDescent="0.35">
      <c r="A83" s="33" t="s">
        <v>327</v>
      </c>
      <c r="B83" s="33" t="s">
        <v>17</v>
      </c>
      <c r="C83" s="33" t="s">
        <v>508</v>
      </c>
      <c r="D83" s="33" t="s">
        <v>509</v>
      </c>
      <c r="E83" s="33" t="s">
        <v>510</v>
      </c>
      <c r="F83" s="53">
        <v>45768</v>
      </c>
      <c r="G83" s="33">
        <v>125</v>
      </c>
      <c r="H83" s="53">
        <v>45951</v>
      </c>
      <c r="I83" s="33" t="s">
        <v>21</v>
      </c>
      <c r="J83" s="33" t="s">
        <v>331</v>
      </c>
      <c r="K83" s="33" t="s">
        <v>329</v>
      </c>
      <c r="L83" s="33" t="s">
        <v>330</v>
      </c>
      <c r="M83" s="33"/>
    </row>
    <row r="84" spans="1:13" x14ac:dyDescent="0.35">
      <c r="A84" s="33" t="s">
        <v>327</v>
      </c>
      <c r="B84" s="33" t="s">
        <v>17</v>
      </c>
      <c r="C84" s="33" t="s">
        <v>502</v>
      </c>
      <c r="D84" s="33" t="s">
        <v>503</v>
      </c>
      <c r="E84" s="33" t="s">
        <v>504</v>
      </c>
      <c r="F84" s="53">
        <v>45768</v>
      </c>
      <c r="G84" s="33">
        <v>125</v>
      </c>
      <c r="H84" s="53">
        <v>45951</v>
      </c>
      <c r="I84" s="33" t="s">
        <v>21</v>
      </c>
      <c r="J84" s="33" t="s">
        <v>339</v>
      </c>
      <c r="K84" s="33" t="s">
        <v>338</v>
      </c>
      <c r="L84" s="33" t="s">
        <v>330</v>
      </c>
      <c r="M84" s="33"/>
    </row>
    <row r="85" spans="1:13" x14ac:dyDescent="0.35">
      <c r="A85" s="33" t="s">
        <v>327</v>
      </c>
      <c r="B85" s="33" t="s">
        <v>17</v>
      </c>
      <c r="C85" s="33" t="s">
        <v>505</v>
      </c>
      <c r="D85" s="33" t="s">
        <v>506</v>
      </c>
      <c r="E85" s="33" t="s">
        <v>507</v>
      </c>
      <c r="F85" s="53">
        <v>45768</v>
      </c>
      <c r="G85" s="33">
        <v>125</v>
      </c>
      <c r="H85" s="53">
        <v>45951</v>
      </c>
      <c r="I85" s="33" t="s">
        <v>21</v>
      </c>
      <c r="J85" s="33" t="s">
        <v>331</v>
      </c>
      <c r="K85" s="33" t="s">
        <v>329</v>
      </c>
      <c r="L85" s="33" t="s">
        <v>330</v>
      </c>
      <c r="M85" s="33"/>
    </row>
    <row r="86" spans="1:13" x14ac:dyDescent="0.35">
      <c r="A86" s="33" t="s">
        <v>327</v>
      </c>
      <c r="B86" s="33" t="s">
        <v>42</v>
      </c>
      <c r="C86" s="33" t="s">
        <v>684</v>
      </c>
      <c r="D86" s="33" t="s">
        <v>685</v>
      </c>
      <c r="E86" s="33" t="s">
        <v>686</v>
      </c>
      <c r="F86" s="53">
        <v>45768</v>
      </c>
      <c r="G86" s="33">
        <v>125</v>
      </c>
      <c r="H86" s="53">
        <v>45951</v>
      </c>
      <c r="I86" s="33" t="s">
        <v>21</v>
      </c>
      <c r="J86" s="33" t="s">
        <v>332</v>
      </c>
      <c r="K86" s="33" t="s">
        <v>329</v>
      </c>
      <c r="L86" s="33" t="s">
        <v>330</v>
      </c>
      <c r="M86" s="33"/>
    </row>
    <row r="87" spans="1:13" x14ac:dyDescent="0.35">
      <c r="A87" s="33" t="s">
        <v>327</v>
      </c>
      <c r="B87" s="33" t="s">
        <v>17</v>
      </c>
      <c r="C87" s="33" t="s">
        <v>495</v>
      </c>
      <c r="D87" s="33" t="s">
        <v>496</v>
      </c>
      <c r="E87" s="33" t="s">
        <v>497</v>
      </c>
      <c r="F87" s="53">
        <v>45768</v>
      </c>
      <c r="G87" s="33">
        <v>125</v>
      </c>
      <c r="H87" s="53">
        <v>45951</v>
      </c>
      <c r="I87" s="33" t="s">
        <v>21</v>
      </c>
      <c r="J87" s="33" t="s">
        <v>341</v>
      </c>
      <c r="K87" s="33" t="s">
        <v>329</v>
      </c>
      <c r="L87" s="33" t="s">
        <v>330</v>
      </c>
      <c r="M87" s="33"/>
    </row>
    <row r="88" spans="1:13" x14ac:dyDescent="0.35">
      <c r="A88" s="33" t="s">
        <v>327</v>
      </c>
      <c r="B88" s="33" t="s">
        <v>17</v>
      </c>
      <c r="C88" s="33" t="s">
        <v>517</v>
      </c>
      <c r="D88" s="33" t="s">
        <v>518</v>
      </c>
      <c r="E88" s="33" t="s">
        <v>519</v>
      </c>
      <c r="F88" s="53">
        <v>45769</v>
      </c>
      <c r="G88" s="33">
        <v>125</v>
      </c>
      <c r="H88" s="53">
        <v>45952</v>
      </c>
      <c r="I88" s="33" t="s">
        <v>21</v>
      </c>
      <c r="J88" s="33" t="s">
        <v>338</v>
      </c>
      <c r="K88" s="33" t="s">
        <v>338</v>
      </c>
      <c r="L88" s="33" t="s">
        <v>330</v>
      </c>
      <c r="M88" s="33" t="s">
        <v>1324</v>
      </c>
    </row>
    <row r="89" spans="1:13" x14ac:dyDescent="0.35">
      <c r="A89" s="33" t="s">
        <v>327</v>
      </c>
      <c r="B89" s="33" t="s">
        <v>42</v>
      </c>
      <c r="C89" s="33" t="s">
        <v>514</v>
      </c>
      <c r="D89" s="33" t="s">
        <v>515</v>
      </c>
      <c r="E89" s="33" t="s">
        <v>516</v>
      </c>
      <c r="F89" s="53">
        <v>45769</v>
      </c>
      <c r="G89" s="33">
        <v>125</v>
      </c>
      <c r="H89" s="53">
        <v>45952</v>
      </c>
      <c r="I89" s="33" t="s">
        <v>21</v>
      </c>
      <c r="J89" s="33" t="s">
        <v>338</v>
      </c>
      <c r="K89" s="33" t="s">
        <v>338</v>
      </c>
      <c r="L89" s="33" t="s">
        <v>330</v>
      </c>
      <c r="M89" s="33" t="s">
        <v>1325</v>
      </c>
    </row>
    <row r="90" spans="1:13" x14ac:dyDescent="0.35">
      <c r="A90" s="33" t="s">
        <v>327</v>
      </c>
      <c r="B90" s="33" t="s">
        <v>17</v>
      </c>
      <c r="C90" s="33" t="s">
        <v>520</v>
      </c>
      <c r="D90" s="33" t="s">
        <v>521</v>
      </c>
      <c r="E90" s="33" t="s">
        <v>522</v>
      </c>
      <c r="F90" s="53">
        <v>45769</v>
      </c>
      <c r="G90" s="33">
        <v>125</v>
      </c>
      <c r="H90" s="53">
        <v>45952</v>
      </c>
      <c r="I90" s="33" t="s">
        <v>21</v>
      </c>
      <c r="J90" s="33" t="s">
        <v>331</v>
      </c>
      <c r="K90" s="33" t="s">
        <v>329</v>
      </c>
      <c r="L90" s="33" t="s">
        <v>330</v>
      </c>
      <c r="M90" s="33"/>
    </row>
    <row r="91" spans="1:13" x14ac:dyDescent="0.35">
      <c r="A91" s="33" t="s">
        <v>327</v>
      </c>
      <c r="B91" s="33" t="s">
        <v>17</v>
      </c>
      <c r="C91" s="33" t="s">
        <v>526</v>
      </c>
      <c r="D91" s="33" t="s">
        <v>527</v>
      </c>
      <c r="E91" s="33" t="s">
        <v>528</v>
      </c>
      <c r="F91" s="53">
        <v>45769</v>
      </c>
      <c r="G91" s="33">
        <v>125</v>
      </c>
      <c r="H91" s="53">
        <v>45952</v>
      </c>
      <c r="I91" s="33" t="s">
        <v>21</v>
      </c>
      <c r="J91" s="33" t="s">
        <v>341</v>
      </c>
      <c r="K91" s="33" t="s">
        <v>329</v>
      </c>
      <c r="L91" s="33" t="s">
        <v>330</v>
      </c>
      <c r="M91" s="33"/>
    </row>
    <row r="92" spans="1:13" x14ac:dyDescent="0.35">
      <c r="A92" s="33" t="s">
        <v>327</v>
      </c>
      <c r="B92" s="33" t="s">
        <v>17</v>
      </c>
      <c r="C92" s="33" t="s">
        <v>523</v>
      </c>
      <c r="D92" s="33" t="s">
        <v>524</v>
      </c>
      <c r="E92" s="33" t="s">
        <v>525</v>
      </c>
      <c r="F92" s="53">
        <v>45769</v>
      </c>
      <c r="G92" s="33">
        <v>125</v>
      </c>
      <c r="H92" s="53">
        <v>45952</v>
      </c>
      <c r="I92" s="33" t="s">
        <v>21</v>
      </c>
      <c r="J92" s="33" t="s">
        <v>331</v>
      </c>
      <c r="K92" s="33" t="s">
        <v>329</v>
      </c>
      <c r="L92" s="33" t="s">
        <v>330</v>
      </c>
      <c r="M92" s="33"/>
    </row>
    <row r="93" spans="1:13" x14ac:dyDescent="0.35">
      <c r="A93" s="33" t="s">
        <v>327</v>
      </c>
      <c r="B93" s="33" t="s">
        <v>42</v>
      </c>
      <c r="C93" s="33" t="s">
        <v>693</v>
      </c>
      <c r="D93" s="33" t="s">
        <v>694</v>
      </c>
      <c r="E93" s="33" t="s">
        <v>695</v>
      </c>
      <c r="F93" s="53">
        <v>45769</v>
      </c>
      <c r="G93" s="33">
        <v>125</v>
      </c>
      <c r="H93" s="53">
        <v>45952</v>
      </c>
      <c r="I93" s="33" t="s">
        <v>21</v>
      </c>
      <c r="J93" s="33" t="s">
        <v>332</v>
      </c>
      <c r="K93" s="33" t="s">
        <v>329</v>
      </c>
      <c r="L93" s="33" t="s">
        <v>330</v>
      </c>
      <c r="M93" s="33"/>
    </row>
    <row r="94" spans="1:13" x14ac:dyDescent="0.35">
      <c r="A94" s="33" t="s">
        <v>327</v>
      </c>
      <c r="B94" s="33" t="s">
        <v>17</v>
      </c>
      <c r="C94" s="33" t="s">
        <v>690</v>
      </c>
      <c r="D94" s="33" t="s">
        <v>691</v>
      </c>
      <c r="E94" s="33" t="s">
        <v>692</v>
      </c>
      <c r="F94" s="53">
        <v>45769</v>
      </c>
      <c r="G94" s="33">
        <v>125</v>
      </c>
      <c r="H94" s="53">
        <v>45952</v>
      </c>
      <c r="I94" s="33" t="s">
        <v>21</v>
      </c>
      <c r="J94" s="33" t="s">
        <v>332</v>
      </c>
      <c r="K94" s="33" t="s">
        <v>329</v>
      </c>
      <c r="L94" s="33" t="s">
        <v>330</v>
      </c>
      <c r="M94" s="33"/>
    </row>
    <row r="95" spans="1:13" x14ac:dyDescent="0.35">
      <c r="A95" s="33" t="s">
        <v>327</v>
      </c>
      <c r="B95" s="33" t="s">
        <v>17</v>
      </c>
      <c r="C95" s="33" t="s">
        <v>687</v>
      </c>
      <c r="D95" s="33" t="s">
        <v>688</v>
      </c>
      <c r="E95" s="33" t="s">
        <v>689</v>
      </c>
      <c r="F95" s="53">
        <v>45769</v>
      </c>
      <c r="G95" s="33">
        <v>125</v>
      </c>
      <c r="H95" s="53">
        <v>45952</v>
      </c>
      <c r="I95" s="33" t="s">
        <v>21</v>
      </c>
      <c r="J95" s="33" t="s">
        <v>331</v>
      </c>
      <c r="K95" s="33" t="s">
        <v>329</v>
      </c>
      <c r="L95" s="33" t="s">
        <v>330</v>
      </c>
      <c r="M95" s="33"/>
    </row>
    <row r="96" spans="1:13" x14ac:dyDescent="0.35">
      <c r="A96" s="33" t="s">
        <v>327</v>
      </c>
      <c r="B96" s="33" t="s">
        <v>17</v>
      </c>
      <c r="C96" s="33" t="s">
        <v>537</v>
      </c>
      <c r="D96" s="33" t="s">
        <v>538</v>
      </c>
      <c r="E96" s="33" t="s">
        <v>539</v>
      </c>
      <c r="F96" s="53">
        <v>45770</v>
      </c>
      <c r="G96" s="33">
        <v>125</v>
      </c>
      <c r="H96" s="53">
        <v>45953</v>
      </c>
      <c r="I96" s="33" t="s">
        <v>21</v>
      </c>
      <c r="J96" s="33" t="s">
        <v>331</v>
      </c>
      <c r="K96" s="33" t="s">
        <v>329</v>
      </c>
      <c r="L96" s="33" t="s">
        <v>330</v>
      </c>
      <c r="M96" s="33"/>
    </row>
    <row r="97" spans="1:13" x14ac:dyDescent="0.35">
      <c r="A97" s="33" t="s">
        <v>327</v>
      </c>
      <c r="B97" s="33" t="s">
        <v>17</v>
      </c>
      <c r="C97" s="33" t="s">
        <v>534</v>
      </c>
      <c r="D97" s="33" t="s">
        <v>535</v>
      </c>
      <c r="E97" s="33" t="s">
        <v>536</v>
      </c>
      <c r="F97" s="53">
        <v>45770</v>
      </c>
      <c r="G97" s="33">
        <v>125</v>
      </c>
      <c r="H97" s="53">
        <v>45953</v>
      </c>
      <c r="I97" s="33" t="s">
        <v>21</v>
      </c>
      <c r="J97" s="33" t="s">
        <v>331</v>
      </c>
      <c r="K97" s="33" t="s">
        <v>329</v>
      </c>
      <c r="L97" s="33" t="s">
        <v>330</v>
      </c>
      <c r="M97" s="33"/>
    </row>
    <row r="98" spans="1:13" x14ac:dyDescent="0.35">
      <c r="A98" s="33" t="s">
        <v>327</v>
      </c>
      <c r="B98" s="33" t="s">
        <v>17</v>
      </c>
      <c r="C98" s="33" t="s">
        <v>696</v>
      </c>
      <c r="D98" s="33" t="s">
        <v>697</v>
      </c>
      <c r="E98" s="33" t="s">
        <v>698</v>
      </c>
      <c r="F98" s="53">
        <v>45771</v>
      </c>
      <c r="G98" s="33">
        <v>125</v>
      </c>
      <c r="H98" s="53">
        <v>45954</v>
      </c>
      <c r="I98" s="33" t="s">
        <v>21</v>
      </c>
      <c r="J98" s="33" t="s">
        <v>340</v>
      </c>
      <c r="K98" s="33" t="s">
        <v>329</v>
      </c>
      <c r="L98" s="33" t="s">
        <v>330</v>
      </c>
      <c r="M98" s="33"/>
    </row>
    <row r="99" spans="1:13" x14ac:dyDescent="0.35">
      <c r="A99" s="33" t="s">
        <v>327</v>
      </c>
      <c r="B99" s="33" t="s">
        <v>17</v>
      </c>
      <c r="C99" s="33" t="s">
        <v>696</v>
      </c>
      <c r="D99" s="33" t="s">
        <v>697</v>
      </c>
      <c r="E99" s="33" t="s">
        <v>699</v>
      </c>
      <c r="F99" s="53">
        <v>45771</v>
      </c>
      <c r="G99" s="33">
        <v>125</v>
      </c>
      <c r="H99" s="53">
        <v>45954</v>
      </c>
      <c r="I99" s="33" t="s">
        <v>21</v>
      </c>
      <c r="J99" s="33" t="s">
        <v>340</v>
      </c>
      <c r="K99" s="33" t="s">
        <v>329</v>
      </c>
      <c r="L99" s="33" t="s">
        <v>330</v>
      </c>
      <c r="M99" s="33"/>
    </row>
    <row r="100" spans="1:13" x14ac:dyDescent="0.35">
      <c r="A100" s="33" t="s">
        <v>327</v>
      </c>
      <c r="B100" s="33" t="s">
        <v>17</v>
      </c>
      <c r="C100" s="33" t="s">
        <v>540</v>
      </c>
      <c r="D100" s="33" t="s">
        <v>541</v>
      </c>
      <c r="E100" s="33" t="s">
        <v>542</v>
      </c>
      <c r="F100" s="53">
        <v>45771</v>
      </c>
      <c r="G100" s="33">
        <v>125</v>
      </c>
      <c r="H100" s="53">
        <v>45954</v>
      </c>
      <c r="I100" s="33" t="s">
        <v>21</v>
      </c>
      <c r="J100" s="33" t="s">
        <v>339</v>
      </c>
      <c r="K100" s="33" t="s">
        <v>338</v>
      </c>
      <c r="L100" s="33" t="s">
        <v>330</v>
      </c>
      <c r="M100" s="33"/>
    </row>
    <row r="101" spans="1:13" x14ac:dyDescent="0.35">
      <c r="A101" s="33" t="s">
        <v>327</v>
      </c>
      <c r="B101" s="33" t="s">
        <v>42</v>
      </c>
      <c r="C101" s="33" t="s">
        <v>703</v>
      </c>
      <c r="D101" s="33" t="s">
        <v>704</v>
      </c>
      <c r="E101" s="33" t="s">
        <v>705</v>
      </c>
      <c r="F101" s="53">
        <v>45771</v>
      </c>
      <c r="G101" s="33">
        <v>125</v>
      </c>
      <c r="H101" s="53">
        <v>45954</v>
      </c>
      <c r="I101" s="33" t="s">
        <v>21</v>
      </c>
      <c r="J101" s="33" t="s">
        <v>339</v>
      </c>
      <c r="K101" s="33" t="s">
        <v>338</v>
      </c>
      <c r="L101" s="33" t="s">
        <v>330</v>
      </c>
      <c r="M101" s="33"/>
    </row>
    <row r="102" spans="1:13" x14ac:dyDescent="0.35">
      <c r="A102" s="33" t="s">
        <v>327</v>
      </c>
      <c r="B102" s="33" t="s">
        <v>17</v>
      </c>
      <c r="C102" s="33" t="s">
        <v>700</v>
      </c>
      <c r="D102" s="33" t="s">
        <v>701</v>
      </c>
      <c r="E102" s="33" t="s">
        <v>702</v>
      </c>
      <c r="F102" s="53">
        <v>45771</v>
      </c>
      <c r="G102" s="33">
        <v>125</v>
      </c>
      <c r="H102" s="53">
        <v>45954</v>
      </c>
      <c r="I102" s="33" t="s">
        <v>21</v>
      </c>
      <c r="J102" s="33" t="s">
        <v>340</v>
      </c>
      <c r="K102" s="33" t="s">
        <v>329</v>
      </c>
      <c r="L102" s="33" t="s">
        <v>330</v>
      </c>
      <c r="M102" s="33"/>
    </row>
    <row r="103" spans="1:13" x14ac:dyDescent="0.35">
      <c r="A103" s="33" t="s">
        <v>327</v>
      </c>
      <c r="B103" s="33" t="s">
        <v>17</v>
      </c>
      <c r="C103" s="33" t="s">
        <v>546</v>
      </c>
      <c r="D103" s="33" t="s">
        <v>547</v>
      </c>
      <c r="E103" s="33" t="s">
        <v>548</v>
      </c>
      <c r="F103" s="53">
        <v>45772</v>
      </c>
      <c r="G103" s="33">
        <v>125</v>
      </c>
      <c r="H103" s="53">
        <v>45957</v>
      </c>
      <c r="I103" s="33" t="s">
        <v>21</v>
      </c>
      <c r="J103" s="33" t="s">
        <v>343</v>
      </c>
      <c r="K103" s="33" t="s">
        <v>338</v>
      </c>
      <c r="L103" s="33" t="s">
        <v>330</v>
      </c>
      <c r="M103" s="33"/>
    </row>
    <row r="104" spans="1:13" x14ac:dyDescent="0.35">
      <c r="A104" s="33" t="s">
        <v>327</v>
      </c>
      <c r="B104" s="33" t="s">
        <v>17</v>
      </c>
      <c r="C104" s="33" t="s">
        <v>543</v>
      </c>
      <c r="D104" s="33" t="s">
        <v>544</v>
      </c>
      <c r="E104" s="33" t="s">
        <v>545</v>
      </c>
      <c r="F104" s="53">
        <v>45772</v>
      </c>
      <c r="G104" s="33">
        <v>125</v>
      </c>
      <c r="H104" s="53">
        <v>45957</v>
      </c>
      <c r="I104" s="33" t="s">
        <v>21</v>
      </c>
      <c r="J104" s="33" t="s">
        <v>343</v>
      </c>
      <c r="K104" s="33" t="s">
        <v>338</v>
      </c>
      <c r="L104" s="33" t="s">
        <v>330</v>
      </c>
      <c r="M104" s="33"/>
    </row>
    <row r="105" spans="1:13" x14ac:dyDescent="0.35">
      <c r="A105" s="33" t="s">
        <v>327</v>
      </c>
      <c r="B105" s="33" t="s">
        <v>17</v>
      </c>
      <c r="C105" s="33" t="s">
        <v>38</v>
      </c>
      <c r="D105" s="33" t="s">
        <v>39</v>
      </c>
      <c r="E105" s="33" t="s">
        <v>549</v>
      </c>
      <c r="F105" s="53">
        <v>45775</v>
      </c>
      <c r="G105" s="33">
        <v>125</v>
      </c>
      <c r="H105" s="53">
        <v>45958</v>
      </c>
      <c r="I105" s="33" t="s">
        <v>21</v>
      </c>
      <c r="J105" s="33" t="s">
        <v>340</v>
      </c>
      <c r="K105" s="33" t="s">
        <v>329</v>
      </c>
      <c r="L105" s="33" t="s">
        <v>330</v>
      </c>
      <c r="M105" s="33"/>
    </row>
    <row r="106" spans="1:13" x14ac:dyDescent="0.35">
      <c r="A106" s="33" t="s">
        <v>327</v>
      </c>
      <c r="B106" s="33" t="s">
        <v>17</v>
      </c>
      <c r="C106" s="33" t="s">
        <v>550</v>
      </c>
      <c r="D106" s="33" t="s">
        <v>551</v>
      </c>
      <c r="E106" s="33" t="s">
        <v>552</v>
      </c>
      <c r="F106" s="53">
        <v>45775</v>
      </c>
      <c r="G106" s="33">
        <v>125</v>
      </c>
      <c r="H106" s="53">
        <v>45958</v>
      </c>
      <c r="I106" s="33" t="s">
        <v>21</v>
      </c>
      <c r="J106" s="33" t="s">
        <v>332</v>
      </c>
      <c r="K106" s="33" t="s">
        <v>329</v>
      </c>
      <c r="L106" s="33" t="s">
        <v>330</v>
      </c>
      <c r="M106" s="33"/>
    </row>
    <row r="107" spans="1:13" x14ac:dyDescent="0.35">
      <c r="A107" s="33" t="s">
        <v>327</v>
      </c>
      <c r="B107" s="33" t="s">
        <v>17</v>
      </c>
      <c r="C107" s="33" t="s">
        <v>550</v>
      </c>
      <c r="D107" s="33" t="s">
        <v>551</v>
      </c>
      <c r="E107" s="33" t="s">
        <v>553</v>
      </c>
      <c r="F107" s="53">
        <v>45775</v>
      </c>
      <c r="G107" s="33">
        <v>125</v>
      </c>
      <c r="H107" s="53">
        <v>45958</v>
      </c>
      <c r="I107" s="33" t="s">
        <v>21</v>
      </c>
      <c r="J107" s="33" t="s">
        <v>332</v>
      </c>
      <c r="K107" s="33" t="s">
        <v>329</v>
      </c>
      <c r="L107" s="33" t="s">
        <v>330</v>
      </c>
      <c r="M107" s="33"/>
    </row>
    <row r="108" spans="1:13" x14ac:dyDescent="0.35">
      <c r="A108" s="33" t="s">
        <v>327</v>
      </c>
      <c r="B108" s="33" t="s">
        <v>17</v>
      </c>
      <c r="C108" s="33" t="s">
        <v>555</v>
      </c>
      <c r="D108" s="33" t="s">
        <v>556</v>
      </c>
      <c r="E108" s="33" t="s">
        <v>557</v>
      </c>
      <c r="F108" s="53">
        <v>45776</v>
      </c>
      <c r="G108" s="33">
        <v>125</v>
      </c>
      <c r="H108" s="53">
        <v>45959</v>
      </c>
      <c r="I108" s="33" t="s">
        <v>21</v>
      </c>
      <c r="J108" s="33" t="s">
        <v>332</v>
      </c>
      <c r="K108" s="33" t="s">
        <v>329</v>
      </c>
      <c r="L108" s="33" t="s">
        <v>330</v>
      </c>
      <c r="M108" s="33"/>
    </row>
    <row r="109" spans="1:13" x14ac:dyDescent="0.35">
      <c r="A109" s="33" t="s">
        <v>327</v>
      </c>
      <c r="B109" s="33" t="s">
        <v>17</v>
      </c>
      <c r="C109" s="33" t="s">
        <v>495</v>
      </c>
      <c r="D109" s="33" t="s">
        <v>496</v>
      </c>
      <c r="E109" s="33" t="s">
        <v>554</v>
      </c>
      <c r="F109" s="53">
        <v>45776</v>
      </c>
      <c r="G109" s="33">
        <v>125</v>
      </c>
      <c r="H109" s="53">
        <v>45959</v>
      </c>
      <c r="I109" s="33" t="s">
        <v>21</v>
      </c>
      <c r="J109" s="33" t="s">
        <v>341</v>
      </c>
      <c r="K109" s="33" t="s">
        <v>329</v>
      </c>
      <c r="L109" s="33" t="s">
        <v>330</v>
      </c>
      <c r="M109" s="33"/>
    </row>
    <row r="110" spans="1:13" x14ac:dyDescent="0.35">
      <c r="A110" s="33" t="s">
        <v>327</v>
      </c>
      <c r="B110" s="33" t="s">
        <v>17</v>
      </c>
      <c r="C110" s="33" t="s">
        <v>562</v>
      </c>
      <c r="D110" s="33" t="s">
        <v>563</v>
      </c>
      <c r="E110" s="33" t="s">
        <v>564</v>
      </c>
      <c r="F110" s="53">
        <v>45777</v>
      </c>
      <c r="G110" s="33">
        <v>125</v>
      </c>
      <c r="H110" s="53">
        <v>45960</v>
      </c>
      <c r="I110" s="33" t="s">
        <v>21</v>
      </c>
      <c r="J110" s="33" t="s">
        <v>342</v>
      </c>
      <c r="K110" s="33" t="s">
        <v>329</v>
      </c>
      <c r="L110" s="33" t="s">
        <v>330</v>
      </c>
      <c r="M110" s="33"/>
    </row>
    <row r="111" spans="1:13" x14ac:dyDescent="0.35">
      <c r="A111" s="33" t="s">
        <v>327</v>
      </c>
      <c r="B111" s="33" t="s">
        <v>17</v>
      </c>
      <c r="C111" s="33" t="s">
        <v>709</v>
      </c>
      <c r="D111" s="33" t="s">
        <v>710</v>
      </c>
      <c r="E111" s="33" t="s">
        <v>711</v>
      </c>
      <c r="F111" s="53">
        <v>45777</v>
      </c>
      <c r="G111" s="33">
        <v>125</v>
      </c>
      <c r="H111" s="53">
        <v>45960</v>
      </c>
      <c r="I111" s="33" t="s">
        <v>21</v>
      </c>
      <c r="J111" s="33" t="s">
        <v>328</v>
      </c>
      <c r="K111" s="33" t="s">
        <v>329</v>
      </c>
      <c r="L111" s="33" t="s">
        <v>330</v>
      </c>
      <c r="M111" s="33"/>
    </row>
    <row r="112" spans="1:13" x14ac:dyDescent="0.35">
      <c r="A112" s="33" t="s">
        <v>327</v>
      </c>
      <c r="B112" s="33" t="s">
        <v>17</v>
      </c>
      <c r="C112" s="33" t="s">
        <v>558</v>
      </c>
      <c r="D112" s="33" t="s">
        <v>559</v>
      </c>
      <c r="E112" s="33" t="s">
        <v>560</v>
      </c>
      <c r="F112" s="53">
        <v>45777</v>
      </c>
      <c r="G112" s="33">
        <v>125</v>
      </c>
      <c r="H112" s="53">
        <v>45960</v>
      </c>
      <c r="I112" s="33" t="s">
        <v>21</v>
      </c>
      <c r="J112" s="33" t="s">
        <v>342</v>
      </c>
      <c r="K112" s="33" t="s">
        <v>329</v>
      </c>
      <c r="L112" s="33" t="s">
        <v>330</v>
      </c>
      <c r="M112" s="33"/>
    </row>
    <row r="113" spans="1:13" x14ac:dyDescent="0.35">
      <c r="A113" s="33" t="s">
        <v>327</v>
      </c>
      <c r="B113" s="33" t="s">
        <v>17</v>
      </c>
      <c r="C113" s="33" t="s">
        <v>558</v>
      </c>
      <c r="D113" s="33" t="s">
        <v>559</v>
      </c>
      <c r="E113" s="33" t="s">
        <v>561</v>
      </c>
      <c r="F113" s="53">
        <v>45777</v>
      </c>
      <c r="G113" s="33">
        <v>125</v>
      </c>
      <c r="H113" s="53">
        <v>45960</v>
      </c>
      <c r="I113" s="33" t="s">
        <v>21</v>
      </c>
      <c r="J113" s="33" t="s">
        <v>342</v>
      </c>
      <c r="K113" s="33" t="s">
        <v>329</v>
      </c>
      <c r="L113" s="33" t="s">
        <v>330</v>
      </c>
      <c r="M113" s="33"/>
    </row>
    <row r="114" spans="1:13" x14ac:dyDescent="0.35">
      <c r="A114" s="33" t="s">
        <v>327</v>
      </c>
      <c r="B114" s="33" t="s">
        <v>17</v>
      </c>
      <c r="C114" s="33" t="s">
        <v>565</v>
      </c>
      <c r="D114" s="33" t="s">
        <v>566</v>
      </c>
      <c r="E114" s="33" t="s">
        <v>567</v>
      </c>
      <c r="F114" s="53">
        <v>45777</v>
      </c>
      <c r="G114" s="33">
        <v>125</v>
      </c>
      <c r="H114" s="53">
        <v>45960</v>
      </c>
      <c r="I114" s="33" t="s">
        <v>21</v>
      </c>
      <c r="J114" s="33" t="s">
        <v>332</v>
      </c>
      <c r="K114" s="33" t="s">
        <v>329</v>
      </c>
      <c r="L114" s="33" t="s">
        <v>330</v>
      </c>
      <c r="M114" s="33"/>
    </row>
    <row r="115" spans="1:13" x14ac:dyDescent="0.35">
      <c r="A115" s="33" t="s">
        <v>327</v>
      </c>
      <c r="B115" s="33" t="s">
        <v>17</v>
      </c>
      <c r="C115" s="33" t="s">
        <v>706</v>
      </c>
      <c r="D115" s="33" t="s">
        <v>707</v>
      </c>
      <c r="E115" s="33" t="s">
        <v>708</v>
      </c>
      <c r="F115" s="53">
        <v>45777</v>
      </c>
      <c r="G115" s="33">
        <v>125</v>
      </c>
      <c r="H115" s="53">
        <v>45960</v>
      </c>
      <c r="I115" s="33" t="s">
        <v>21</v>
      </c>
      <c r="J115" s="33" t="s">
        <v>328</v>
      </c>
      <c r="K115" s="33" t="s">
        <v>329</v>
      </c>
      <c r="L115" s="33" t="s">
        <v>330</v>
      </c>
      <c r="M115" s="33"/>
    </row>
    <row r="116" spans="1:13" x14ac:dyDescent="0.35">
      <c r="A116" s="33" t="s">
        <v>327</v>
      </c>
      <c r="B116" s="33" t="s">
        <v>17</v>
      </c>
      <c r="C116" s="33" t="s">
        <v>573</v>
      </c>
      <c r="D116" s="33" t="s">
        <v>574</v>
      </c>
      <c r="E116" s="33" t="s">
        <v>575</v>
      </c>
      <c r="F116" s="53">
        <v>45779</v>
      </c>
      <c r="G116" s="33">
        <v>125</v>
      </c>
      <c r="H116" s="53">
        <v>45961</v>
      </c>
      <c r="I116" s="33" t="s">
        <v>21</v>
      </c>
      <c r="J116" s="33" t="s">
        <v>339</v>
      </c>
      <c r="K116" s="33" t="s">
        <v>338</v>
      </c>
      <c r="L116" s="33" t="s">
        <v>330</v>
      </c>
      <c r="M116" s="33"/>
    </row>
    <row r="117" spans="1:13" x14ac:dyDescent="0.35">
      <c r="A117" s="33" t="s">
        <v>327</v>
      </c>
      <c r="B117" s="33" t="s">
        <v>17</v>
      </c>
      <c r="C117" s="33" t="s">
        <v>573</v>
      </c>
      <c r="D117" s="33" t="s">
        <v>574</v>
      </c>
      <c r="E117" s="33" t="s">
        <v>576</v>
      </c>
      <c r="F117" s="53">
        <v>45779</v>
      </c>
      <c r="G117" s="33">
        <v>125</v>
      </c>
      <c r="H117" s="53">
        <v>45961</v>
      </c>
      <c r="I117" s="33" t="s">
        <v>21</v>
      </c>
      <c r="J117" s="33" t="s">
        <v>339</v>
      </c>
      <c r="K117" s="33" t="s">
        <v>338</v>
      </c>
      <c r="L117" s="33" t="s">
        <v>330</v>
      </c>
      <c r="M117" s="33"/>
    </row>
    <row r="118" spans="1:13" x14ac:dyDescent="0.35">
      <c r="A118" s="33" t="s">
        <v>327</v>
      </c>
      <c r="B118" s="33" t="s">
        <v>17</v>
      </c>
      <c r="C118" s="33" t="s">
        <v>479</v>
      </c>
      <c r="D118" s="33" t="s">
        <v>480</v>
      </c>
      <c r="E118" s="33" t="s">
        <v>577</v>
      </c>
      <c r="F118" s="53">
        <v>45779</v>
      </c>
      <c r="G118" s="33">
        <v>125</v>
      </c>
      <c r="H118" s="53">
        <v>45961</v>
      </c>
      <c r="I118" s="33" t="s">
        <v>21</v>
      </c>
      <c r="J118" s="33" t="s">
        <v>339</v>
      </c>
      <c r="K118" s="33" t="s">
        <v>338</v>
      </c>
      <c r="L118" s="33" t="s">
        <v>330</v>
      </c>
      <c r="M118" s="33"/>
    </row>
    <row r="119" spans="1:13" x14ac:dyDescent="0.35">
      <c r="A119" s="33" t="s">
        <v>327</v>
      </c>
      <c r="B119" s="33" t="s">
        <v>17</v>
      </c>
      <c r="C119" s="33" t="s">
        <v>479</v>
      </c>
      <c r="D119" s="33" t="s">
        <v>480</v>
      </c>
      <c r="E119" s="33" t="s">
        <v>572</v>
      </c>
      <c r="F119" s="53">
        <v>45779</v>
      </c>
      <c r="G119" s="33">
        <v>125</v>
      </c>
      <c r="H119" s="53">
        <v>45961</v>
      </c>
      <c r="I119" s="33" t="s">
        <v>21</v>
      </c>
      <c r="J119" s="33" t="s">
        <v>339</v>
      </c>
      <c r="K119" s="33" t="s">
        <v>338</v>
      </c>
      <c r="L119" s="33" t="s">
        <v>330</v>
      </c>
      <c r="M119" s="33"/>
    </row>
    <row r="120" spans="1:13" x14ac:dyDescent="0.35">
      <c r="A120" s="33" t="s">
        <v>327</v>
      </c>
      <c r="B120" s="33" t="s">
        <v>17</v>
      </c>
      <c r="C120" s="33" t="s">
        <v>568</v>
      </c>
      <c r="D120" s="33" t="s">
        <v>569</v>
      </c>
      <c r="E120" s="33" t="s">
        <v>570</v>
      </c>
      <c r="F120" s="53">
        <v>45779</v>
      </c>
      <c r="G120" s="33">
        <v>125</v>
      </c>
      <c r="H120" s="53">
        <v>45961</v>
      </c>
      <c r="I120" s="33" t="s">
        <v>21</v>
      </c>
      <c r="J120" s="33" t="s">
        <v>333</v>
      </c>
      <c r="K120" s="33" t="s">
        <v>338</v>
      </c>
      <c r="L120" s="33" t="s">
        <v>330</v>
      </c>
      <c r="M120" s="33"/>
    </row>
    <row r="121" spans="1:13" x14ac:dyDescent="0.35">
      <c r="A121" s="33" t="s">
        <v>327</v>
      </c>
      <c r="B121" s="33" t="s">
        <v>17</v>
      </c>
      <c r="C121" s="33" t="s">
        <v>38</v>
      </c>
      <c r="D121" s="33" t="s">
        <v>39</v>
      </c>
      <c r="E121" s="33" t="s">
        <v>571</v>
      </c>
      <c r="F121" s="53">
        <v>45779</v>
      </c>
      <c r="G121" s="33">
        <v>125</v>
      </c>
      <c r="H121" s="53">
        <v>45961</v>
      </c>
      <c r="I121" s="33" t="s">
        <v>21</v>
      </c>
      <c r="J121" s="33" t="s">
        <v>342</v>
      </c>
      <c r="K121" s="33" t="s">
        <v>329</v>
      </c>
      <c r="L121" s="33" t="s">
        <v>330</v>
      </c>
      <c r="M121" s="33"/>
    </row>
    <row r="122" spans="1:13" x14ac:dyDescent="0.35">
      <c r="A122" s="33" t="s">
        <v>327</v>
      </c>
      <c r="B122" s="33" t="s">
        <v>42</v>
      </c>
      <c r="C122" s="33" t="s">
        <v>995</v>
      </c>
      <c r="D122" s="33" t="s">
        <v>996</v>
      </c>
      <c r="E122" s="33" t="s">
        <v>997</v>
      </c>
      <c r="F122" s="53">
        <v>45779</v>
      </c>
      <c r="G122" s="33">
        <v>125</v>
      </c>
      <c r="H122" s="53">
        <v>45961</v>
      </c>
      <c r="I122" s="33" t="s">
        <v>21</v>
      </c>
      <c r="J122" s="33" t="s">
        <v>339</v>
      </c>
      <c r="K122" s="33" t="s">
        <v>338</v>
      </c>
      <c r="L122" s="33" t="s">
        <v>330</v>
      </c>
      <c r="M122" s="33"/>
    </row>
    <row r="123" spans="1:13" x14ac:dyDescent="0.35">
      <c r="A123" s="33" t="s">
        <v>327</v>
      </c>
      <c r="B123" s="33" t="s">
        <v>17</v>
      </c>
      <c r="C123" s="33" t="s">
        <v>1326</v>
      </c>
      <c r="D123" s="33" t="s">
        <v>1327</v>
      </c>
      <c r="E123" s="33" t="s">
        <v>1328</v>
      </c>
      <c r="F123" s="53">
        <v>45779</v>
      </c>
      <c r="G123" s="33">
        <v>125</v>
      </c>
      <c r="H123" s="53">
        <v>45961</v>
      </c>
      <c r="I123" s="33" t="s">
        <v>21</v>
      </c>
      <c r="J123" s="33" t="s">
        <v>328</v>
      </c>
      <c r="K123" s="33" t="s">
        <v>329</v>
      </c>
      <c r="L123" s="33" t="s">
        <v>330</v>
      </c>
      <c r="M123" s="33"/>
    </row>
    <row r="124" spans="1:13" x14ac:dyDescent="0.35">
      <c r="A124" s="33" t="s">
        <v>327</v>
      </c>
      <c r="B124" s="33" t="s">
        <v>17</v>
      </c>
      <c r="C124" s="33" t="s">
        <v>578</v>
      </c>
      <c r="D124" s="33" t="s">
        <v>579</v>
      </c>
      <c r="E124" s="33" t="s">
        <v>580</v>
      </c>
      <c r="F124" s="53">
        <v>45781</v>
      </c>
      <c r="G124" s="33">
        <v>125</v>
      </c>
      <c r="H124" s="53">
        <v>45961</v>
      </c>
      <c r="I124" s="33" t="s">
        <v>21</v>
      </c>
      <c r="J124" s="33" t="s">
        <v>328</v>
      </c>
      <c r="K124" s="33" t="s">
        <v>329</v>
      </c>
      <c r="L124" s="33" t="s">
        <v>330</v>
      </c>
      <c r="M124" s="33"/>
    </row>
    <row r="125" spans="1:13" x14ac:dyDescent="0.35">
      <c r="A125" s="33" t="s">
        <v>327</v>
      </c>
      <c r="B125" s="33" t="s">
        <v>17</v>
      </c>
      <c r="C125" s="33" t="s">
        <v>584</v>
      </c>
      <c r="D125" s="33" t="s">
        <v>585</v>
      </c>
      <c r="E125" s="33" t="s">
        <v>586</v>
      </c>
      <c r="F125" s="53">
        <v>45782</v>
      </c>
      <c r="G125" s="33">
        <v>125</v>
      </c>
      <c r="H125" s="53">
        <v>45964</v>
      </c>
      <c r="I125" s="33" t="s">
        <v>21</v>
      </c>
      <c r="J125" s="33" t="s">
        <v>339</v>
      </c>
      <c r="K125" s="33" t="s">
        <v>338</v>
      </c>
      <c r="L125" s="33" t="s">
        <v>330</v>
      </c>
      <c r="M125" s="33"/>
    </row>
    <row r="126" spans="1:13" x14ac:dyDescent="0.35">
      <c r="A126" s="33" t="s">
        <v>327</v>
      </c>
      <c r="B126" s="33" t="s">
        <v>17</v>
      </c>
      <c r="C126" s="33" t="s">
        <v>712</v>
      </c>
      <c r="D126" s="33" t="s">
        <v>713</v>
      </c>
      <c r="E126" s="33" t="s">
        <v>714</v>
      </c>
      <c r="F126" s="53">
        <v>45782</v>
      </c>
      <c r="G126" s="33">
        <v>125</v>
      </c>
      <c r="H126" s="53">
        <v>45964</v>
      </c>
      <c r="I126" s="33" t="s">
        <v>21</v>
      </c>
      <c r="J126" s="33" t="s">
        <v>336</v>
      </c>
      <c r="K126" s="33" t="s">
        <v>338</v>
      </c>
      <c r="L126" s="33" t="s">
        <v>330</v>
      </c>
      <c r="M126" s="33"/>
    </row>
    <row r="127" spans="1:13" x14ac:dyDescent="0.35">
      <c r="A127" s="33" t="s">
        <v>327</v>
      </c>
      <c r="B127" s="33" t="s">
        <v>17</v>
      </c>
      <c r="C127" s="33" t="s">
        <v>712</v>
      </c>
      <c r="D127" s="33" t="s">
        <v>713</v>
      </c>
      <c r="E127" s="33" t="s">
        <v>715</v>
      </c>
      <c r="F127" s="53">
        <v>45782</v>
      </c>
      <c r="G127" s="33">
        <v>125</v>
      </c>
      <c r="H127" s="53">
        <v>45964</v>
      </c>
      <c r="I127" s="33" t="s">
        <v>21</v>
      </c>
      <c r="J127" s="33" t="s">
        <v>338</v>
      </c>
      <c r="K127" s="33" t="s">
        <v>338</v>
      </c>
      <c r="L127" s="33" t="s">
        <v>330</v>
      </c>
      <c r="M127" s="33"/>
    </row>
    <row r="128" spans="1:13" x14ac:dyDescent="0.35">
      <c r="A128" s="33" t="s">
        <v>327</v>
      </c>
      <c r="B128" s="33" t="s">
        <v>17</v>
      </c>
      <c r="C128" s="33" t="s">
        <v>587</v>
      </c>
      <c r="D128" s="33" t="s">
        <v>588</v>
      </c>
      <c r="E128" s="33" t="s">
        <v>589</v>
      </c>
      <c r="F128" s="53">
        <v>45782</v>
      </c>
      <c r="G128" s="33">
        <v>125</v>
      </c>
      <c r="H128" s="53">
        <v>45964</v>
      </c>
      <c r="I128" s="33" t="s">
        <v>21</v>
      </c>
      <c r="J128" s="33" t="s">
        <v>328</v>
      </c>
      <c r="K128" s="33" t="s">
        <v>329</v>
      </c>
      <c r="L128" s="33" t="s">
        <v>330</v>
      </c>
      <c r="M128" s="33"/>
    </row>
    <row r="129" spans="1:13" x14ac:dyDescent="0.35">
      <c r="A129" s="33" t="s">
        <v>327</v>
      </c>
      <c r="B129" s="33" t="s">
        <v>17</v>
      </c>
      <c r="C129" s="33" t="s">
        <v>716</v>
      </c>
      <c r="D129" s="33" t="s">
        <v>717</v>
      </c>
      <c r="E129" s="33" t="s">
        <v>718</v>
      </c>
      <c r="F129" s="53">
        <v>45782</v>
      </c>
      <c r="G129" s="33">
        <v>125</v>
      </c>
      <c r="H129" s="53">
        <v>45964</v>
      </c>
      <c r="I129" s="33" t="s">
        <v>21</v>
      </c>
      <c r="J129" s="33" t="s">
        <v>331</v>
      </c>
      <c r="K129" s="33" t="s">
        <v>329</v>
      </c>
      <c r="L129" s="33" t="s">
        <v>330</v>
      </c>
      <c r="M129" s="33"/>
    </row>
    <row r="130" spans="1:13" x14ac:dyDescent="0.35">
      <c r="A130" s="33" t="s">
        <v>327</v>
      </c>
      <c r="B130" s="33" t="s">
        <v>17</v>
      </c>
      <c r="C130" s="33" t="s">
        <v>581</v>
      </c>
      <c r="D130" s="33" t="s">
        <v>582</v>
      </c>
      <c r="E130" s="33" t="s">
        <v>583</v>
      </c>
      <c r="F130" s="53">
        <v>45782</v>
      </c>
      <c r="G130" s="33">
        <v>125</v>
      </c>
      <c r="H130" s="53">
        <v>45964</v>
      </c>
      <c r="I130" s="33" t="s">
        <v>21</v>
      </c>
      <c r="J130" s="33" t="s">
        <v>340</v>
      </c>
      <c r="K130" s="33" t="s">
        <v>329</v>
      </c>
      <c r="L130" s="33" t="s">
        <v>330</v>
      </c>
      <c r="M130" s="33"/>
    </row>
    <row r="131" spans="1:13" x14ac:dyDescent="0.35">
      <c r="A131" s="33" t="s">
        <v>327</v>
      </c>
      <c r="B131" s="33" t="s">
        <v>17</v>
      </c>
      <c r="C131" s="33" t="s">
        <v>600</v>
      </c>
      <c r="D131" s="33" t="s">
        <v>601</v>
      </c>
      <c r="E131" s="33" t="s">
        <v>602</v>
      </c>
      <c r="F131" s="53">
        <v>45783</v>
      </c>
      <c r="G131" s="33">
        <v>125</v>
      </c>
      <c r="H131" s="53">
        <v>45965</v>
      </c>
      <c r="I131" s="33" t="s">
        <v>21</v>
      </c>
      <c r="J131" s="33" t="s">
        <v>332</v>
      </c>
      <c r="K131" s="33" t="s">
        <v>329</v>
      </c>
      <c r="L131" s="33" t="s">
        <v>330</v>
      </c>
      <c r="M131" s="33"/>
    </row>
    <row r="132" spans="1:13" x14ac:dyDescent="0.35">
      <c r="A132" s="33" t="s">
        <v>327</v>
      </c>
      <c r="B132" s="33" t="s">
        <v>17</v>
      </c>
      <c r="C132" s="33" t="s">
        <v>590</v>
      </c>
      <c r="D132" s="33" t="s">
        <v>591</v>
      </c>
      <c r="E132" s="33" t="s">
        <v>592</v>
      </c>
      <c r="F132" s="53">
        <v>45783</v>
      </c>
      <c r="G132" s="33">
        <v>125</v>
      </c>
      <c r="H132" s="53">
        <v>45965</v>
      </c>
      <c r="I132" s="33" t="s">
        <v>21</v>
      </c>
      <c r="J132" s="33" t="s">
        <v>333</v>
      </c>
      <c r="K132" s="33" t="s">
        <v>338</v>
      </c>
      <c r="L132" s="33" t="s">
        <v>330</v>
      </c>
      <c r="M132" s="33"/>
    </row>
    <row r="133" spans="1:13" x14ac:dyDescent="0.35">
      <c r="A133" s="33" t="s">
        <v>327</v>
      </c>
      <c r="B133" s="33" t="s">
        <v>17</v>
      </c>
      <c r="C133" s="33" t="s">
        <v>593</v>
      </c>
      <c r="D133" s="33" t="s">
        <v>594</v>
      </c>
      <c r="E133" s="33" t="s">
        <v>599</v>
      </c>
      <c r="F133" s="53">
        <v>45783</v>
      </c>
      <c r="G133" s="33">
        <v>125</v>
      </c>
      <c r="H133" s="53">
        <v>45965</v>
      </c>
      <c r="I133" s="33" t="s">
        <v>21</v>
      </c>
      <c r="J133" s="33" t="s">
        <v>342</v>
      </c>
      <c r="K133" s="33" t="s">
        <v>329</v>
      </c>
      <c r="L133" s="33" t="s">
        <v>330</v>
      </c>
      <c r="M133" s="33"/>
    </row>
    <row r="134" spans="1:13" x14ac:dyDescent="0.35">
      <c r="A134" s="33" t="s">
        <v>327</v>
      </c>
      <c r="B134" s="33" t="s">
        <v>17</v>
      </c>
      <c r="C134" s="33" t="s">
        <v>593</v>
      </c>
      <c r="D134" s="33" t="s">
        <v>594</v>
      </c>
      <c r="E134" s="33" t="s">
        <v>595</v>
      </c>
      <c r="F134" s="53">
        <v>45783</v>
      </c>
      <c r="G134" s="33">
        <v>125</v>
      </c>
      <c r="H134" s="53">
        <v>45965</v>
      </c>
      <c r="I134" s="33" t="s">
        <v>21</v>
      </c>
      <c r="J134" s="33" t="s">
        <v>342</v>
      </c>
      <c r="K134" s="33" t="s">
        <v>329</v>
      </c>
      <c r="L134" s="33" t="s">
        <v>330</v>
      </c>
      <c r="M134" s="33"/>
    </row>
    <row r="135" spans="1:13" x14ac:dyDescent="0.35">
      <c r="A135" s="33" t="s">
        <v>327</v>
      </c>
      <c r="B135" s="33" t="s">
        <v>17</v>
      </c>
      <c r="C135" s="33" t="s">
        <v>732</v>
      </c>
      <c r="D135" s="33" t="s">
        <v>733</v>
      </c>
      <c r="E135" s="33" t="s">
        <v>734</v>
      </c>
      <c r="F135" s="53">
        <v>45783</v>
      </c>
      <c r="G135" s="33">
        <v>125</v>
      </c>
      <c r="H135" s="53">
        <v>45965</v>
      </c>
      <c r="I135" s="33" t="s">
        <v>21</v>
      </c>
      <c r="J135" s="33" t="s">
        <v>338</v>
      </c>
      <c r="K135" s="33" t="s">
        <v>338</v>
      </c>
      <c r="L135" s="33" t="s">
        <v>330</v>
      </c>
      <c r="M135" s="33"/>
    </row>
    <row r="136" spans="1:13" x14ac:dyDescent="0.35">
      <c r="A136" s="33" t="s">
        <v>327</v>
      </c>
      <c r="B136" s="33" t="s">
        <v>17</v>
      </c>
      <c r="C136" s="33" t="s">
        <v>726</v>
      </c>
      <c r="D136" s="33" t="s">
        <v>727</v>
      </c>
      <c r="E136" s="33" t="s">
        <v>728</v>
      </c>
      <c r="F136" s="53">
        <v>45783</v>
      </c>
      <c r="G136" s="33">
        <v>125</v>
      </c>
      <c r="H136" s="53">
        <v>45965</v>
      </c>
      <c r="I136" s="33" t="s">
        <v>21</v>
      </c>
      <c r="J136" s="33" t="s">
        <v>338</v>
      </c>
      <c r="K136" s="33" t="s">
        <v>338</v>
      </c>
      <c r="L136" s="33" t="s">
        <v>330</v>
      </c>
      <c r="M136" s="33"/>
    </row>
    <row r="137" spans="1:13" x14ac:dyDescent="0.35">
      <c r="A137" s="33" t="s">
        <v>327</v>
      </c>
      <c r="B137" s="33" t="s">
        <v>17</v>
      </c>
      <c r="C137" s="33" t="s">
        <v>729</v>
      </c>
      <c r="D137" s="33" t="s">
        <v>730</v>
      </c>
      <c r="E137" s="33" t="s">
        <v>731</v>
      </c>
      <c r="F137" s="53">
        <v>45783</v>
      </c>
      <c r="G137" s="33">
        <v>125</v>
      </c>
      <c r="H137" s="53">
        <v>45965</v>
      </c>
      <c r="I137" s="33" t="s">
        <v>21</v>
      </c>
      <c r="J137" s="33" t="s">
        <v>338</v>
      </c>
      <c r="K137" s="33" t="s">
        <v>338</v>
      </c>
      <c r="L137" s="33" t="s">
        <v>330</v>
      </c>
      <c r="M137" s="33"/>
    </row>
    <row r="138" spans="1:13" x14ac:dyDescent="0.35">
      <c r="A138" s="33" t="s">
        <v>327</v>
      </c>
      <c r="B138" s="33" t="s">
        <v>17</v>
      </c>
      <c r="C138" s="33" t="s">
        <v>581</v>
      </c>
      <c r="D138" s="33" t="s">
        <v>582</v>
      </c>
      <c r="E138" s="33" t="s">
        <v>725</v>
      </c>
      <c r="F138" s="53">
        <v>45783</v>
      </c>
      <c r="G138" s="33">
        <v>125</v>
      </c>
      <c r="H138" s="53">
        <v>45965</v>
      </c>
      <c r="I138" s="33" t="s">
        <v>21</v>
      </c>
      <c r="J138" s="33" t="s">
        <v>340</v>
      </c>
      <c r="K138" s="33" t="s">
        <v>329</v>
      </c>
      <c r="L138" s="33" t="s">
        <v>330</v>
      </c>
      <c r="M138" s="33"/>
    </row>
    <row r="139" spans="1:13" x14ac:dyDescent="0.35">
      <c r="A139" s="33" t="s">
        <v>327</v>
      </c>
      <c r="B139" s="33" t="s">
        <v>17</v>
      </c>
      <c r="C139" s="33" t="s">
        <v>603</v>
      </c>
      <c r="D139" s="33" t="s">
        <v>604</v>
      </c>
      <c r="E139" s="33" t="s">
        <v>605</v>
      </c>
      <c r="F139" s="53">
        <v>45783</v>
      </c>
      <c r="G139" s="33">
        <v>125</v>
      </c>
      <c r="H139" s="53">
        <v>45965</v>
      </c>
      <c r="I139" s="33" t="s">
        <v>21</v>
      </c>
      <c r="J139" s="33" t="s">
        <v>332</v>
      </c>
      <c r="K139" s="33" t="s">
        <v>329</v>
      </c>
      <c r="L139" s="33" t="s">
        <v>330</v>
      </c>
      <c r="M139" s="33"/>
    </row>
    <row r="140" spans="1:13" x14ac:dyDescent="0.35">
      <c r="A140" s="33" t="s">
        <v>327</v>
      </c>
      <c r="B140" s="33" t="s">
        <v>17</v>
      </c>
      <c r="C140" s="33" t="s">
        <v>581</v>
      </c>
      <c r="D140" s="33" t="s">
        <v>582</v>
      </c>
      <c r="E140" s="33" t="s">
        <v>722</v>
      </c>
      <c r="F140" s="53">
        <v>45783</v>
      </c>
      <c r="G140" s="33">
        <v>125</v>
      </c>
      <c r="H140" s="53">
        <v>45965</v>
      </c>
      <c r="I140" s="33" t="s">
        <v>21</v>
      </c>
      <c r="J140" s="33" t="s">
        <v>340</v>
      </c>
      <c r="K140" s="33" t="s">
        <v>329</v>
      </c>
      <c r="L140" s="33" t="s">
        <v>330</v>
      </c>
      <c r="M140" s="33"/>
    </row>
    <row r="141" spans="1:13" x14ac:dyDescent="0.35">
      <c r="A141" s="33" t="s">
        <v>327</v>
      </c>
      <c r="B141" s="33" t="s">
        <v>17</v>
      </c>
      <c r="C141" s="33" t="s">
        <v>581</v>
      </c>
      <c r="D141" s="33" t="s">
        <v>582</v>
      </c>
      <c r="E141" s="33" t="s">
        <v>723</v>
      </c>
      <c r="F141" s="53">
        <v>45783</v>
      </c>
      <c r="G141" s="33">
        <v>125</v>
      </c>
      <c r="H141" s="53">
        <v>45965</v>
      </c>
      <c r="I141" s="33" t="s">
        <v>21</v>
      </c>
      <c r="J141" s="33" t="s">
        <v>340</v>
      </c>
      <c r="K141" s="33" t="s">
        <v>329</v>
      </c>
      <c r="L141" s="33" t="s">
        <v>330</v>
      </c>
      <c r="M141" s="33"/>
    </row>
    <row r="142" spans="1:13" x14ac:dyDescent="0.35">
      <c r="A142" s="33" t="s">
        <v>327</v>
      </c>
      <c r="B142" s="33" t="s">
        <v>17</v>
      </c>
      <c r="C142" s="33" t="s">
        <v>581</v>
      </c>
      <c r="D142" s="33" t="s">
        <v>582</v>
      </c>
      <c r="E142" s="33" t="s">
        <v>724</v>
      </c>
      <c r="F142" s="53">
        <v>45783</v>
      </c>
      <c r="G142" s="33">
        <v>125</v>
      </c>
      <c r="H142" s="53">
        <v>45965</v>
      </c>
      <c r="I142" s="33" t="s">
        <v>21</v>
      </c>
      <c r="J142" s="33" t="s">
        <v>340</v>
      </c>
      <c r="K142" s="33" t="s">
        <v>329</v>
      </c>
      <c r="L142" s="33" t="s">
        <v>330</v>
      </c>
      <c r="M142" s="33"/>
    </row>
    <row r="143" spans="1:13" x14ac:dyDescent="0.35">
      <c r="A143" s="33" t="s">
        <v>327</v>
      </c>
      <c r="B143" s="33" t="s">
        <v>17</v>
      </c>
      <c r="C143" s="33" t="s">
        <v>537</v>
      </c>
      <c r="D143" s="33" t="s">
        <v>538</v>
      </c>
      <c r="E143" s="33" t="s">
        <v>610</v>
      </c>
      <c r="F143" s="53">
        <v>45784</v>
      </c>
      <c r="G143" s="33">
        <v>125</v>
      </c>
      <c r="H143" s="53">
        <v>45966</v>
      </c>
      <c r="I143" s="33" t="s">
        <v>21</v>
      </c>
      <c r="J143" s="33" t="s">
        <v>331</v>
      </c>
      <c r="K143" s="33" t="s">
        <v>329</v>
      </c>
      <c r="L143" s="33" t="s">
        <v>330</v>
      </c>
      <c r="M143" s="33"/>
    </row>
    <row r="144" spans="1:13" x14ac:dyDescent="0.35">
      <c r="A144" s="33" t="s">
        <v>327</v>
      </c>
      <c r="B144" s="33" t="s">
        <v>17</v>
      </c>
      <c r="C144" s="33" t="s">
        <v>479</v>
      </c>
      <c r="D144" s="33" t="s">
        <v>480</v>
      </c>
      <c r="E144" s="33" t="s">
        <v>611</v>
      </c>
      <c r="F144" s="53">
        <v>45784</v>
      </c>
      <c r="G144" s="33">
        <v>125</v>
      </c>
      <c r="H144" s="53">
        <v>45966</v>
      </c>
      <c r="I144" s="33" t="s">
        <v>21</v>
      </c>
      <c r="J144" s="33" t="s">
        <v>343</v>
      </c>
      <c r="K144" s="33" t="s">
        <v>338</v>
      </c>
      <c r="L144" s="33" t="s">
        <v>330</v>
      </c>
      <c r="M144" s="33"/>
    </row>
    <row r="145" spans="1:13" x14ac:dyDescent="0.35">
      <c r="A145" s="33" t="s">
        <v>327</v>
      </c>
      <c r="B145" s="33" t="s">
        <v>17</v>
      </c>
      <c r="C145" s="33" t="s">
        <v>565</v>
      </c>
      <c r="D145" s="33" t="s">
        <v>566</v>
      </c>
      <c r="E145" s="33" t="s">
        <v>609</v>
      </c>
      <c r="F145" s="53">
        <v>45784</v>
      </c>
      <c r="G145" s="33">
        <v>125</v>
      </c>
      <c r="H145" s="53">
        <v>45966</v>
      </c>
      <c r="I145" s="33" t="s">
        <v>21</v>
      </c>
      <c r="J145" s="33" t="s">
        <v>332</v>
      </c>
      <c r="K145" s="33" t="s">
        <v>329</v>
      </c>
      <c r="L145" s="33" t="s">
        <v>330</v>
      </c>
      <c r="M145" s="33"/>
    </row>
    <row r="146" spans="1:13" x14ac:dyDescent="0.35">
      <c r="A146" s="33" t="s">
        <v>327</v>
      </c>
      <c r="B146" s="33" t="s">
        <v>17</v>
      </c>
      <c r="C146" s="33" t="s">
        <v>613</v>
      </c>
      <c r="D146" s="33" t="s">
        <v>614</v>
      </c>
      <c r="E146" s="33" t="s">
        <v>615</v>
      </c>
      <c r="F146" s="53">
        <v>45785</v>
      </c>
      <c r="G146" s="33">
        <v>125</v>
      </c>
      <c r="H146" s="53">
        <v>45967</v>
      </c>
      <c r="I146" s="33" t="s">
        <v>21</v>
      </c>
      <c r="J146" s="33" t="s">
        <v>340</v>
      </c>
      <c r="K146" s="33" t="s">
        <v>329</v>
      </c>
      <c r="L146" s="33" t="s">
        <v>330</v>
      </c>
      <c r="M146" s="33"/>
    </row>
    <row r="147" spans="1:13" x14ac:dyDescent="0.35">
      <c r="A147" s="33" t="s">
        <v>327</v>
      </c>
      <c r="B147" s="33" t="s">
        <v>17</v>
      </c>
      <c r="C147" s="33" t="s">
        <v>619</v>
      </c>
      <c r="D147" s="33" t="s">
        <v>620</v>
      </c>
      <c r="E147" s="33" t="s">
        <v>621</v>
      </c>
      <c r="F147" s="53">
        <v>45785</v>
      </c>
      <c r="G147" s="33">
        <v>125</v>
      </c>
      <c r="H147" s="53">
        <v>45967</v>
      </c>
      <c r="I147" s="33" t="s">
        <v>21</v>
      </c>
      <c r="J147" s="33" t="s">
        <v>341</v>
      </c>
      <c r="K147" s="33" t="s">
        <v>329</v>
      </c>
      <c r="L147" s="33" t="s">
        <v>330</v>
      </c>
      <c r="M147" s="33"/>
    </row>
    <row r="148" spans="1:13" x14ac:dyDescent="0.35">
      <c r="A148" s="33" t="s">
        <v>327</v>
      </c>
      <c r="B148" s="33" t="s">
        <v>17</v>
      </c>
      <c r="C148" s="33" t="s">
        <v>616</v>
      </c>
      <c r="D148" s="33" t="s">
        <v>617</v>
      </c>
      <c r="E148" s="33" t="s">
        <v>618</v>
      </c>
      <c r="F148" s="53">
        <v>45785</v>
      </c>
      <c r="G148" s="33">
        <v>125</v>
      </c>
      <c r="H148" s="53">
        <v>45967</v>
      </c>
      <c r="I148" s="33" t="s">
        <v>21</v>
      </c>
      <c r="J148" s="33" t="s">
        <v>339</v>
      </c>
      <c r="K148" s="33" t="s">
        <v>338</v>
      </c>
      <c r="L148" s="33" t="s">
        <v>330</v>
      </c>
      <c r="M148" s="33"/>
    </row>
    <row r="149" spans="1:13" x14ac:dyDescent="0.35">
      <c r="A149" s="33" t="s">
        <v>327</v>
      </c>
      <c r="B149" s="33" t="s">
        <v>17</v>
      </c>
      <c r="C149" s="33" t="s">
        <v>735</v>
      </c>
      <c r="D149" s="33" t="s">
        <v>736</v>
      </c>
      <c r="E149" s="33" t="s">
        <v>737</v>
      </c>
      <c r="F149" s="53">
        <v>45785</v>
      </c>
      <c r="G149" s="33">
        <v>125</v>
      </c>
      <c r="H149" s="53">
        <v>45967</v>
      </c>
      <c r="I149" s="33" t="s">
        <v>21</v>
      </c>
      <c r="J149" s="33" t="s">
        <v>331</v>
      </c>
      <c r="K149" s="33" t="s">
        <v>329</v>
      </c>
      <c r="L149" s="33" t="s">
        <v>330</v>
      </c>
      <c r="M149" s="33"/>
    </row>
    <row r="150" spans="1:13" x14ac:dyDescent="0.35">
      <c r="A150" s="33" t="s">
        <v>327</v>
      </c>
      <c r="B150" s="33" t="s">
        <v>17</v>
      </c>
      <c r="C150" s="33" t="s">
        <v>632</v>
      </c>
      <c r="D150" s="33" t="s">
        <v>633</v>
      </c>
      <c r="E150" s="33" t="s">
        <v>634</v>
      </c>
      <c r="F150" s="53">
        <v>45786</v>
      </c>
      <c r="G150" s="33">
        <v>125</v>
      </c>
      <c r="H150" s="53">
        <v>45968</v>
      </c>
      <c r="I150" s="33" t="s">
        <v>21</v>
      </c>
      <c r="J150" s="33" t="s">
        <v>339</v>
      </c>
      <c r="K150" s="33" t="s">
        <v>338</v>
      </c>
      <c r="L150" s="33" t="s">
        <v>330</v>
      </c>
      <c r="M150" s="33"/>
    </row>
    <row r="151" spans="1:13" x14ac:dyDescent="0.35">
      <c r="A151" s="33" t="s">
        <v>327</v>
      </c>
      <c r="B151" s="33" t="s">
        <v>17</v>
      </c>
      <c r="C151" s="33" t="s">
        <v>622</v>
      </c>
      <c r="D151" s="33" t="s">
        <v>623</v>
      </c>
      <c r="E151" s="33" t="s">
        <v>624</v>
      </c>
      <c r="F151" s="53">
        <v>45786</v>
      </c>
      <c r="G151" s="33">
        <v>125</v>
      </c>
      <c r="H151" s="53">
        <v>45968</v>
      </c>
      <c r="I151" s="33" t="s">
        <v>21</v>
      </c>
      <c r="J151" s="33" t="s">
        <v>328</v>
      </c>
      <c r="K151" s="33" t="s">
        <v>329</v>
      </c>
      <c r="L151" s="33" t="s">
        <v>330</v>
      </c>
      <c r="M151" s="33"/>
    </row>
    <row r="152" spans="1:13" x14ac:dyDescent="0.35">
      <c r="A152" s="33" t="s">
        <v>327</v>
      </c>
      <c r="B152" s="33" t="s">
        <v>17</v>
      </c>
      <c r="C152" s="33" t="s">
        <v>628</v>
      </c>
      <c r="D152" s="33" t="s">
        <v>629</v>
      </c>
      <c r="E152" s="33" t="s">
        <v>630</v>
      </c>
      <c r="F152" s="53">
        <v>45786</v>
      </c>
      <c r="G152" s="33">
        <v>125</v>
      </c>
      <c r="H152" s="53">
        <v>45968</v>
      </c>
      <c r="I152" s="33" t="s">
        <v>21</v>
      </c>
      <c r="J152" s="33" t="s">
        <v>332</v>
      </c>
      <c r="K152" s="33" t="s">
        <v>329</v>
      </c>
      <c r="L152" s="33" t="s">
        <v>330</v>
      </c>
      <c r="M152" s="33"/>
    </row>
    <row r="153" spans="1:13" x14ac:dyDescent="0.35">
      <c r="A153" s="33" t="s">
        <v>327</v>
      </c>
      <c r="B153" s="33" t="s">
        <v>17</v>
      </c>
      <c r="C153" s="33" t="s">
        <v>628</v>
      </c>
      <c r="D153" s="33" t="s">
        <v>629</v>
      </c>
      <c r="E153" s="33" t="s">
        <v>631</v>
      </c>
      <c r="F153" s="53">
        <v>45786</v>
      </c>
      <c r="G153" s="33">
        <v>125</v>
      </c>
      <c r="H153" s="53">
        <v>45968</v>
      </c>
      <c r="I153" s="33" t="s">
        <v>21</v>
      </c>
      <c r="J153" s="33" t="s">
        <v>332</v>
      </c>
      <c r="K153" s="33" t="s">
        <v>329</v>
      </c>
      <c r="L153" s="33" t="s">
        <v>330</v>
      </c>
      <c r="M153" s="33"/>
    </row>
    <row r="154" spans="1:13" x14ac:dyDescent="0.35">
      <c r="A154" s="33" t="s">
        <v>327</v>
      </c>
      <c r="B154" s="33" t="s">
        <v>17</v>
      </c>
      <c r="C154" s="33" t="s">
        <v>625</v>
      </c>
      <c r="D154" s="33" t="s">
        <v>626</v>
      </c>
      <c r="E154" s="33" t="s">
        <v>627</v>
      </c>
      <c r="F154" s="53">
        <v>45786</v>
      </c>
      <c r="G154" s="33">
        <v>125</v>
      </c>
      <c r="H154" s="53">
        <v>45968</v>
      </c>
      <c r="I154" s="33" t="s">
        <v>21</v>
      </c>
      <c r="J154" s="33" t="s">
        <v>328</v>
      </c>
      <c r="K154" s="33" t="s">
        <v>329</v>
      </c>
      <c r="L154" s="33" t="s">
        <v>330</v>
      </c>
      <c r="M154" s="33"/>
    </row>
    <row r="155" spans="1:13" x14ac:dyDescent="0.35">
      <c r="A155" s="33" t="s">
        <v>327</v>
      </c>
      <c r="B155" s="33" t="s">
        <v>17</v>
      </c>
      <c r="C155" s="33" t="s">
        <v>1329</v>
      </c>
      <c r="D155" s="33" t="s">
        <v>1330</v>
      </c>
      <c r="E155" s="33" t="s">
        <v>1331</v>
      </c>
      <c r="F155" s="53">
        <v>45786</v>
      </c>
      <c r="G155" s="33">
        <v>125</v>
      </c>
      <c r="H155" s="53">
        <v>45968</v>
      </c>
      <c r="I155" s="33" t="s">
        <v>21</v>
      </c>
      <c r="J155" s="33" t="s">
        <v>341</v>
      </c>
      <c r="K155" s="33" t="s">
        <v>329</v>
      </c>
      <c r="L155" s="33" t="s">
        <v>330</v>
      </c>
      <c r="M155" s="33"/>
    </row>
    <row r="156" spans="1:13" x14ac:dyDescent="0.35">
      <c r="A156" s="33" t="s">
        <v>327</v>
      </c>
      <c r="B156" s="33" t="s">
        <v>17</v>
      </c>
      <c r="C156" s="33" t="s">
        <v>638</v>
      </c>
      <c r="D156" s="33" t="s">
        <v>639</v>
      </c>
      <c r="E156" s="33" t="s">
        <v>640</v>
      </c>
      <c r="F156" s="53">
        <v>45789</v>
      </c>
      <c r="G156" s="33">
        <v>125</v>
      </c>
      <c r="H156" s="53">
        <v>45971</v>
      </c>
      <c r="I156" s="33" t="s">
        <v>21</v>
      </c>
      <c r="J156" s="33" t="s">
        <v>336</v>
      </c>
      <c r="K156" s="33" t="s">
        <v>338</v>
      </c>
      <c r="L156" s="33" t="s">
        <v>330</v>
      </c>
      <c r="M156" s="33"/>
    </row>
    <row r="157" spans="1:13" x14ac:dyDescent="0.35">
      <c r="A157" s="33" t="s">
        <v>327</v>
      </c>
      <c r="B157" s="33" t="s">
        <v>17</v>
      </c>
      <c r="C157" s="33" t="s">
        <v>635</v>
      </c>
      <c r="D157" s="33" t="s">
        <v>636</v>
      </c>
      <c r="E157" s="33" t="s">
        <v>637</v>
      </c>
      <c r="F157" s="53">
        <v>45789</v>
      </c>
      <c r="G157" s="33">
        <v>125</v>
      </c>
      <c r="H157" s="53">
        <v>45971</v>
      </c>
      <c r="I157" s="33" t="s">
        <v>21</v>
      </c>
      <c r="J157" s="33" t="s">
        <v>343</v>
      </c>
      <c r="K157" s="33" t="s">
        <v>338</v>
      </c>
      <c r="L157" s="33" t="s">
        <v>330</v>
      </c>
      <c r="M157" s="33"/>
    </row>
    <row r="158" spans="1:13" x14ac:dyDescent="0.35">
      <c r="A158" s="33" t="s">
        <v>327</v>
      </c>
      <c r="B158" s="33" t="s">
        <v>17</v>
      </c>
      <c r="C158" s="33" t="s">
        <v>641</v>
      </c>
      <c r="D158" s="33" t="s">
        <v>642</v>
      </c>
      <c r="E158" s="33" t="s">
        <v>643</v>
      </c>
      <c r="F158" s="53">
        <v>45790</v>
      </c>
      <c r="G158" s="33">
        <v>125</v>
      </c>
      <c r="H158" s="53">
        <v>45972</v>
      </c>
      <c r="I158" s="33" t="s">
        <v>21</v>
      </c>
      <c r="J158" s="33" t="s">
        <v>340</v>
      </c>
      <c r="K158" s="33" t="s">
        <v>329</v>
      </c>
      <c r="L158" s="33" t="s">
        <v>330</v>
      </c>
      <c r="M158" s="33"/>
    </row>
    <row r="159" spans="1:13" x14ac:dyDescent="0.35">
      <c r="A159" s="33" t="s">
        <v>327</v>
      </c>
      <c r="B159" s="33" t="s">
        <v>17</v>
      </c>
      <c r="C159" s="33" t="s">
        <v>644</v>
      </c>
      <c r="D159" s="33" t="s">
        <v>645</v>
      </c>
      <c r="E159" s="33" t="s">
        <v>646</v>
      </c>
      <c r="F159" s="53">
        <v>45790</v>
      </c>
      <c r="G159" s="33">
        <v>125</v>
      </c>
      <c r="H159" s="53">
        <v>45972</v>
      </c>
      <c r="I159" s="33" t="s">
        <v>21</v>
      </c>
      <c r="J159" s="33" t="s">
        <v>339</v>
      </c>
      <c r="K159" s="33" t="s">
        <v>338</v>
      </c>
      <c r="L159" s="33" t="s">
        <v>330</v>
      </c>
      <c r="M159" s="33"/>
    </row>
    <row r="160" spans="1:13" x14ac:dyDescent="0.35">
      <c r="A160" s="33" t="s">
        <v>327</v>
      </c>
      <c r="B160" s="33" t="s">
        <v>17</v>
      </c>
      <c r="C160" s="33" t="s">
        <v>741</v>
      </c>
      <c r="D160" s="33" t="s">
        <v>742</v>
      </c>
      <c r="E160" s="33" t="s">
        <v>743</v>
      </c>
      <c r="F160" s="53">
        <v>45790</v>
      </c>
      <c r="G160" s="33">
        <v>125</v>
      </c>
      <c r="H160" s="53">
        <v>45972</v>
      </c>
      <c r="I160" s="33" t="s">
        <v>21</v>
      </c>
      <c r="J160" s="33" t="s">
        <v>332</v>
      </c>
      <c r="K160" s="33" t="s">
        <v>329</v>
      </c>
      <c r="L160" s="33" t="s">
        <v>330</v>
      </c>
      <c r="M160" s="33"/>
    </row>
    <row r="161" spans="1:13" x14ac:dyDescent="0.35">
      <c r="A161" s="33" t="s">
        <v>327</v>
      </c>
      <c r="B161" s="33" t="s">
        <v>17</v>
      </c>
      <c r="C161" s="33" t="s">
        <v>738</v>
      </c>
      <c r="D161" s="33" t="s">
        <v>739</v>
      </c>
      <c r="E161" s="33" t="s">
        <v>740</v>
      </c>
      <c r="F161" s="53">
        <v>45790</v>
      </c>
      <c r="G161" s="33">
        <v>125</v>
      </c>
      <c r="H161" s="53">
        <v>45972</v>
      </c>
      <c r="I161" s="33" t="s">
        <v>21</v>
      </c>
      <c r="J161" s="33" t="s">
        <v>331</v>
      </c>
      <c r="K161" s="33" t="s">
        <v>329</v>
      </c>
      <c r="L161" s="33" t="s">
        <v>330</v>
      </c>
      <c r="M161" s="33"/>
    </row>
    <row r="162" spans="1:13" x14ac:dyDescent="0.35">
      <c r="A162" s="33" t="s">
        <v>327</v>
      </c>
      <c r="B162" s="33" t="s">
        <v>17</v>
      </c>
      <c r="C162" s="33" t="s">
        <v>1332</v>
      </c>
      <c r="D162" s="33" t="s">
        <v>1333</v>
      </c>
      <c r="E162" s="33" t="s">
        <v>1334</v>
      </c>
      <c r="F162" s="53">
        <v>45790</v>
      </c>
      <c r="G162" s="33">
        <v>125</v>
      </c>
      <c r="H162" s="53">
        <v>45972</v>
      </c>
      <c r="I162" s="33" t="s">
        <v>21</v>
      </c>
      <c r="J162" s="33" t="s">
        <v>343</v>
      </c>
      <c r="K162" s="33" t="s">
        <v>338</v>
      </c>
      <c r="L162" s="33" t="s">
        <v>330</v>
      </c>
      <c r="M162" s="33"/>
    </row>
    <row r="163" spans="1:13" x14ac:dyDescent="0.35">
      <c r="A163" s="33" t="s">
        <v>327</v>
      </c>
      <c r="B163" s="33" t="s">
        <v>17</v>
      </c>
      <c r="C163" s="33" t="s">
        <v>744</v>
      </c>
      <c r="D163" s="33" t="s">
        <v>745</v>
      </c>
      <c r="E163" s="33" t="s">
        <v>746</v>
      </c>
      <c r="F163" s="53">
        <v>45791</v>
      </c>
      <c r="G163" s="33">
        <v>125</v>
      </c>
      <c r="H163" s="53">
        <v>45973</v>
      </c>
      <c r="I163" s="33" t="s">
        <v>21</v>
      </c>
      <c r="J163" s="33" t="s">
        <v>333</v>
      </c>
      <c r="K163" s="33" t="s">
        <v>338</v>
      </c>
      <c r="L163" s="33" t="s">
        <v>330</v>
      </c>
      <c r="M163" s="33"/>
    </row>
    <row r="164" spans="1:13" x14ac:dyDescent="0.35">
      <c r="A164" s="33" t="s">
        <v>327</v>
      </c>
      <c r="B164" s="33" t="s">
        <v>17</v>
      </c>
      <c r="C164" s="33" t="s">
        <v>226</v>
      </c>
      <c r="D164" s="33" t="s">
        <v>227</v>
      </c>
      <c r="E164" s="33" t="s">
        <v>649</v>
      </c>
      <c r="F164" s="53">
        <v>45792</v>
      </c>
      <c r="G164" s="33">
        <v>125</v>
      </c>
      <c r="H164" s="53">
        <v>45974</v>
      </c>
      <c r="I164" s="33" t="s">
        <v>21</v>
      </c>
      <c r="J164" s="33" t="s">
        <v>331</v>
      </c>
      <c r="K164" s="33" t="s">
        <v>329</v>
      </c>
      <c r="L164" s="33" t="s">
        <v>330</v>
      </c>
      <c r="M164" s="33"/>
    </row>
    <row r="165" spans="1:13" x14ac:dyDescent="0.35">
      <c r="A165" s="33" t="s">
        <v>327</v>
      </c>
      <c r="B165" s="33" t="s">
        <v>17</v>
      </c>
      <c r="C165" s="33" t="s">
        <v>747</v>
      </c>
      <c r="D165" s="33" t="s">
        <v>748</v>
      </c>
      <c r="E165" s="33" t="s">
        <v>750</v>
      </c>
      <c r="F165" s="53">
        <v>45793</v>
      </c>
      <c r="G165" s="33">
        <v>125</v>
      </c>
      <c r="H165" s="53">
        <v>45975</v>
      </c>
      <c r="I165" s="33" t="s">
        <v>21</v>
      </c>
      <c r="J165" s="33" t="s">
        <v>338</v>
      </c>
      <c r="K165" s="33" t="s">
        <v>338</v>
      </c>
      <c r="L165" s="33" t="s">
        <v>330</v>
      </c>
      <c r="M165" s="33"/>
    </row>
    <row r="166" spans="1:13" x14ac:dyDescent="0.35">
      <c r="A166" s="33" t="s">
        <v>327</v>
      </c>
      <c r="B166" s="33" t="s">
        <v>17</v>
      </c>
      <c r="C166" s="33" t="s">
        <v>747</v>
      </c>
      <c r="D166" s="33" t="s">
        <v>748</v>
      </c>
      <c r="E166" s="33" t="s">
        <v>751</v>
      </c>
      <c r="F166" s="53">
        <v>45793</v>
      </c>
      <c r="G166" s="33">
        <v>125</v>
      </c>
      <c r="H166" s="53">
        <v>45975</v>
      </c>
      <c r="I166" s="33" t="s">
        <v>21</v>
      </c>
      <c r="J166" s="33" t="s">
        <v>338</v>
      </c>
      <c r="K166" s="33" t="s">
        <v>338</v>
      </c>
      <c r="L166" s="33" t="s">
        <v>330</v>
      </c>
      <c r="M166" s="33"/>
    </row>
    <row r="167" spans="1:13" x14ac:dyDescent="0.35">
      <c r="A167" s="33" t="s">
        <v>327</v>
      </c>
      <c r="B167" s="33" t="s">
        <v>17</v>
      </c>
      <c r="C167" s="33" t="s">
        <v>747</v>
      </c>
      <c r="D167" s="33" t="s">
        <v>748</v>
      </c>
      <c r="E167" s="33" t="s">
        <v>752</v>
      </c>
      <c r="F167" s="53">
        <v>45793</v>
      </c>
      <c r="G167" s="33">
        <v>125</v>
      </c>
      <c r="H167" s="53">
        <v>45975</v>
      </c>
      <c r="I167" s="33" t="s">
        <v>21</v>
      </c>
      <c r="J167" s="33" t="s">
        <v>338</v>
      </c>
      <c r="K167" s="33" t="s">
        <v>338</v>
      </c>
      <c r="L167" s="33" t="s">
        <v>330</v>
      </c>
      <c r="M167" s="33"/>
    </row>
    <row r="168" spans="1:13" x14ac:dyDescent="0.35">
      <c r="A168" s="33" t="s">
        <v>327</v>
      </c>
      <c r="B168" s="33" t="s">
        <v>17</v>
      </c>
      <c r="C168" s="33" t="s">
        <v>747</v>
      </c>
      <c r="D168" s="33" t="s">
        <v>748</v>
      </c>
      <c r="E168" s="33" t="s">
        <v>753</v>
      </c>
      <c r="F168" s="53">
        <v>45793</v>
      </c>
      <c r="G168" s="33">
        <v>125</v>
      </c>
      <c r="H168" s="53">
        <v>45975</v>
      </c>
      <c r="I168" s="33" t="s">
        <v>21</v>
      </c>
      <c r="J168" s="33" t="s">
        <v>338</v>
      </c>
      <c r="K168" s="33" t="s">
        <v>338</v>
      </c>
      <c r="L168" s="33" t="s">
        <v>330</v>
      </c>
      <c r="M168" s="33"/>
    </row>
    <row r="169" spans="1:13" x14ac:dyDescent="0.35">
      <c r="A169" s="33" t="s">
        <v>327</v>
      </c>
      <c r="B169" s="33" t="s">
        <v>17</v>
      </c>
      <c r="C169" s="33" t="s">
        <v>747</v>
      </c>
      <c r="D169" s="33" t="s">
        <v>748</v>
      </c>
      <c r="E169" s="33" t="s">
        <v>749</v>
      </c>
      <c r="F169" s="53">
        <v>45793</v>
      </c>
      <c r="G169" s="33">
        <v>125</v>
      </c>
      <c r="H169" s="53">
        <v>45975</v>
      </c>
      <c r="I169" s="33" t="s">
        <v>21</v>
      </c>
      <c r="J169" s="33" t="s">
        <v>338</v>
      </c>
      <c r="K169" s="33" t="s">
        <v>338</v>
      </c>
      <c r="L169" s="33" t="s">
        <v>330</v>
      </c>
      <c r="M169" s="33"/>
    </row>
    <row r="170" spans="1:13" x14ac:dyDescent="0.35">
      <c r="A170" s="33" t="s">
        <v>327</v>
      </c>
      <c r="B170" s="33" t="s">
        <v>17</v>
      </c>
      <c r="C170" s="33" t="s">
        <v>747</v>
      </c>
      <c r="D170" s="33" t="s">
        <v>748</v>
      </c>
      <c r="E170" s="33" t="s">
        <v>754</v>
      </c>
      <c r="F170" s="53">
        <v>45793</v>
      </c>
      <c r="G170" s="33">
        <v>125</v>
      </c>
      <c r="H170" s="53">
        <v>45975</v>
      </c>
      <c r="I170" s="33" t="s">
        <v>21</v>
      </c>
      <c r="J170" s="33" t="s">
        <v>338</v>
      </c>
      <c r="K170" s="33" t="s">
        <v>338</v>
      </c>
      <c r="L170" s="33" t="s">
        <v>330</v>
      </c>
      <c r="M170" s="33"/>
    </row>
    <row r="171" spans="1:13" x14ac:dyDescent="0.35">
      <c r="A171" s="33" t="s">
        <v>327</v>
      </c>
      <c r="B171" s="33" t="s">
        <v>17</v>
      </c>
      <c r="C171" s="33" t="s">
        <v>657</v>
      </c>
      <c r="D171" s="33" t="s">
        <v>658</v>
      </c>
      <c r="E171" s="33" t="s">
        <v>659</v>
      </c>
      <c r="F171" s="53">
        <v>45796</v>
      </c>
      <c r="G171" s="33">
        <v>125</v>
      </c>
      <c r="H171" s="53">
        <v>45978</v>
      </c>
      <c r="I171" s="33" t="s">
        <v>21</v>
      </c>
      <c r="J171" s="33" t="s">
        <v>340</v>
      </c>
      <c r="K171" s="33" t="s">
        <v>329</v>
      </c>
      <c r="L171" s="33" t="s">
        <v>330</v>
      </c>
      <c r="M171" s="33"/>
    </row>
    <row r="172" spans="1:13" x14ac:dyDescent="0.35">
      <c r="A172" s="33" t="s">
        <v>327</v>
      </c>
      <c r="B172" s="33" t="s">
        <v>17</v>
      </c>
      <c r="C172" s="33" t="s">
        <v>761</v>
      </c>
      <c r="D172" s="33" t="s">
        <v>762</v>
      </c>
      <c r="E172" s="33" t="s">
        <v>763</v>
      </c>
      <c r="F172" s="53">
        <v>45796</v>
      </c>
      <c r="G172" s="33">
        <v>125</v>
      </c>
      <c r="H172" s="53">
        <v>45978</v>
      </c>
      <c r="I172" s="33" t="s">
        <v>21</v>
      </c>
      <c r="J172" s="33" t="s">
        <v>340</v>
      </c>
      <c r="K172" s="33" t="s">
        <v>329</v>
      </c>
      <c r="L172" s="33" t="s">
        <v>330</v>
      </c>
      <c r="M172" s="33"/>
    </row>
    <row r="173" spans="1:13" x14ac:dyDescent="0.35">
      <c r="A173" s="33" t="s">
        <v>327</v>
      </c>
      <c r="B173" s="33" t="s">
        <v>17</v>
      </c>
      <c r="C173" s="33" t="s">
        <v>755</v>
      </c>
      <c r="D173" s="33" t="s">
        <v>756</v>
      </c>
      <c r="E173" s="33" t="s">
        <v>757</v>
      </c>
      <c r="F173" s="53">
        <v>45796</v>
      </c>
      <c r="G173" s="33">
        <v>125</v>
      </c>
      <c r="H173" s="53">
        <v>45978</v>
      </c>
      <c r="I173" s="33" t="s">
        <v>21</v>
      </c>
      <c r="J173" s="33" t="s">
        <v>331</v>
      </c>
      <c r="K173" s="33" t="s">
        <v>329</v>
      </c>
      <c r="L173" s="33" t="s">
        <v>330</v>
      </c>
      <c r="M173" s="33"/>
    </row>
    <row r="174" spans="1:13" x14ac:dyDescent="0.35">
      <c r="A174" s="33" t="s">
        <v>327</v>
      </c>
      <c r="B174" s="33" t="s">
        <v>17</v>
      </c>
      <c r="C174" s="33" t="s">
        <v>758</v>
      </c>
      <c r="D174" s="33" t="s">
        <v>759</v>
      </c>
      <c r="E174" s="33" t="s">
        <v>760</v>
      </c>
      <c r="F174" s="53">
        <v>45796</v>
      </c>
      <c r="G174" s="33">
        <v>125</v>
      </c>
      <c r="H174" s="53">
        <v>45978</v>
      </c>
      <c r="I174" s="33" t="s">
        <v>21</v>
      </c>
      <c r="J174" s="33" t="s">
        <v>331</v>
      </c>
      <c r="K174" s="33" t="s">
        <v>329</v>
      </c>
      <c r="L174" s="33" t="s">
        <v>330</v>
      </c>
      <c r="M174" s="33"/>
    </row>
    <row r="175" spans="1:13" x14ac:dyDescent="0.35">
      <c r="A175" s="33" t="s">
        <v>327</v>
      </c>
      <c r="B175" s="33" t="s">
        <v>17</v>
      </c>
      <c r="C175" s="33" t="s">
        <v>654</v>
      </c>
      <c r="D175" s="33" t="s">
        <v>655</v>
      </c>
      <c r="E175" s="33" t="s">
        <v>656</v>
      </c>
      <c r="F175" s="53">
        <v>45796</v>
      </c>
      <c r="G175" s="33">
        <v>125</v>
      </c>
      <c r="H175" s="53">
        <v>45978</v>
      </c>
      <c r="I175" s="33" t="s">
        <v>21</v>
      </c>
      <c r="J175" s="33" t="s">
        <v>343</v>
      </c>
      <c r="K175" s="33" t="s">
        <v>338</v>
      </c>
      <c r="L175" s="33" t="s">
        <v>330</v>
      </c>
      <c r="M175" s="33"/>
    </row>
    <row r="176" spans="1:13" x14ac:dyDescent="0.35">
      <c r="A176" s="33" t="s">
        <v>327</v>
      </c>
      <c r="B176" s="33" t="s">
        <v>17</v>
      </c>
      <c r="C176" s="33" t="s">
        <v>660</v>
      </c>
      <c r="D176" s="33" t="s">
        <v>661</v>
      </c>
      <c r="E176" s="33" t="s">
        <v>662</v>
      </c>
      <c r="F176" s="53">
        <v>45796</v>
      </c>
      <c r="G176" s="33">
        <v>125</v>
      </c>
      <c r="H176" s="53">
        <v>45978</v>
      </c>
      <c r="I176" s="33" t="s">
        <v>21</v>
      </c>
      <c r="J176" s="33" t="s">
        <v>328</v>
      </c>
      <c r="K176" s="33" t="s">
        <v>329</v>
      </c>
      <c r="L176" s="33" t="s">
        <v>330</v>
      </c>
      <c r="M176" s="33"/>
    </row>
    <row r="177" spans="1:13" x14ac:dyDescent="0.35">
      <c r="A177" s="33" t="s">
        <v>327</v>
      </c>
      <c r="B177" s="33" t="s">
        <v>42</v>
      </c>
      <c r="C177" s="33" t="s">
        <v>773</v>
      </c>
      <c r="D177" s="33" t="s">
        <v>774</v>
      </c>
      <c r="E177" s="33" t="s">
        <v>775</v>
      </c>
      <c r="F177" s="53">
        <v>45796</v>
      </c>
      <c r="G177" s="33">
        <v>125</v>
      </c>
      <c r="H177" s="53">
        <v>45978</v>
      </c>
      <c r="I177" s="33" t="s">
        <v>21</v>
      </c>
      <c r="J177" s="33" t="s">
        <v>332</v>
      </c>
      <c r="K177" s="33" t="s">
        <v>329</v>
      </c>
      <c r="L177" s="33" t="s">
        <v>330</v>
      </c>
      <c r="M177" s="33"/>
    </row>
    <row r="178" spans="1:13" x14ac:dyDescent="0.35">
      <c r="A178" s="33" t="s">
        <v>327</v>
      </c>
      <c r="B178" s="33" t="s">
        <v>173</v>
      </c>
      <c r="C178" s="33" t="s">
        <v>770</v>
      </c>
      <c r="D178" s="33" t="s">
        <v>771</v>
      </c>
      <c r="E178" s="33" t="s">
        <v>772</v>
      </c>
      <c r="F178" s="53">
        <v>45796</v>
      </c>
      <c r="G178" s="33">
        <v>125</v>
      </c>
      <c r="H178" s="53">
        <v>45978</v>
      </c>
      <c r="I178" s="33" t="s">
        <v>21</v>
      </c>
      <c r="J178" s="33" t="s">
        <v>332</v>
      </c>
      <c r="K178" s="33" t="s">
        <v>329</v>
      </c>
      <c r="L178" s="33" t="s">
        <v>330</v>
      </c>
      <c r="M178" s="33"/>
    </row>
    <row r="179" spans="1:13" x14ac:dyDescent="0.35">
      <c r="A179" s="33" t="s">
        <v>327</v>
      </c>
      <c r="B179" s="33" t="s">
        <v>17</v>
      </c>
      <c r="C179" s="33" t="s">
        <v>767</v>
      </c>
      <c r="D179" s="33" t="s">
        <v>768</v>
      </c>
      <c r="E179" s="33" t="s">
        <v>769</v>
      </c>
      <c r="F179" s="53">
        <v>45796</v>
      </c>
      <c r="G179" s="33">
        <v>125</v>
      </c>
      <c r="H179" s="53">
        <v>45978</v>
      </c>
      <c r="I179" s="33" t="s">
        <v>21</v>
      </c>
      <c r="J179" s="33" t="s">
        <v>336</v>
      </c>
      <c r="K179" s="33" t="s">
        <v>338</v>
      </c>
      <c r="L179" s="33" t="s">
        <v>330</v>
      </c>
      <c r="M179" s="33"/>
    </row>
    <row r="180" spans="1:13" x14ac:dyDescent="0.35">
      <c r="A180" s="33" t="s">
        <v>327</v>
      </c>
      <c r="B180" s="33" t="s">
        <v>17</v>
      </c>
      <c r="C180" s="33" t="s">
        <v>998</v>
      </c>
      <c r="D180" s="33" t="s">
        <v>999</v>
      </c>
      <c r="E180" s="33" t="s">
        <v>1000</v>
      </c>
      <c r="F180" s="53">
        <v>45796</v>
      </c>
      <c r="G180" s="33">
        <v>125</v>
      </c>
      <c r="H180" s="53">
        <v>45978</v>
      </c>
      <c r="I180" s="33" t="s">
        <v>21</v>
      </c>
      <c r="J180" s="33" t="s">
        <v>339</v>
      </c>
      <c r="K180" s="33" t="s">
        <v>338</v>
      </c>
      <c r="L180" s="33" t="s">
        <v>330</v>
      </c>
      <c r="M180" s="33"/>
    </row>
    <row r="181" spans="1:13" x14ac:dyDescent="0.35">
      <c r="A181" s="33" t="s">
        <v>327</v>
      </c>
      <c r="B181" s="33" t="s">
        <v>17</v>
      </c>
      <c r="C181" s="33" t="s">
        <v>663</v>
      </c>
      <c r="D181" s="33" t="s">
        <v>664</v>
      </c>
      <c r="E181" s="33" t="s">
        <v>665</v>
      </c>
      <c r="F181" s="53">
        <v>45797</v>
      </c>
      <c r="G181" s="33">
        <v>125</v>
      </c>
      <c r="H181" s="53">
        <v>45979</v>
      </c>
      <c r="I181" s="33" t="s">
        <v>21</v>
      </c>
      <c r="J181" s="33" t="s">
        <v>338</v>
      </c>
      <c r="K181" s="33" t="s">
        <v>338</v>
      </c>
      <c r="L181" s="33" t="s">
        <v>330</v>
      </c>
      <c r="M181" s="33"/>
    </row>
    <row r="182" spans="1:13" x14ac:dyDescent="0.35">
      <c r="A182" s="33" t="s">
        <v>327</v>
      </c>
      <c r="B182" s="33" t="s">
        <v>17</v>
      </c>
      <c r="C182" s="33" t="s">
        <v>696</v>
      </c>
      <c r="D182" s="33" t="s">
        <v>697</v>
      </c>
      <c r="E182" s="33" t="s">
        <v>776</v>
      </c>
      <c r="F182" s="53">
        <v>45797</v>
      </c>
      <c r="G182" s="33">
        <v>125</v>
      </c>
      <c r="H182" s="53">
        <v>45979</v>
      </c>
      <c r="I182" s="33" t="s">
        <v>21</v>
      </c>
      <c r="J182" s="33" t="s">
        <v>340</v>
      </c>
      <c r="K182" s="33" t="s">
        <v>329</v>
      </c>
      <c r="L182" s="33" t="s">
        <v>330</v>
      </c>
      <c r="M182" s="33"/>
    </row>
    <row r="183" spans="1:13" x14ac:dyDescent="0.35">
      <c r="A183" s="33" t="s">
        <v>327</v>
      </c>
      <c r="B183" s="33" t="s">
        <v>17</v>
      </c>
      <c r="C183" s="33" t="s">
        <v>777</v>
      </c>
      <c r="D183" s="33" t="s">
        <v>778</v>
      </c>
      <c r="E183" s="33" t="s">
        <v>779</v>
      </c>
      <c r="F183" s="53">
        <v>45799</v>
      </c>
      <c r="G183" s="33">
        <v>125</v>
      </c>
      <c r="H183" s="53">
        <v>45981</v>
      </c>
      <c r="I183" s="33" t="s">
        <v>21</v>
      </c>
      <c r="J183" s="33" t="s">
        <v>342</v>
      </c>
      <c r="K183" s="33" t="s">
        <v>329</v>
      </c>
      <c r="L183" s="33" t="s">
        <v>330</v>
      </c>
      <c r="M183" s="33"/>
    </row>
    <row r="184" spans="1:13" x14ac:dyDescent="0.35">
      <c r="A184" s="33" t="s">
        <v>327</v>
      </c>
      <c r="B184" s="33" t="s">
        <v>17</v>
      </c>
      <c r="C184" s="33" t="s">
        <v>666</v>
      </c>
      <c r="D184" s="33" t="s">
        <v>667</v>
      </c>
      <c r="E184" s="33" t="s">
        <v>668</v>
      </c>
      <c r="F184" s="53">
        <v>45799</v>
      </c>
      <c r="G184" s="33">
        <v>125</v>
      </c>
      <c r="H184" s="53">
        <v>45981</v>
      </c>
      <c r="I184" s="33" t="s">
        <v>21</v>
      </c>
      <c r="J184" s="33" t="s">
        <v>340</v>
      </c>
      <c r="K184" s="33" t="s">
        <v>329</v>
      </c>
      <c r="L184" s="33" t="s">
        <v>330</v>
      </c>
      <c r="M184" s="33"/>
    </row>
    <row r="185" spans="1:13" x14ac:dyDescent="0.35">
      <c r="A185" s="33" t="s">
        <v>327</v>
      </c>
      <c r="B185" s="33" t="s">
        <v>17</v>
      </c>
      <c r="C185" s="33" t="s">
        <v>786</v>
      </c>
      <c r="D185" s="33" t="s">
        <v>787</v>
      </c>
      <c r="E185" s="33" t="s">
        <v>788</v>
      </c>
      <c r="F185" s="53">
        <v>45799</v>
      </c>
      <c r="G185" s="33">
        <v>125</v>
      </c>
      <c r="H185" s="53">
        <v>45981</v>
      </c>
      <c r="I185" s="33" t="s">
        <v>21</v>
      </c>
      <c r="J185" s="33" t="s">
        <v>332</v>
      </c>
      <c r="K185" s="33" t="s">
        <v>329</v>
      </c>
      <c r="L185" s="33" t="s">
        <v>330</v>
      </c>
      <c r="M185" s="33"/>
    </row>
    <row r="186" spans="1:13" x14ac:dyDescent="0.35">
      <c r="A186" s="33" t="s">
        <v>327</v>
      </c>
      <c r="B186" s="33" t="s">
        <v>17</v>
      </c>
      <c r="C186" s="33" t="s">
        <v>783</v>
      </c>
      <c r="D186" s="33" t="s">
        <v>784</v>
      </c>
      <c r="E186" s="33" t="s">
        <v>785</v>
      </c>
      <c r="F186" s="53">
        <v>45799</v>
      </c>
      <c r="G186" s="33">
        <v>125</v>
      </c>
      <c r="H186" s="53">
        <v>45981</v>
      </c>
      <c r="I186" s="33" t="s">
        <v>21</v>
      </c>
      <c r="J186" s="33" t="s">
        <v>332</v>
      </c>
      <c r="K186" s="33" t="s">
        <v>329</v>
      </c>
      <c r="L186" s="33" t="s">
        <v>330</v>
      </c>
      <c r="M186" s="33"/>
    </row>
    <row r="187" spans="1:13" x14ac:dyDescent="0.35">
      <c r="A187" s="33" t="s">
        <v>327</v>
      </c>
      <c r="B187" s="33" t="s">
        <v>17</v>
      </c>
      <c r="C187" s="33" t="s">
        <v>780</v>
      </c>
      <c r="D187" s="33" t="s">
        <v>781</v>
      </c>
      <c r="E187" s="33" t="s">
        <v>782</v>
      </c>
      <c r="F187" s="53">
        <v>45799</v>
      </c>
      <c r="G187" s="33">
        <v>125</v>
      </c>
      <c r="H187" s="53">
        <v>45981</v>
      </c>
      <c r="I187" s="33" t="s">
        <v>21</v>
      </c>
      <c r="J187" s="33" t="s">
        <v>342</v>
      </c>
      <c r="K187" s="33" t="s">
        <v>329</v>
      </c>
      <c r="L187" s="33" t="s">
        <v>330</v>
      </c>
      <c r="M187" s="33"/>
    </row>
    <row r="188" spans="1:13" x14ac:dyDescent="0.35">
      <c r="A188" s="33" t="s">
        <v>327</v>
      </c>
      <c r="B188" s="33" t="s">
        <v>17</v>
      </c>
      <c r="C188" s="33" t="s">
        <v>789</v>
      </c>
      <c r="D188" s="33" t="s">
        <v>790</v>
      </c>
      <c r="E188" s="33" t="s">
        <v>791</v>
      </c>
      <c r="F188" s="53">
        <v>45800</v>
      </c>
      <c r="G188" s="33">
        <v>125</v>
      </c>
      <c r="H188" s="53">
        <v>45982</v>
      </c>
      <c r="I188" s="33" t="s">
        <v>21</v>
      </c>
      <c r="J188" s="33" t="s">
        <v>342</v>
      </c>
      <c r="K188" s="33" t="s">
        <v>329</v>
      </c>
      <c r="L188" s="33" t="s">
        <v>330</v>
      </c>
      <c r="M188" s="33"/>
    </row>
    <row r="189" spans="1:13" x14ac:dyDescent="0.35">
      <c r="A189" s="33" t="s">
        <v>327</v>
      </c>
      <c r="B189" s="33" t="s">
        <v>17</v>
      </c>
      <c r="C189" s="33" t="s">
        <v>792</v>
      </c>
      <c r="D189" s="33" t="s">
        <v>793</v>
      </c>
      <c r="E189" s="33" t="s">
        <v>794</v>
      </c>
      <c r="F189" s="53">
        <v>45803</v>
      </c>
      <c r="G189" s="33">
        <v>125</v>
      </c>
      <c r="H189" s="53">
        <v>45985</v>
      </c>
      <c r="I189" s="33" t="s">
        <v>21</v>
      </c>
      <c r="J189" s="33" t="s">
        <v>340</v>
      </c>
      <c r="K189" s="33" t="s">
        <v>329</v>
      </c>
      <c r="L189" s="33" t="s">
        <v>330</v>
      </c>
      <c r="M189" s="33"/>
    </row>
    <row r="190" spans="1:13" x14ac:dyDescent="0.35">
      <c r="A190" s="33" t="s">
        <v>327</v>
      </c>
      <c r="B190" s="33" t="s">
        <v>17</v>
      </c>
      <c r="C190" s="33" t="s">
        <v>795</v>
      </c>
      <c r="D190" s="33" t="s">
        <v>796</v>
      </c>
      <c r="E190" s="33" t="s">
        <v>797</v>
      </c>
      <c r="F190" s="53">
        <v>45803</v>
      </c>
      <c r="G190" s="33">
        <v>125</v>
      </c>
      <c r="H190" s="53">
        <v>45985</v>
      </c>
      <c r="I190" s="33" t="s">
        <v>21</v>
      </c>
      <c r="J190" s="33" t="s">
        <v>341</v>
      </c>
      <c r="K190" s="33" t="s">
        <v>329</v>
      </c>
      <c r="L190" s="33" t="s">
        <v>330</v>
      </c>
      <c r="M190" s="33"/>
    </row>
    <row r="191" spans="1:13" x14ac:dyDescent="0.35">
      <c r="A191" s="33" t="s">
        <v>327</v>
      </c>
      <c r="B191" s="33" t="s">
        <v>17</v>
      </c>
      <c r="C191" s="33" t="s">
        <v>798</v>
      </c>
      <c r="D191" s="33" t="s">
        <v>799</v>
      </c>
      <c r="E191" s="33" t="s">
        <v>800</v>
      </c>
      <c r="F191" s="53">
        <v>45803</v>
      </c>
      <c r="G191" s="33">
        <v>125</v>
      </c>
      <c r="H191" s="53">
        <v>45985</v>
      </c>
      <c r="I191" s="33" t="s">
        <v>21</v>
      </c>
      <c r="J191" s="33" t="s">
        <v>331</v>
      </c>
      <c r="K191" s="33" t="s">
        <v>329</v>
      </c>
      <c r="L191" s="33" t="s">
        <v>330</v>
      </c>
      <c r="M191" s="33"/>
    </row>
    <row r="192" spans="1:13" x14ac:dyDescent="0.35">
      <c r="A192" s="33" t="s">
        <v>327</v>
      </c>
      <c r="B192" s="33" t="s">
        <v>17</v>
      </c>
      <c r="C192" s="33" t="s">
        <v>670</v>
      </c>
      <c r="D192" s="33" t="s">
        <v>671</v>
      </c>
      <c r="E192" s="33" t="s">
        <v>672</v>
      </c>
      <c r="F192" s="53">
        <v>45804</v>
      </c>
      <c r="G192" s="33">
        <v>125</v>
      </c>
      <c r="H192" s="53">
        <v>45986</v>
      </c>
      <c r="I192" s="33" t="s">
        <v>21</v>
      </c>
      <c r="J192" s="33" t="s">
        <v>345</v>
      </c>
      <c r="K192" s="33" t="s">
        <v>338</v>
      </c>
      <c r="L192" s="33" t="s">
        <v>330</v>
      </c>
      <c r="M192" s="33"/>
    </row>
    <row r="193" spans="1:13" x14ac:dyDescent="0.35">
      <c r="A193" s="33" t="s">
        <v>327</v>
      </c>
      <c r="B193" s="33" t="s">
        <v>17</v>
      </c>
      <c r="C193" s="33" t="s">
        <v>670</v>
      </c>
      <c r="D193" s="33" t="s">
        <v>671</v>
      </c>
      <c r="E193" s="33" t="s">
        <v>673</v>
      </c>
      <c r="F193" s="53">
        <v>45804</v>
      </c>
      <c r="G193" s="33">
        <v>125</v>
      </c>
      <c r="H193" s="53">
        <v>45986</v>
      </c>
      <c r="I193" s="33" t="s">
        <v>21</v>
      </c>
      <c r="J193" s="33" t="s">
        <v>345</v>
      </c>
      <c r="K193" s="33" t="s">
        <v>338</v>
      </c>
      <c r="L193" s="33" t="s">
        <v>330</v>
      </c>
      <c r="M193" s="33"/>
    </row>
    <row r="194" spans="1:13" x14ac:dyDescent="0.35">
      <c r="A194" s="33" t="s">
        <v>327</v>
      </c>
      <c r="B194" s="33" t="s">
        <v>17</v>
      </c>
      <c r="C194" s="33" t="s">
        <v>670</v>
      </c>
      <c r="D194" s="33" t="s">
        <v>671</v>
      </c>
      <c r="E194" s="33" t="s">
        <v>674</v>
      </c>
      <c r="F194" s="53">
        <v>45804</v>
      </c>
      <c r="G194" s="33">
        <v>125</v>
      </c>
      <c r="H194" s="53">
        <v>45986</v>
      </c>
      <c r="I194" s="33" t="s">
        <v>21</v>
      </c>
      <c r="J194" s="33" t="s">
        <v>345</v>
      </c>
      <c r="K194" s="33" t="s">
        <v>338</v>
      </c>
      <c r="L194" s="33" t="s">
        <v>330</v>
      </c>
      <c r="M194" s="33"/>
    </row>
    <row r="195" spans="1:13" x14ac:dyDescent="0.35">
      <c r="A195" s="33" t="s">
        <v>327</v>
      </c>
      <c r="B195" s="33" t="s">
        <v>17</v>
      </c>
      <c r="C195" s="33" t="s">
        <v>670</v>
      </c>
      <c r="D195" s="33" t="s">
        <v>671</v>
      </c>
      <c r="E195" s="33" t="s">
        <v>675</v>
      </c>
      <c r="F195" s="53">
        <v>45804</v>
      </c>
      <c r="G195" s="33">
        <v>125</v>
      </c>
      <c r="H195" s="53">
        <v>45986</v>
      </c>
      <c r="I195" s="33" t="s">
        <v>21</v>
      </c>
      <c r="J195" s="33" t="s">
        <v>345</v>
      </c>
      <c r="K195" s="33" t="s">
        <v>338</v>
      </c>
      <c r="L195" s="33" t="s">
        <v>330</v>
      </c>
      <c r="M195" s="33"/>
    </row>
    <row r="196" spans="1:13" x14ac:dyDescent="0.35">
      <c r="A196" s="33" t="s">
        <v>327</v>
      </c>
      <c r="B196" s="33" t="s">
        <v>17</v>
      </c>
      <c r="C196" s="33" t="s">
        <v>670</v>
      </c>
      <c r="D196" s="33" t="s">
        <v>671</v>
      </c>
      <c r="E196" s="33" t="s">
        <v>676</v>
      </c>
      <c r="F196" s="53">
        <v>45804</v>
      </c>
      <c r="G196" s="33">
        <v>125</v>
      </c>
      <c r="H196" s="53">
        <v>45986</v>
      </c>
      <c r="I196" s="33" t="s">
        <v>21</v>
      </c>
      <c r="J196" s="33" t="s">
        <v>345</v>
      </c>
      <c r="K196" s="33" t="s">
        <v>338</v>
      </c>
      <c r="L196" s="33" t="s">
        <v>330</v>
      </c>
      <c r="M196" s="33"/>
    </row>
    <row r="197" spans="1:13" x14ac:dyDescent="0.35">
      <c r="A197" s="33" t="s">
        <v>327</v>
      </c>
      <c r="B197" s="33" t="s">
        <v>17</v>
      </c>
      <c r="C197" s="33" t="s">
        <v>670</v>
      </c>
      <c r="D197" s="33" t="s">
        <v>671</v>
      </c>
      <c r="E197" s="33" t="s">
        <v>677</v>
      </c>
      <c r="F197" s="53">
        <v>45804</v>
      </c>
      <c r="G197" s="33">
        <v>125</v>
      </c>
      <c r="H197" s="53">
        <v>45986</v>
      </c>
      <c r="I197" s="33" t="s">
        <v>21</v>
      </c>
      <c r="J197" s="33" t="s">
        <v>345</v>
      </c>
      <c r="K197" s="33" t="s">
        <v>338</v>
      </c>
      <c r="L197" s="33" t="s">
        <v>330</v>
      </c>
      <c r="M197" s="33"/>
    </row>
    <row r="198" spans="1:13" x14ac:dyDescent="0.35">
      <c r="A198" s="33" t="s">
        <v>327</v>
      </c>
      <c r="B198" s="33" t="s">
        <v>17</v>
      </c>
      <c r="C198" s="33" t="s">
        <v>134</v>
      </c>
      <c r="D198" s="33" t="s">
        <v>135</v>
      </c>
      <c r="E198" s="33" t="s">
        <v>1001</v>
      </c>
      <c r="F198" s="53">
        <v>45804</v>
      </c>
      <c r="G198" s="33">
        <v>125</v>
      </c>
      <c r="H198" s="53">
        <v>45986</v>
      </c>
      <c r="I198" s="33" t="s">
        <v>21</v>
      </c>
      <c r="J198" s="33" t="s">
        <v>342</v>
      </c>
      <c r="K198" s="33" t="s">
        <v>329</v>
      </c>
      <c r="L198" s="33" t="s">
        <v>330</v>
      </c>
      <c r="M198" s="33"/>
    </row>
    <row r="199" spans="1:13" x14ac:dyDescent="0.35">
      <c r="A199" s="33" t="s">
        <v>327</v>
      </c>
      <c r="B199" s="33" t="s">
        <v>17</v>
      </c>
      <c r="C199" s="33" t="s">
        <v>798</v>
      </c>
      <c r="D199" s="33" t="s">
        <v>799</v>
      </c>
      <c r="E199" s="33" t="s">
        <v>803</v>
      </c>
      <c r="F199" s="53">
        <v>45804</v>
      </c>
      <c r="G199" s="33">
        <v>125</v>
      </c>
      <c r="H199" s="53">
        <v>45986</v>
      </c>
      <c r="I199" s="33" t="s">
        <v>21</v>
      </c>
      <c r="J199" s="33" t="s">
        <v>331</v>
      </c>
      <c r="K199" s="33" t="s">
        <v>329</v>
      </c>
      <c r="L199" s="33" t="s">
        <v>330</v>
      </c>
      <c r="M199" s="33"/>
    </row>
    <row r="200" spans="1:13" x14ac:dyDescent="0.35">
      <c r="A200" s="33" t="s">
        <v>327</v>
      </c>
      <c r="B200" s="33" t="s">
        <v>17</v>
      </c>
      <c r="C200" s="33" t="s">
        <v>809</v>
      </c>
      <c r="D200" s="33" t="s">
        <v>810</v>
      </c>
      <c r="E200" s="33" t="s">
        <v>811</v>
      </c>
      <c r="F200" s="53">
        <v>45805</v>
      </c>
      <c r="G200" s="33">
        <v>125</v>
      </c>
      <c r="H200" s="53">
        <v>45987</v>
      </c>
      <c r="I200" s="33" t="s">
        <v>21</v>
      </c>
      <c r="J200" s="33" t="s">
        <v>341</v>
      </c>
      <c r="K200" s="33" t="s">
        <v>329</v>
      </c>
      <c r="L200" s="33" t="s">
        <v>330</v>
      </c>
      <c r="M200" s="33"/>
    </row>
    <row r="201" spans="1:13" x14ac:dyDescent="0.35">
      <c r="A201" s="33" t="s">
        <v>327</v>
      </c>
      <c r="B201" s="33" t="s">
        <v>17</v>
      </c>
      <c r="C201" s="33" t="s">
        <v>806</v>
      </c>
      <c r="D201" s="33" t="s">
        <v>807</v>
      </c>
      <c r="E201" s="33" t="s">
        <v>808</v>
      </c>
      <c r="F201" s="53">
        <v>45805</v>
      </c>
      <c r="G201" s="33">
        <v>125</v>
      </c>
      <c r="H201" s="53">
        <v>45987</v>
      </c>
      <c r="I201" s="33" t="s">
        <v>21</v>
      </c>
      <c r="J201" s="33" t="s">
        <v>340</v>
      </c>
      <c r="K201" s="33" t="s">
        <v>329</v>
      </c>
      <c r="L201" s="33" t="s">
        <v>330</v>
      </c>
      <c r="M201" s="33"/>
    </row>
    <row r="202" spans="1:13" x14ac:dyDescent="0.35">
      <c r="A202" s="33" t="s">
        <v>327</v>
      </c>
      <c r="B202" s="33" t="s">
        <v>77</v>
      </c>
      <c r="C202" s="33" t="s">
        <v>1335</v>
      </c>
      <c r="D202" s="33" t="s">
        <v>818</v>
      </c>
      <c r="E202" s="33" t="s">
        <v>819</v>
      </c>
      <c r="F202" s="53">
        <v>45806</v>
      </c>
      <c r="G202" s="33">
        <v>125</v>
      </c>
      <c r="H202" s="53">
        <v>45988</v>
      </c>
      <c r="I202" s="33" t="s">
        <v>21</v>
      </c>
      <c r="J202" s="33" t="s">
        <v>336</v>
      </c>
      <c r="K202" s="33" t="s">
        <v>338</v>
      </c>
      <c r="L202" s="33" t="s">
        <v>330</v>
      </c>
      <c r="M202" s="33"/>
    </row>
    <row r="203" spans="1:13" x14ac:dyDescent="0.35">
      <c r="A203" s="33" t="s">
        <v>327</v>
      </c>
      <c r="B203" s="33" t="s">
        <v>17</v>
      </c>
      <c r="C203" s="33" t="s">
        <v>823</v>
      </c>
      <c r="D203" s="33" t="s">
        <v>824</v>
      </c>
      <c r="E203" s="33" t="s">
        <v>825</v>
      </c>
      <c r="F203" s="53">
        <v>45806</v>
      </c>
      <c r="G203" s="33">
        <v>125</v>
      </c>
      <c r="H203" s="53">
        <v>45988</v>
      </c>
      <c r="I203" s="33" t="s">
        <v>21</v>
      </c>
      <c r="J203" s="33" t="s">
        <v>332</v>
      </c>
      <c r="K203" s="33" t="s">
        <v>329</v>
      </c>
      <c r="L203" s="33" t="s">
        <v>330</v>
      </c>
      <c r="M203" s="33"/>
    </row>
    <row r="204" spans="1:13" x14ac:dyDescent="0.35">
      <c r="A204" s="33" t="s">
        <v>327</v>
      </c>
      <c r="B204" s="33" t="s">
        <v>17</v>
      </c>
      <c r="C204" s="33" t="s">
        <v>815</v>
      </c>
      <c r="D204" s="33" t="s">
        <v>816</v>
      </c>
      <c r="E204" s="33" t="s">
        <v>817</v>
      </c>
      <c r="F204" s="53">
        <v>45806</v>
      </c>
      <c r="G204" s="33">
        <v>125</v>
      </c>
      <c r="H204" s="53">
        <v>45988</v>
      </c>
      <c r="I204" s="33" t="s">
        <v>21</v>
      </c>
      <c r="J204" s="33" t="s">
        <v>338</v>
      </c>
      <c r="K204" s="33" t="s">
        <v>338</v>
      </c>
      <c r="L204" s="33" t="s">
        <v>330</v>
      </c>
      <c r="M204" s="33"/>
    </row>
    <row r="205" spans="1:13" x14ac:dyDescent="0.35">
      <c r="A205" s="33" t="s">
        <v>327</v>
      </c>
      <c r="B205" s="33" t="s">
        <v>17</v>
      </c>
      <c r="C205" s="33" t="s">
        <v>820</v>
      </c>
      <c r="D205" s="33" t="s">
        <v>821</v>
      </c>
      <c r="E205" s="33" t="s">
        <v>822</v>
      </c>
      <c r="F205" s="53">
        <v>45806</v>
      </c>
      <c r="G205" s="33">
        <v>125</v>
      </c>
      <c r="H205" s="53">
        <v>45988</v>
      </c>
      <c r="I205" s="33" t="s">
        <v>21</v>
      </c>
      <c r="J205" s="33" t="s">
        <v>328</v>
      </c>
      <c r="K205" s="33" t="s">
        <v>329</v>
      </c>
      <c r="L205" s="33" t="s">
        <v>330</v>
      </c>
      <c r="M205" s="33"/>
    </row>
    <row r="206" spans="1:13" x14ac:dyDescent="0.35">
      <c r="A206" s="33" t="s">
        <v>327</v>
      </c>
      <c r="B206" s="33" t="s">
        <v>17</v>
      </c>
      <c r="C206" s="33" t="s">
        <v>812</v>
      </c>
      <c r="D206" s="33" t="s">
        <v>813</v>
      </c>
      <c r="E206" s="33" t="s">
        <v>814</v>
      </c>
      <c r="F206" s="53">
        <v>45806</v>
      </c>
      <c r="G206" s="33">
        <v>125</v>
      </c>
      <c r="H206" s="53">
        <v>45988</v>
      </c>
      <c r="I206" s="33" t="s">
        <v>21</v>
      </c>
      <c r="J206" s="33" t="s">
        <v>342</v>
      </c>
      <c r="K206" s="33" t="s">
        <v>329</v>
      </c>
      <c r="L206" s="33" t="s">
        <v>330</v>
      </c>
      <c r="M206" s="33"/>
    </row>
    <row r="207" spans="1:13" x14ac:dyDescent="0.35">
      <c r="A207" s="33" t="s">
        <v>327</v>
      </c>
      <c r="B207" s="33" t="s">
        <v>17</v>
      </c>
      <c r="C207" s="33" t="s">
        <v>829</v>
      </c>
      <c r="D207" s="33" t="s">
        <v>830</v>
      </c>
      <c r="E207" s="33" t="s">
        <v>831</v>
      </c>
      <c r="F207" s="53">
        <v>45807</v>
      </c>
      <c r="G207" s="33">
        <v>125</v>
      </c>
      <c r="H207" s="53">
        <v>45989</v>
      </c>
      <c r="I207" s="33" t="s">
        <v>21</v>
      </c>
      <c r="J207" s="33" t="s">
        <v>341</v>
      </c>
      <c r="K207" s="33" t="s">
        <v>329</v>
      </c>
      <c r="L207" s="33" t="s">
        <v>330</v>
      </c>
      <c r="M207" s="33"/>
    </row>
    <row r="208" spans="1:13" x14ac:dyDescent="0.35">
      <c r="A208" s="33" t="s">
        <v>327</v>
      </c>
      <c r="B208" s="33" t="s">
        <v>17</v>
      </c>
      <c r="C208" s="33" t="s">
        <v>826</v>
      </c>
      <c r="D208" s="33" t="s">
        <v>827</v>
      </c>
      <c r="E208" s="33" t="s">
        <v>828</v>
      </c>
      <c r="F208" s="53">
        <v>45807</v>
      </c>
      <c r="G208" s="33">
        <v>125</v>
      </c>
      <c r="H208" s="53">
        <v>45989</v>
      </c>
      <c r="I208" s="33" t="s">
        <v>21</v>
      </c>
      <c r="J208" s="33" t="s">
        <v>341</v>
      </c>
      <c r="K208" s="33" t="s">
        <v>329</v>
      </c>
      <c r="L208" s="33" t="s">
        <v>330</v>
      </c>
      <c r="M208" s="33"/>
    </row>
    <row r="209" spans="1:13" x14ac:dyDescent="0.35">
      <c r="A209" s="33" t="s">
        <v>327</v>
      </c>
      <c r="B209" s="33" t="s">
        <v>17</v>
      </c>
      <c r="C209" s="33" t="s">
        <v>832</v>
      </c>
      <c r="D209" s="33" t="s">
        <v>833</v>
      </c>
      <c r="E209" s="33" t="s">
        <v>834</v>
      </c>
      <c r="F209" s="53">
        <v>45810</v>
      </c>
      <c r="G209" s="33">
        <v>125</v>
      </c>
      <c r="H209" s="53">
        <v>45992</v>
      </c>
      <c r="I209" s="33" t="s">
        <v>21</v>
      </c>
      <c r="J209" s="33" t="s">
        <v>331</v>
      </c>
      <c r="K209" s="33" t="s">
        <v>329</v>
      </c>
      <c r="L209" s="33" t="s">
        <v>330</v>
      </c>
      <c r="M209" s="33"/>
    </row>
    <row r="210" spans="1:13" x14ac:dyDescent="0.35">
      <c r="A210" s="33" t="s">
        <v>327</v>
      </c>
      <c r="B210" s="33" t="s">
        <v>17</v>
      </c>
      <c r="C210" s="33" t="s">
        <v>832</v>
      </c>
      <c r="D210" s="33" t="s">
        <v>833</v>
      </c>
      <c r="E210" s="33" t="s">
        <v>835</v>
      </c>
      <c r="F210" s="53">
        <v>45810</v>
      </c>
      <c r="G210" s="33">
        <v>125</v>
      </c>
      <c r="H210" s="53">
        <v>45992</v>
      </c>
      <c r="I210" s="33" t="s">
        <v>21</v>
      </c>
      <c r="J210" s="33" t="s">
        <v>331</v>
      </c>
      <c r="K210" s="33" t="s">
        <v>329</v>
      </c>
      <c r="L210" s="33" t="s">
        <v>330</v>
      </c>
      <c r="M210" s="33"/>
    </row>
    <row r="211" spans="1:13" x14ac:dyDescent="0.35">
      <c r="A211" s="33" t="s">
        <v>327</v>
      </c>
      <c r="B211" s="33" t="s">
        <v>17</v>
      </c>
      <c r="C211" s="33" t="s">
        <v>837</v>
      </c>
      <c r="D211" s="33" t="s">
        <v>838</v>
      </c>
      <c r="E211" s="33" t="s">
        <v>839</v>
      </c>
      <c r="F211" s="53">
        <v>45810</v>
      </c>
      <c r="G211" s="33">
        <v>125</v>
      </c>
      <c r="H211" s="53">
        <v>45992</v>
      </c>
      <c r="I211" s="33" t="s">
        <v>21</v>
      </c>
      <c r="J211" s="33" t="s">
        <v>332</v>
      </c>
      <c r="K211" s="33" t="s">
        <v>329</v>
      </c>
      <c r="L211" s="33" t="s">
        <v>330</v>
      </c>
      <c r="M211" s="33"/>
    </row>
    <row r="212" spans="1:13" x14ac:dyDescent="0.35">
      <c r="A212" s="33" t="s">
        <v>327</v>
      </c>
      <c r="B212" s="33" t="s">
        <v>17</v>
      </c>
      <c r="C212" s="33" t="s">
        <v>479</v>
      </c>
      <c r="D212" s="33" t="s">
        <v>480</v>
      </c>
      <c r="E212" s="33" t="s">
        <v>836</v>
      </c>
      <c r="F212" s="53">
        <v>45810</v>
      </c>
      <c r="G212" s="33">
        <v>125</v>
      </c>
      <c r="H212" s="53">
        <v>45992</v>
      </c>
      <c r="I212" s="33" t="s">
        <v>21</v>
      </c>
      <c r="J212" s="33" t="s">
        <v>338</v>
      </c>
      <c r="K212" s="33" t="s">
        <v>338</v>
      </c>
      <c r="L212" s="33" t="s">
        <v>330</v>
      </c>
      <c r="M212" s="33"/>
    </row>
    <row r="213" spans="1:13" x14ac:dyDescent="0.35">
      <c r="A213" s="33" t="s">
        <v>327</v>
      </c>
      <c r="B213" s="33" t="s">
        <v>17</v>
      </c>
      <c r="C213" s="33" t="s">
        <v>896</v>
      </c>
      <c r="D213" s="33" t="s">
        <v>897</v>
      </c>
      <c r="E213" s="33" t="s">
        <v>1005</v>
      </c>
      <c r="F213" s="53">
        <v>45810</v>
      </c>
      <c r="G213" s="33">
        <v>125</v>
      </c>
      <c r="H213" s="53">
        <v>45992</v>
      </c>
      <c r="I213" s="33" t="s">
        <v>21</v>
      </c>
      <c r="J213" s="33" t="s">
        <v>336</v>
      </c>
      <c r="K213" s="33" t="s">
        <v>338</v>
      </c>
      <c r="L213" s="33" t="s">
        <v>330</v>
      </c>
      <c r="M213" s="33"/>
    </row>
    <row r="214" spans="1:13" x14ac:dyDescent="0.35">
      <c r="A214" s="33" t="s">
        <v>327</v>
      </c>
      <c r="B214" s="33" t="s">
        <v>17</v>
      </c>
      <c r="C214" s="33" t="s">
        <v>843</v>
      </c>
      <c r="D214" s="33" t="s">
        <v>844</v>
      </c>
      <c r="E214" s="33" t="s">
        <v>845</v>
      </c>
      <c r="F214" s="53">
        <v>45811</v>
      </c>
      <c r="G214" s="33">
        <v>125</v>
      </c>
      <c r="H214" s="53">
        <v>45993</v>
      </c>
      <c r="I214" s="33" t="s">
        <v>21</v>
      </c>
      <c r="J214" s="33" t="s">
        <v>331</v>
      </c>
      <c r="K214" s="33" t="s">
        <v>329</v>
      </c>
      <c r="L214" s="33" t="s">
        <v>330</v>
      </c>
      <c r="M214" s="33"/>
    </row>
    <row r="215" spans="1:13" x14ac:dyDescent="0.35">
      <c r="A215" s="33" t="s">
        <v>327</v>
      </c>
      <c r="B215" s="33" t="s">
        <v>17</v>
      </c>
      <c r="C215" s="33" t="s">
        <v>846</v>
      </c>
      <c r="D215" s="33" t="s">
        <v>847</v>
      </c>
      <c r="E215" s="33" t="s">
        <v>848</v>
      </c>
      <c r="F215" s="53">
        <v>45811</v>
      </c>
      <c r="G215" s="33">
        <v>125</v>
      </c>
      <c r="H215" s="53">
        <v>45993</v>
      </c>
      <c r="I215" s="33" t="s">
        <v>21</v>
      </c>
      <c r="J215" s="33" t="s">
        <v>340</v>
      </c>
      <c r="K215" s="33" t="s">
        <v>329</v>
      </c>
      <c r="L215" s="33" t="s">
        <v>330</v>
      </c>
      <c r="M215" s="33"/>
    </row>
    <row r="216" spans="1:13" x14ac:dyDescent="0.35">
      <c r="A216" s="33" t="s">
        <v>327</v>
      </c>
      <c r="B216" s="33" t="s">
        <v>17</v>
      </c>
      <c r="C216" s="33" t="s">
        <v>38</v>
      </c>
      <c r="D216" s="33" t="s">
        <v>39</v>
      </c>
      <c r="E216" s="33" t="s">
        <v>849</v>
      </c>
      <c r="F216" s="53">
        <v>45811</v>
      </c>
      <c r="G216" s="33">
        <v>125</v>
      </c>
      <c r="H216" s="53">
        <v>45993</v>
      </c>
      <c r="I216" s="33" t="s">
        <v>21</v>
      </c>
      <c r="J216" s="33" t="s">
        <v>341</v>
      </c>
      <c r="K216" s="33" t="s">
        <v>329</v>
      </c>
      <c r="L216" s="33" t="s">
        <v>330</v>
      </c>
      <c r="M216" s="33"/>
    </row>
    <row r="217" spans="1:13" x14ac:dyDescent="0.35">
      <c r="A217" s="33" t="s">
        <v>327</v>
      </c>
      <c r="B217" s="33" t="s">
        <v>17</v>
      </c>
      <c r="C217" s="33" t="s">
        <v>853</v>
      </c>
      <c r="D217" s="33" t="s">
        <v>854</v>
      </c>
      <c r="E217" s="33" t="s">
        <v>855</v>
      </c>
      <c r="F217" s="53">
        <v>45811</v>
      </c>
      <c r="G217" s="33">
        <v>125</v>
      </c>
      <c r="H217" s="53">
        <v>45993</v>
      </c>
      <c r="I217" s="33" t="s">
        <v>21</v>
      </c>
      <c r="J217" s="33" t="s">
        <v>345</v>
      </c>
      <c r="K217" s="33" t="s">
        <v>338</v>
      </c>
      <c r="L217" s="33" t="s">
        <v>330</v>
      </c>
      <c r="M217" s="33"/>
    </row>
    <row r="218" spans="1:13" x14ac:dyDescent="0.35">
      <c r="A218" s="33" t="s">
        <v>327</v>
      </c>
      <c r="B218" s="33" t="s">
        <v>17</v>
      </c>
      <c r="C218" s="33" t="s">
        <v>850</v>
      </c>
      <c r="D218" s="33" t="s">
        <v>851</v>
      </c>
      <c r="E218" s="33" t="s">
        <v>852</v>
      </c>
      <c r="F218" s="53">
        <v>45811</v>
      </c>
      <c r="G218" s="33">
        <v>125</v>
      </c>
      <c r="H218" s="53">
        <v>45993</v>
      </c>
      <c r="I218" s="33" t="s">
        <v>21</v>
      </c>
      <c r="J218" s="33" t="s">
        <v>340</v>
      </c>
      <c r="K218" s="33" t="s">
        <v>329</v>
      </c>
      <c r="L218" s="33" t="s">
        <v>330</v>
      </c>
      <c r="M218" s="33"/>
    </row>
    <row r="219" spans="1:13" x14ac:dyDescent="0.35">
      <c r="A219" s="33" t="s">
        <v>327</v>
      </c>
      <c r="B219" s="33" t="s">
        <v>17</v>
      </c>
      <c r="C219" s="33" t="s">
        <v>840</v>
      </c>
      <c r="D219" s="33" t="s">
        <v>841</v>
      </c>
      <c r="E219" s="33" t="s">
        <v>842</v>
      </c>
      <c r="F219" s="53">
        <v>45811</v>
      </c>
      <c r="G219" s="33">
        <v>125</v>
      </c>
      <c r="H219" s="53">
        <v>45993</v>
      </c>
      <c r="I219" s="33" t="s">
        <v>21</v>
      </c>
      <c r="J219" s="33" t="s">
        <v>336</v>
      </c>
      <c r="K219" s="33" t="s">
        <v>338</v>
      </c>
      <c r="L219" s="33" t="s">
        <v>330</v>
      </c>
      <c r="M219" s="33"/>
    </row>
    <row r="220" spans="1:13" x14ac:dyDescent="0.35">
      <c r="A220" s="33" t="s">
        <v>327</v>
      </c>
      <c r="B220" s="33" t="s">
        <v>17</v>
      </c>
      <c r="C220" s="33" t="s">
        <v>1336</v>
      </c>
      <c r="D220" s="33" t="s">
        <v>1337</v>
      </c>
      <c r="E220" s="33" t="s">
        <v>1338</v>
      </c>
      <c r="F220" s="53">
        <v>45811</v>
      </c>
      <c r="G220" s="33">
        <v>125</v>
      </c>
      <c r="H220" s="53">
        <v>45993</v>
      </c>
      <c r="I220" s="33" t="s">
        <v>21</v>
      </c>
      <c r="J220" s="33" t="s">
        <v>345</v>
      </c>
      <c r="K220" s="33" t="s">
        <v>338</v>
      </c>
      <c r="L220" s="33" t="s">
        <v>330</v>
      </c>
      <c r="M220" s="33"/>
    </row>
    <row r="221" spans="1:13" x14ac:dyDescent="0.35">
      <c r="A221" s="33" t="s">
        <v>327</v>
      </c>
      <c r="B221" s="33" t="s">
        <v>17</v>
      </c>
      <c r="C221" s="33" t="s">
        <v>1339</v>
      </c>
      <c r="D221" s="33" t="s">
        <v>1340</v>
      </c>
      <c r="E221" s="33" t="s">
        <v>1341</v>
      </c>
      <c r="F221" s="53">
        <v>45811</v>
      </c>
      <c r="G221" s="33">
        <v>125</v>
      </c>
      <c r="H221" s="53">
        <v>45993</v>
      </c>
      <c r="I221" s="33" t="s">
        <v>21</v>
      </c>
      <c r="J221" s="33" t="s">
        <v>345</v>
      </c>
      <c r="K221" s="33" t="s">
        <v>338</v>
      </c>
      <c r="L221" s="33" t="s">
        <v>330</v>
      </c>
      <c r="M221" s="33"/>
    </row>
    <row r="222" spans="1:13" x14ac:dyDescent="0.35">
      <c r="A222" s="33" t="s">
        <v>327</v>
      </c>
      <c r="B222" s="33" t="s">
        <v>17</v>
      </c>
      <c r="C222" s="33" t="s">
        <v>43</v>
      </c>
      <c r="D222" s="33" t="s">
        <v>44</v>
      </c>
      <c r="E222" s="33" t="s">
        <v>856</v>
      </c>
      <c r="F222" s="53">
        <v>45812</v>
      </c>
      <c r="G222" s="33">
        <v>125</v>
      </c>
      <c r="H222" s="53">
        <v>45994</v>
      </c>
      <c r="I222" s="33" t="s">
        <v>21</v>
      </c>
      <c r="J222" s="33" t="s">
        <v>345</v>
      </c>
      <c r="K222" s="33" t="s">
        <v>338</v>
      </c>
      <c r="L222" s="33" t="s">
        <v>330</v>
      </c>
      <c r="M222" s="33"/>
    </row>
    <row r="223" spans="1:13" x14ac:dyDescent="0.35">
      <c r="A223" s="33" t="s">
        <v>327</v>
      </c>
      <c r="B223" s="33" t="s">
        <v>17</v>
      </c>
      <c r="C223" s="33" t="s">
        <v>43</v>
      </c>
      <c r="D223" s="33" t="s">
        <v>44</v>
      </c>
      <c r="E223" s="33" t="s">
        <v>857</v>
      </c>
      <c r="F223" s="53">
        <v>45812</v>
      </c>
      <c r="G223" s="33">
        <v>125</v>
      </c>
      <c r="H223" s="53">
        <v>45994</v>
      </c>
      <c r="I223" s="33" t="s">
        <v>21</v>
      </c>
      <c r="J223" s="33" t="s">
        <v>345</v>
      </c>
      <c r="K223" s="33" t="s">
        <v>338</v>
      </c>
      <c r="L223" s="33" t="s">
        <v>330</v>
      </c>
      <c r="M223" s="33"/>
    </row>
    <row r="224" spans="1:13" x14ac:dyDescent="0.35">
      <c r="A224" s="33" t="s">
        <v>327</v>
      </c>
      <c r="B224" s="33" t="s">
        <v>17</v>
      </c>
      <c r="C224" s="33" t="s">
        <v>43</v>
      </c>
      <c r="D224" s="33" t="s">
        <v>44</v>
      </c>
      <c r="E224" s="33" t="s">
        <v>858</v>
      </c>
      <c r="F224" s="53">
        <v>45812</v>
      </c>
      <c r="G224" s="33">
        <v>125</v>
      </c>
      <c r="H224" s="53">
        <v>45994</v>
      </c>
      <c r="I224" s="33" t="s">
        <v>21</v>
      </c>
      <c r="J224" s="33" t="s">
        <v>345</v>
      </c>
      <c r="K224" s="33" t="s">
        <v>338</v>
      </c>
      <c r="L224" s="33" t="s">
        <v>330</v>
      </c>
      <c r="M224" s="33"/>
    </row>
    <row r="225" spans="1:13" x14ac:dyDescent="0.35">
      <c r="A225" s="33" t="s">
        <v>327</v>
      </c>
      <c r="B225" s="33" t="s">
        <v>17</v>
      </c>
      <c r="C225" s="33" t="s">
        <v>43</v>
      </c>
      <c r="D225" s="33" t="s">
        <v>44</v>
      </c>
      <c r="E225" s="33" t="s">
        <v>859</v>
      </c>
      <c r="F225" s="53">
        <v>45812</v>
      </c>
      <c r="G225" s="33">
        <v>125</v>
      </c>
      <c r="H225" s="53">
        <v>45994</v>
      </c>
      <c r="I225" s="33" t="s">
        <v>21</v>
      </c>
      <c r="J225" s="33" t="s">
        <v>345</v>
      </c>
      <c r="K225" s="33" t="s">
        <v>338</v>
      </c>
      <c r="L225" s="33" t="s">
        <v>330</v>
      </c>
      <c r="M225" s="33"/>
    </row>
    <row r="226" spans="1:13" x14ac:dyDescent="0.35">
      <c r="A226" s="33" t="s">
        <v>327</v>
      </c>
      <c r="B226" s="33" t="s">
        <v>17</v>
      </c>
      <c r="C226" s="33" t="s">
        <v>43</v>
      </c>
      <c r="D226" s="33" t="s">
        <v>44</v>
      </c>
      <c r="E226" s="33" t="s">
        <v>860</v>
      </c>
      <c r="F226" s="53">
        <v>45812</v>
      </c>
      <c r="G226" s="33">
        <v>125</v>
      </c>
      <c r="H226" s="53">
        <v>45994</v>
      </c>
      <c r="I226" s="33" t="s">
        <v>21</v>
      </c>
      <c r="J226" s="33" t="s">
        <v>345</v>
      </c>
      <c r="K226" s="33" t="s">
        <v>338</v>
      </c>
      <c r="L226" s="33" t="s">
        <v>330</v>
      </c>
      <c r="M226" s="33"/>
    </row>
    <row r="227" spans="1:13" x14ac:dyDescent="0.35">
      <c r="A227" s="33" t="s">
        <v>327</v>
      </c>
      <c r="B227" s="33" t="s">
        <v>17</v>
      </c>
      <c r="C227" s="33" t="s">
        <v>43</v>
      </c>
      <c r="D227" s="33" t="s">
        <v>44</v>
      </c>
      <c r="E227" s="33" t="s">
        <v>861</v>
      </c>
      <c r="F227" s="53">
        <v>45812</v>
      </c>
      <c r="G227" s="33">
        <v>125</v>
      </c>
      <c r="H227" s="53">
        <v>45994</v>
      </c>
      <c r="I227" s="33" t="s">
        <v>21</v>
      </c>
      <c r="J227" s="33" t="s">
        <v>345</v>
      </c>
      <c r="K227" s="33" t="s">
        <v>338</v>
      </c>
      <c r="L227" s="33" t="s">
        <v>330</v>
      </c>
      <c r="M227" s="33"/>
    </row>
    <row r="228" spans="1:13" x14ac:dyDescent="0.35">
      <c r="A228" s="33" t="s">
        <v>327</v>
      </c>
      <c r="B228" s="33" t="s">
        <v>17</v>
      </c>
      <c r="C228" s="33" t="s">
        <v>43</v>
      </c>
      <c r="D228" s="33" t="s">
        <v>44</v>
      </c>
      <c r="E228" s="33" t="s">
        <v>863</v>
      </c>
      <c r="F228" s="53">
        <v>45812</v>
      </c>
      <c r="G228" s="33">
        <v>125</v>
      </c>
      <c r="H228" s="53">
        <v>45994</v>
      </c>
      <c r="I228" s="33" t="s">
        <v>21</v>
      </c>
      <c r="J228" s="33" t="s">
        <v>345</v>
      </c>
      <c r="K228" s="33" t="s">
        <v>338</v>
      </c>
      <c r="L228" s="33" t="s">
        <v>330</v>
      </c>
      <c r="M228" s="33"/>
    </row>
    <row r="229" spans="1:13" x14ac:dyDescent="0.35">
      <c r="A229" s="33" t="s">
        <v>327</v>
      </c>
      <c r="B229" s="33" t="s">
        <v>17</v>
      </c>
      <c r="C229" s="33" t="s">
        <v>43</v>
      </c>
      <c r="D229" s="33" t="s">
        <v>44</v>
      </c>
      <c r="E229" s="33" t="s">
        <v>862</v>
      </c>
      <c r="F229" s="53">
        <v>45812</v>
      </c>
      <c r="G229" s="33">
        <v>125</v>
      </c>
      <c r="H229" s="53">
        <v>45994</v>
      </c>
      <c r="I229" s="33" t="s">
        <v>21</v>
      </c>
      <c r="J229" s="33" t="s">
        <v>345</v>
      </c>
      <c r="K229" s="33" t="s">
        <v>338</v>
      </c>
      <c r="L229" s="33" t="s">
        <v>330</v>
      </c>
      <c r="M229" s="33"/>
    </row>
    <row r="230" spans="1:13" x14ac:dyDescent="0.35">
      <c r="A230" s="33" t="s">
        <v>327</v>
      </c>
      <c r="B230" s="33" t="s">
        <v>17</v>
      </c>
      <c r="C230" s="33" t="s">
        <v>38</v>
      </c>
      <c r="D230" s="33" t="s">
        <v>39</v>
      </c>
      <c r="E230" s="33" t="s">
        <v>865</v>
      </c>
      <c r="F230" s="53">
        <v>45812</v>
      </c>
      <c r="G230" s="33">
        <v>125</v>
      </c>
      <c r="H230" s="53">
        <v>45994</v>
      </c>
      <c r="I230" s="33" t="s">
        <v>21</v>
      </c>
      <c r="J230" s="33" t="s">
        <v>341</v>
      </c>
      <c r="K230" s="33" t="s">
        <v>329</v>
      </c>
      <c r="L230" s="33" t="s">
        <v>330</v>
      </c>
      <c r="M230" s="33"/>
    </row>
    <row r="231" spans="1:13" x14ac:dyDescent="0.35">
      <c r="A231" s="33" t="s">
        <v>327</v>
      </c>
      <c r="B231" s="33" t="s">
        <v>17</v>
      </c>
      <c r="C231" s="33" t="s">
        <v>866</v>
      </c>
      <c r="D231" s="33" t="s">
        <v>867</v>
      </c>
      <c r="E231" s="33" t="s">
        <v>869</v>
      </c>
      <c r="F231" s="53">
        <v>45812</v>
      </c>
      <c r="G231" s="33">
        <v>125</v>
      </c>
      <c r="H231" s="53">
        <v>45994</v>
      </c>
      <c r="I231" s="33" t="s">
        <v>21</v>
      </c>
      <c r="J231" s="33" t="s">
        <v>332</v>
      </c>
      <c r="K231" s="33" t="s">
        <v>329</v>
      </c>
      <c r="L231" s="33" t="s">
        <v>330</v>
      </c>
      <c r="M231" s="33"/>
    </row>
    <row r="232" spans="1:13" x14ac:dyDescent="0.35">
      <c r="A232" s="33" t="s">
        <v>327</v>
      </c>
      <c r="B232" s="33" t="s">
        <v>17</v>
      </c>
      <c r="C232" s="33" t="s">
        <v>866</v>
      </c>
      <c r="D232" s="33" t="s">
        <v>867</v>
      </c>
      <c r="E232" s="33" t="s">
        <v>868</v>
      </c>
      <c r="F232" s="53">
        <v>45812</v>
      </c>
      <c r="G232" s="33">
        <v>125</v>
      </c>
      <c r="H232" s="53">
        <v>45994</v>
      </c>
      <c r="I232" s="33" t="s">
        <v>21</v>
      </c>
      <c r="J232" s="33" t="s">
        <v>332</v>
      </c>
      <c r="K232" s="33" t="s">
        <v>329</v>
      </c>
      <c r="L232" s="33" t="s">
        <v>330</v>
      </c>
      <c r="M232" s="33"/>
    </row>
    <row r="233" spans="1:13" x14ac:dyDescent="0.35">
      <c r="A233" s="33" t="s">
        <v>327</v>
      </c>
      <c r="B233" s="33" t="s">
        <v>17</v>
      </c>
      <c r="C233" s="33" t="s">
        <v>43</v>
      </c>
      <c r="D233" s="33" t="s">
        <v>44</v>
      </c>
      <c r="E233" s="33" t="s">
        <v>864</v>
      </c>
      <c r="F233" s="53">
        <v>45812</v>
      </c>
      <c r="G233" s="33">
        <v>125</v>
      </c>
      <c r="H233" s="53">
        <v>45994</v>
      </c>
      <c r="I233" s="33" t="s">
        <v>21</v>
      </c>
      <c r="J233" s="33" t="s">
        <v>345</v>
      </c>
      <c r="K233" s="33" t="s">
        <v>338</v>
      </c>
      <c r="L233" s="33" t="s">
        <v>330</v>
      </c>
      <c r="M233" s="33"/>
    </row>
    <row r="234" spans="1:13" x14ac:dyDescent="0.35">
      <c r="A234" s="33" t="s">
        <v>327</v>
      </c>
      <c r="B234" s="33" t="s">
        <v>17</v>
      </c>
      <c r="C234" s="33" t="s">
        <v>873</v>
      </c>
      <c r="D234" s="33" t="s">
        <v>874</v>
      </c>
      <c r="E234" s="33" t="s">
        <v>875</v>
      </c>
      <c r="F234" s="53">
        <v>45813</v>
      </c>
      <c r="G234" s="33">
        <v>125</v>
      </c>
      <c r="H234" s="53">
        <v>45995</v>
      </c>
      <c r="I234" s="33" t="s">
        <v>21</v>
      </c>
      <c r="J234" s="33" t="s">
        <v>331</v>
      </c>
      <c r="K234" s="33" t="s">
        <v>329</v>
      </c>
      <c r="L234" s="33" t="s">
        <v>330</v>
      </c>
      <c r="M234" s="33"/>
    </row>
    <row r="235" spans="1:13" x14ac:dyDescent="0.35">
      <c r="A235" s="33" t="s">
        <v>327</v>
      </c>
      <c r="B235" s="33" t="s">
        <v>17</v>
      </c>
      <c r="C235" s="33" t="s">
        <v>38</v>
      </c>
      <c r="D235" s="33" t="s">
        <v>39</v>
      </c>
      <c r="E235" s="33" t="s">
        <v>876</v>
      </c>
      <c r="F235" s="53">
        <v>45813</v>
      </c>
      <c r="G235" s="33">
        <v>125</v>
      </c>
      <c r="H235" s="53">
        <v>45995</v>
      </c>
      <c r="I235" s="33" t="s">
        <v>21</v>
      </c>
      <c r="J235" s="33" t="s">
        <v>341</v>
      </c>
      <c r="K235" s="33" t="s">
        <v>329</v>
      </c>
      <c r="L235" s="33" t="s">
        <v>330</v>
      </c>
      <c r="M235" s="33"/>
    </row>
    <row r="236" spans="1:13" x14ac:dyDescent="0.35">
      <c r="A236" s="33" t="s">
        <v>327</v>
      </c>
      <c r="B236" s="33" t="s">
        <v>17</v>
      </c>
      <c r="C236" s="33" t="s">
        <v>38</v>
      </c>
      <c r="D236" s="33" t="s">
        <v>39</v>
      </c>
      <c r="E236" s="33" t="s">
        <v>877</v>
      </c>
      <c r="F236" s="53">
        <v>45813</v>
      </c>
      <c r="G236" s="33">
        <v>125</v>
      </c>
      <c r="H236" s="53">
        <v>45995</v>
      </c>
      <c r="I236" s="33" t="s">
        <v>21</v>
      </c>
      <c r="J236" s="33" t="s">
        <v>341</v>
      </c>
      <c r="K236" s="33" t="s">
        <v>329</v>
      </c>
      <c r="L236" s="33" t="s">
        <v>330</v>
      </c>
      <c r="M236" s="33"/>
    </row>
    <row r="237" spans="1:13" x14ac:dyDescent="0.35">
      <c r="A237" s="33" t="s">
        <v>327</v>
      </c>
      <c r="B237" s="33" t="s">
        <v>17</v>
      </c>
      <c r="C237" s="33" t="s">
        <v>870</v>
      </c>
      <c r="D237" s="33" t="s">
        <v>871</v>
      </c>
      <c r="E237" s="33" t="s">
        <v>872</v>
      </c>
      <c r="F237" s="53">
        <v>45813</v>
      </c>
      <c r="G237" s="33">
        <v>125</v>
      </c>
      <c r="H237" s="53">
        <v>45995</v>
      </c>
      <c r="I237" s="33" t="s">
        <v>21</v>
      </c>
      <c r="J237" s="33" t="s">
        <v>341</v>
      </c>
      <c r="K237" s="33" t="s">
        <v>329</v>
      </c>
      <c r="L237" s="33" t="s">
        <v>330</v>
      </c>
      <c r="M237" s="33"/>
    </row>
    <row r="238" spans="1:13" x14ac:dyDescent="0.35">
      <c r="A238" s="33" t="s">
        <v>327</v>
      </c>
      <c r="B238" s="33" t="s">
        <v>17</v>
      </c>
      <c r="C238" s="33" t="s">
        <v>878</v>
      </c>
      <c r="D238" s="33" t="s">
        <v>879</v>
      </c>
      <c r="E238" s="33" t="s">
        <v>880</v>
      </c>
      <c r="F238" s="53">
        <v>45813</v>
      </c>
      <c r="G238" s="33">
        <v>125</v>
      </c>
      <c r="H238" s="53">
        <v>45995</v>
      </c>
      <c r="I238" s="33" t="s">
        <v>21</v>
      </c>
      <c r="J238" s="33" t="s">
        <v>339</v>
      </c>
      <c r="K238" s="33" t="s">
        <v>338</v>
      </c>
      <c r="L238" s="33" t="s">
        <v>330</v>
      </c>
      <c r="M238" s="33"/>
    </row>
    <row r="239" spans="1:13" x14ac:dyDescent="0.35">
      <c r="A239" s="33" t="s">
        <v>327</v>
      </c>
      <c r="B239" s="33" t="s">
        <v>17</v>
      </c>
      <c r="C239" s="33" t="s">
        <v>883</v>
      </c>
      <c r="D239" s="33" t="s">
        <v>884</v>
      </c>
      <c r="E239" s="33" t="s">
        <v>885</v>
      </c>
      <c r="F239" s="53">
        <v>45814</v>
      </c>
      <c r="G239" s="33">
        <v>125</v>
      </c>
      <c r="H239" s="53">
        <v>45996</v>
      </c>
      <c r="I239" s="33" t="s">
        <v>21</v>
      </c>
      <c r="J239" s="33" t="s">
        <v>331</v>
      </c>
      <c r="K239" s="33" t="s">
        <v>329</v>
      </c>
      <c r="L239" s="33" t="s">
        <v>330</v>
      </c>
      <c r="M239" s="33"/>
    </row>
    <row r="240" spans="1:13" x14ac:dyDescent="0.35">
      <c r="A240" s="33" t="s">
        <v>327</v>
      </c>
      <c r="B240" s="33" t="s">
        <v>17</v>
      </c>
      <c r="C240" s="33" t="s">
        <v>38</v>
      </c>
      <c r="D240" s="33" t="s">
        <v>39</v>
      </c>
      <c r="E240" s="33" t="s">
        <v>881</v>
      </c>
      <c r="F240" s="53">
        <v>45814</v>
      </c>
      <c r="G240" s="33">
        <v>125</v>
      </c>
      <c r="H240" s="53">
        <v>45996</v>
      </c>
      <c r="I240" s="33" t="s">
        <v>21</v>
      </c>
      <c r="J240" s="33" t="s">
        <v>341</v>
      </c>
      <c r="K240" s="33" t="s">
        <v>329</v>
      </c>
      <c r="L240" s="33" t="s">
        <v>330</v>
      </c>
      <c r="M240" s="33"/>
    </row>
    <row r="241" spans="1:13" x14ac:dyDescent="0.35">
      <c r="A241" s="33" t="s">
        <v>327</v>
      </c>
      <c r="B241" s="33" t="s">
        <v>17</v>
      </c>
      <c r="C241" s="33" t="s">
        <v>38</v>
      </c>
      <c r="D241" s="33" t="s">
        <v>39</v>
      </c>
      <c r="E241" s="33" t="s">
        <v>882</v>
      </c>
      <c r="F241" s="53">
        <v>45814</v>
      </c>
      <c r="G241" s="33">
        <v>125</v>
      </c>
      <c r="H241" s="53">
        <v>45996</v>
      </c>
      <c r="I241" s="33" t="s">
        <v>21</v>
      </c>
      <c r="J241" s="33" t="s">
        <v>341</v>
      </c>
      <c r="K241" s="33" t="s">
        <v>329</v>
      </c>
      <c r="L241" s="33" t="s">
        <v>330</v>
      </c>
      <c r="M241" s="33"/>
    </row>
    <row r="242" spans="1:13" x14ac:dyDescent="0.35">
      <c r="A242" s="33" t="s">
        <v>327</v>
      </c>
      <c r="B242" s="33" t="s">
        <v>17</v>
      </c>
      <c r="C242" s="33" t="s">
        <v>886</v>
      </c>
      <c r="D242" s="33" t="s">
        <v>887</v>
      </c>
      <c r="E242" s="33" t="s">
        <v>888</v>
      </c>
      <c r="F242" s="53">
        <v>45814</v>
      </c>
      <c r="G242" s="33">
        <v>125</v>
      </c>
      <c r="H242" s="53">
        <v>45996</v>
      </c>
      <c r="I242" s="33" t="s">
        <v>21</v>
      </c>
      <c r="J242" s="33" t="s">
        <v>343</v>
      </c>
      <c r="K242" s="33" t="s">
        <v>338</v>
      </c>
      <c r="L242" s="33" t="s">
        <v>330</v>
      </c>
      <c r="M242" s="33"/>
    </row>
    <row r="243" spans="1:13" x14ac:dyDescent="0.35">
      <c r="A243" s="33" t="s">
        <v>327</v>
      </c>
      <c r="B243" s="33" t="s">
        <v>77</v>
      </c>
      <c r="C243" s="33" t="s">
        <v>1342</v>
      </c>
      <c r="D243" s="33" t="s">
        <v>899</v>
      </c>
      <c r="E243" s="33" t="s">
        <v>900</v>
      </c>
      <c r="F243" s="53">
        <v>45817</v>
      </c>
      <c r="G243" s="33">
        <v>125</v>
      </c>
      <c r="H243" s="53">
        <v>46001</v>
      </c>
      <c r="I243" s="33" t="s">
        <v>21</v>
      </c>
      <c r="J243" s="33" t="s">
        <v>328</v>
      </c>
      <c r="K243" s="33" t="s">
        <v>329</v>
      </c>
      <c r="L243" s="33" t="s">
        <v>330</v>
      </c>
      <c r="M243" s="33"/>
    </row>
    <row r="244" spans="1:13" x14ac:dyDescent="0.35">
      <c r="A244" s="33" t="s">
        <v>327</v>
      </c>
      <c r="B244" s="33" t="s">
        <v>17</v>
      </c>
      <c r="C244" s="33" t="s">
        <v>901</v>
      </c>
      <c r="D244" s="33" t="s">
        <v>902</v>
      </c>
      <c r="E244" s="33" t="s">
        <v>903</v>
      </c>
      <c r="F244" s="53">
        <v>45817</v>
      </c>
      <c r="G244" s="33">
        <v>125</v>
      </c>
      <c r="H244" s="53">
        <v>46001</v>
      </c>
      <c r="I244" s="33" t="s">
        <v>21</v>
      </c>
      <c r="J244" s="33" t="s">
        <v>332</v>
      </c>
      <c r="K244" s="33" t="s">
        <v>329</v>
      </c>
      <c r="L244" s="33" t="s">
        <v>330</v>
      </c>
      <c r="M244" s="33"/>
    </row>
    <row r="245" spans="1:13" x14ac:dyDescent="0.35">
      <c r="A245" s="33" t="s">
        <v>327</v>
      </c>
      <c r="B245" s="33" t="s">
        <v>17</v>
      </c>
      <c r="C245" s="33" t="s">
        <v>892</v>
      </c>
      <c r="D245" s="33" t="s">
        <v>893</v>
      </c>
      <c r="E245" s="33" t="s">
        <v>894</v>
      </c>
      <c r="F245" s="53">
        <v>45817</v>
      </c>
      <c r="G245" s="33">
        <v>125</v>
      </c>
      <c r="H245" s="53">
        <v>46001</v>
      </c>
      <c r="I245" s="33" t="s">
        <v>21</v>
      </c>
      <c r="J245" s="33" t="s">
        <v>336</v>
      </c>
      <c r="K245" s="33" t="s">
        <v>338</v>
      </c>
      <c r="L245" s="33" t="s">
        <v>330</v>
      </c>
      <c r="M245" s="33"/>
    </row>
    <row r="246" spans="1:13" x14ac:dyDescent="0.35">
      <c r="A246" s="33" t="s">
        <v>327</v>
      </c>
      <c r="B246" s="33" t="s">
        <v>17</v>
      </c>
      <c r="C246" s="33" t="s">
        <v>840</v>
      </c>
      <c r="D246" s="33" t="s">
        <v>841</v>
      </c>
      <c r="E246" s="33" t="s">
        <v>895</v>
      </c>
      <c r="F246" s="53">
        <v>45817</v>
      </c>
      <c r="G246" s="33">
        <v>125</v>
      </c>
      <c r="H246" s="53">
        <v>46001</v>
      </c>
      <c r="I246" s="33" t="s">
        <v>21</v>
      </c>
      <c r="J246" s="33" t="s">
        <v>338</v>
      </c>
      <c r="K246" s="33" t="s">
        <v>338</v>
      </c>
      <c r="L246" s="33" t="s">
        <v>330</v>
      </c>
      <c r="M246" s="33"/>
    </row>
    <row r="247" spans="1:13" x14ac:dyDescent="0.35">
      <c r="A247" s="33" t="s">
        <v>327</v>
      </c>
      <c r="B247" s="33" t="s">
        <v>17</v>
      </c>
      <c r="C247" s="33" t="s">
        <v>896</v>
      </c>
      <c r="D247" s="33" t="s">
        <v>897</v>
      </c>
      <c r="E247" s="33" t="s">
        <v>898</v>
      </c>
      <c r="F247" s="53">
        <v>45817</v>
      </c>
      <c r="G247" s="33">
        <v>125</v>
      </c>
      <c r="H247" s="53">
        <v>46001</v>
      </c>
      <c r="I247" s="33" t="s">
        <v>21</v>
      </c>
      <c r="J247" s="33" t="s">
        <v>338</v>
      </c>
      <c r="K247" s="33" t="s">
        <v>338</v>
      </c>
      <c r="L247" s="33" t="s">
        <v>330</v>
      </c>
      <c r="M247" s="33"/>
    </row>
    <row r="248" spans="1:13" x14ac:dyDescent="0.35">
      <c r="A248" s="33" t="s">
        <v>327</v>
      </c>
      <c r="B248" s="33" t="s">
        <v>17</v>
      </c>
      <c r="C248" s="33" t="s">
        <v>889</v>
      </c>
      <c r="D248" s="33" t="s">
        <v>890</v>
      </c>
      <c r="E248" s="33" t="s">
        <v>891</v>
      </c>
      <c r="F248" s="53">
        <v>45817</v>
      </c>
      <c r="G248" s="33">
        <v>125</v>
      </c>
      <c r="H248" s="53">
        <v>46001</v>
      </c>
      <c r="I248" s="33" t="s">
        <v>21</v>
      </c>
      <c r="J248" s="33" t="s">
        <v>341</v>
      </c>
      <c r="K248" s="33" t="s">
        <v>329</v>
      </c>
      <c r="L248" s="33" t="s">
        <v>330</v>
      </c>
      <c r="M248" s="33"/>
    </row>
    <row r="249" spans="1:13" x14ac:dyDescent="0.35">
      <c r="A249" s="33" t="s">
        <v>327</v>
      </c>
      <c r="B249" s="33" t="s">
        <v>42</v>
      </c>
      <c r="C249" s="33" t="s">
        <v>904</v>
      </c>
      <c r="D249" s="33" t="s">
        <v>905</v>
      </c>
      <c r="E249" s="33" t="s">
        <v>906</v>
      </c>
      <c r="F249" s="53">
        <v>45818</v>
      </c>
      <c r="G249" s="33">
        <v>125</v>
      </c>
      <c r="H249" s="53">
        <v>46002</v>
      </c>
      <c r="I249" s="33" t="s">
        <v>21</v>
      </c>
      <c r="J249" s="33" t="s">
        <v>336</v>
      </c>
      <c r="K249" s="33" t="s">
        <v>338</v>
      </c>
      <c r="L249" s="33" t="s">
        <v>330</v>
      </c>
      <c r="M249" s="33" t="s">
        <v>1343</v>
      </c>
    </row>
    <row r="250" spans="1:13" x14ac:dyDescent="0.35">
      <c r="A250" s="33" t="s">
        <v>327</v>
      </c>
      <c r="B250" s="33" t="s">
        <v>17</v>
      </c>
      <c r="C250" s="33" t="s">
        <v>873</v>
      </c>
      <c r="D250" s="33" t="s">
        <v>874</v>
      </c>
      <c r="E250" s="33" t="s">
        <v>907</v>
      </c>
      <c r="F250" s="53">
        <v>45818</v>
      </c>
      <c r="G250" s="33">
        <v>125</v>
      </c>
      <c r="H250" s="53">
        <v>46002</v>
      </c>
      <c r="I250" s="33" t="s">
        <v>21</v>
      </c>
      <c r="J250" s="33" t="s">
        <v>331</v>
      </c>
      <c r="K250" s="33" t="s">
        <v>329</v>
      </c>
      <c r="L250" s="33" t="s">
        <v>330</v>
      </c>
      <c r="M250" s="33"/>
    </row>
    <row r="251" spans="1:13" x14ac:dyDescent="0.35">
      <c r="A251" s="33" t="s">
        <v>327</v>
      </c>
      <c r="B251" s="33" t="s">
        <v>17</v>
      </c>
      <c r="C251" s="33" t="s">
        <v>1009</v>
      </c>
      <c r="D251" s="33" t="s">
        <v>1010</v>
      </c>
      <c r="E251" s="33" t="s">
        <v>1011</v>
      </c>
      <c r="F251" s="53">
        <v>45818</v>
      </c>
      <c r="G251" s="33">
        <v>125</v>
      </c>
      <c r="H251" s="53">
        <v>46002</v>
      </c>
      <c r="I251" s="33" t="s">
        <v>21</v>
      </c>
      <c r="J251" s="33" t="s">
        <v>343</v>
      </c>
      <c r="K251" s="33" t="s">
        <v>338</v>
      </c>
      <c r="L251" s="33" t="s">
        <v>330</v>
      </c>
      <c r="M251" s="33"/>
    </row>
    <row r="252" spans="1:13" x14ac:dyDescent="0.35">
      <c r="A252" s="33" t="s">
        <v>327</v>
      </c>
      <c r="B252" s="33" t="s">
        <v>17</v>
      </c>
      <c r="C252" s="33" t="s">
        <v>1006</v>
      </c>
      <c r="D252" s="33" t="s">
        <v>1007</v>
      </c>
      <c r="E252" s="33" t="s">
        <v>1008</v>
      </c>
      <c r="F252" s="53">
        <v>45818</v>
      </c>
      <c r="G252" s="33">
        <v>125</v>
      </c>
      <c r="H252" s="53">
        <v>46002</v>
      </c>
      <c r="I252" s="33" t="s">
        <v>21</v>
      </c>
      <c r="J252" s="33" t="s">
        <v>340</v>
      </c>
      <c r="K252" s="33" t="s">
        <v>329</v>
      </c>
      <c r="L252" s="33" t="s">
        <v>330</v>
      </c>
      <c r="M252" s="33"/>
    </row>
    <row r="253" spans="1:13" x14ac:dyDescent="0.35">
      <c r="A253" s="33" t="s">
        <v>327</v>
      </c>
      <c r="B253" s="33" t="s">
        <v>17</v>
      </c>
      <c r="C253" s="33" t="s">
        <v>837</v>
      </c>
      <c r="D253" s="33" t="s">
        <v>838</v>
      </c>
      <c r="E253" s="33" t="s">
        <v>911</v>
      </c>
      <c r="F253" s="53">
        <v>45818</v>
      </c>
      <c r="G253" s="33">
        <v>125</v>
      </c>
      <c r="H253" s="53">
        <v>46002</v>
      </c>
      <c r="I253" s="33" t="s">
        <v>21</v>
      </c>
      <c r="J253" s="33" t="s">
        <v>332</v>
      </c>
      <c r="K253" s="33" t="s">
        <v>329</v>
      </c>
      <c r="L253" s="33" t="s">
        <v>330</v>
      </c>
      <c r="M253" s="33"/>
    </row>
    <row r="254" spans="1:13" x14ac:dyDescent="0.35">
      <c r="A254" s="33" t="s">
        <v>327</v>
      </c>
      <c r="B254" s="33" t="s">
        <v>17</v>
      </c>
      <c r="C254" s="33" t="s">
        <v>837</v>
      </c>
      <c r="D254" s="33" t="s">
        <v>838</v>
      </c>
      <c r="E254" s="33" t="s">
        <v>912</v>
      </c>
      <c r="F254" s="53">
        <v>45818</v>
      </c>
      <c r="G254" s="33">
        <v>125</v>
      </c>
      <c r="H254" s="53">
        <v>46002</v>
      </c>
      <c r="I254" s="33" t="s">
        <v>21</v>
      </c>
      <c r="J254" s="33" t="s">
        <v>332</v>
      </c>
      <c r="K254" s="33" t="s">
        <v>329</v>
      </c>
      <c r="L254" s="33" t="s">
        <v>330</v>
      </c>
      <c r="M254" s="33"/>
    </row>
    <row r="255" spans="1:13" x14ac:dyDescent="0.35">
      <c r="A255" s="33" t="s">
        <v>327</v>
      </c>
      <c r="B255" s="33" t="s">
        <v>17</v>
      </c>
      <c r="C255" s="33" t="s">
        <v>925</v>
      </c>
      <c r="D255" s="33" t="s">
        <v>926</v>
      </c>
      <c r="E255" s="33" t="s">
        <v>927</v>
      </c>
      <c r="F255" s="53">
        <v>45819</v>
      </c>
      <c r="G255" s="33">
        <v>125</v>
      </c>
      <c r="H255" s="53">
        <v>46003</v>
      </c>
      <c r="I255" s="33" t="s">
        <v>21</v>
      </c>
      <c r="J255" s="33" t="s">
        <v>331</v>
      </c>
      <c r="K255" s="33" t="s">
        <v>329</v>
      </c>
      <c r="L255" s="33" t="s">
        <v>330</v>
      </c>
      <c r="M255" s="33"/>
    </row>
    <row r="256" spans="1:13" x14ac:dyDescent="0.35">
      <c r="A256" s="33" t="s">
        <v>327</v>
      </c>
      <c r="B256" s="33" t="s">
        <v>17</v>
      </c>
      <c r="C256" s="33" t="s">
        <v>916</v>
      </c>
      <c r="D256" s="33" t="s">
        <v>917</v>
      </c>
      <c r="E256" s="33" t="s">
        <v>918</v>
      </c>
      <c r="F256" s="53">
        <v>45819</v>
      </c>
      <c r="G256" s="33">
        <v>125</v>
      </c>
      <c r="H256" s="53">
        <v>46003</v>
      </c>
      <c r="I256" s="33" t="s">
        <v>21</v>
      </c>
      <c r="J256" s="33" t="s">
        <v>336</v>
      </c>
      <c r="K256" s="33" t="s">
        <v>338</v>
      </c>
      <c r="L256" s="33" t="s">
        <v>330</v>
      </c>
      <c r="M256" s="33"/>
    </row>
    <row r="257" spans="1:13" x14ac:dyDescent="0.35">
      <c r="A257" s="33" t="s">
        <v>327</v>
      </c>
      <c r="B257" s="33" t="s">
        <v>17</v>
      </c>
      <c r="C257" s="33" t="s">
        <v>146</v>
      </c>
      <c r="D257" s="33" t="s">
        <v>147</v>
      </c>
      <c r="E257" s="33" t="s">
        <v>919</v>
      </c>
      <c r="F257" s="53">
        <v>45819</v>
      </c>
      <c r="G257" s="33">
        <v>125</v>
      </c>
      <c r="H257" s="53">
        <v>46003</v>
      </c>
      <c r="I257" s="33" t="s">
        <v>21</v>
      </c>
      <c r="J257" s="33" t="s">
        <v>336</v>
      </c>
      <c r="K257" s="33" t="s">
        <v>338</v>
      </c>
      <c r="L257" s="33" t="s">
        <v>330</v>
      </c>
      <c r="M257" s="33"/>
    </row>
    <row r="258" spans="1:13" x14ac:dyDescent="0.35">
      <c r="A258" s="33" t="s">
        <v>327</v>
      </c>
      <c r="B258" s="33" t="s">
        <v>17</v>
      </c>
      <c r="C258" s="33" t="s">
        <v>146</v>
      </c>
      <c r="D258" s="33" t="s">
        <v>147</v>
      </c>
      <c r="E258" s="33" t="s">
        <v>920</v>
      </c>
      <c r="F258" s="53">
        <v>45819</v>
      </c>
      <c r="G258" s="33">
        <v>125</v>
      </c>
      <c r="H258" s="53">
        <v>46003</v>
      </c>
      <c r="I258" s="33" t="s">
        <v>21</v>
      </c>
      <c r="J258" s="33" t="s">
        <v>336</v>
      </c>
      <c r="K258" s="33" t="s">
        <v>338</v>
      </c>
      <c r="L258" s="33" t="s">
        <v>330</v>
      </c>
      <c r="M258" s="33"/>
    </row>
    <row r="259" spans="1:13" x14ac:dyDescent="0.35">
      <c r="A259" s="33" t="s">
        <v>327</v>
      </c>
      <c r="B259" s="33" t="s">
        <v>17</v>
      </c>
      <c r="C259" s="33" t="s">
        <v>146</v>
      </c>
      <c r="D259" s="33" t="s">
        <v>147</v>
      </c>
      <c r="E259" s="33" t="s">
        <v>921</v>
      </c>
      <c r="F259" s="53">
        <v>45819</v>
      </c>
      <c r="G259" s="33">
        <v>125</v>
      </c>
      <c r="H259" s="53">
        <v>46003</v>
      </c>
      <c r="I259" s="33" t="s">
        <v>21</v>
      </c>
      <c r="J259" s="33" t="s">
        <v>336</v>
      </c>
      <c r="K259" s="33" t="s">
        <v>338</v>
      </c>
      <c r="L259" s="33" t="s">
        <v>330</v>
      </c>
      <c r="M259" s="33"/>
    </row>
    <row r="260" spans="1:13" x14ac:dyDescent="0.35">
      <c r="A260" s="33" t="s">
        <v>327</v>
      </c>
      <c r="B260" s="33" t="s">
        <v>17</v>
      </c>
      <c r="C260" s="33" t="s">
        <v>146</v>
      </c>
      <c r="D260" s="33" t="s">
        <v>147</v>
      </c>
      <c r="E260" s="33" t="s">
        <v>922</v>
      </c>
      <c r="F260" s="53">
        <v>45819</v>
      </c>
      <c r="G260" s="33">
        <v>125</v>
      </c>
      <c r="H260" s="53">
        <v>46003</v>
      </c>
      <c r="I260" s="33" t="s">
        <v>21</v>
      </c>
      <c r="J260" s="33" t="s">
        <v>336</v>
      </c>
      <c r="K260" s="33" t="s">
        <v>338</v>
      </c>
      <c r="L260" s="33" t="s">
        <v>330</v>
      </c>
      <c r="M260" s="33"/>
    </row>
    <row r="261" spans="1:13" x14ac:dyDescent="0.35">
      <c r="A261" s="33" t="s">
        <v>327</v>
      </c>
      <c r="B261" s="33" t="s">
        <v>17</v>
      </c>
      <c r="C261" s="33" t="s">
        <v>146</v>
      </c>
      <c r="D261" s="33" t="s">
        <v>147</v>
      </c>
      <c r="E261" s="33" t="s">
        <v>923</v>
      </c>
      <c r="F261" s="53">
        <v>45819</v>
      </c>
      <c r="G261" s="33">
        <v>125</v>
      </c>
      <c r="H261" s="53">
        <v>46003</v>
      </c>
      <c r="I261" s="33" t="s">
        <v>21</v>
      </c>
      <c r="J261" s="33" t="s">
        <v>336</v>
      </c>
      <c r="K261" s="33" t="s">
        <v>338</v>
      </c>
      <c r="L261" s="33" t="s">
        <v>330</v>
      </c>
      <c r="M261" s="33"/>
    </row>
    <row r="262" spans="1:13" x14ac:dyDescent="0.35">
      <c r="A262" s="33" t="s">
        <v>327</v>
      </c>
      <c r="B262" s="33" t="s">
        <v>17</v>
      </c>
      <c r="C262" s="33" t="s">
        <v>146</v>
      </c>
      <c r="D262" s="33" t="s">
        <v>147</v>
      </c>
      <c r="E262" s="33" t="s">
        <v>924</v>
      </c>
      <c r="F262" s="53">
        <v>45819</v>
      </c>
      <c r="G262" s="33">
        <v>125</v>
      </c>
      <c r="H262" s="53">
        <v>46003</v>
      </c>
      <c r="I262" s="33" t="s">
        <v>21</v>
      </c>
      <c r="J262" s="33" t="s">
        <v>336</v>
      </c>
      <c r="K262" s="33" t="s">
        <v>338</v>
      </c>
      <c r="L262" s="33" t="s">
        <v>330</v>
      </c>
      <c r="M262" s="33"/>
    </row>
    <row r="263" spans="1:13" x14ac:dyDescent="0.35">
      <c r="A263" s="33" t="s">
        <v>327</v>
      </c>
      <c r="B263" s="33" t="s">
        <v>17</v>
      </c>
      <c r="C263" s="33" t="s">
        <v>913</v>
      </c>
      <c r="D263" s="33" t="s">
        <v>914</v>
      </c>
      <c r="E263" s="33" t="s">
        <v>915</v>
      </c>
      <c r="F263" s="53">
        <v>45819</v>
      </c>
      <c r="G263" s="33">
        <v>125</v>
      </c>
      <c r="H263" s="53">
        <v>46003</v>
      </c>
      <c r="I263" s="33" t="s">
        <v>21</v>
      </c>
      <c r="J263" s="33" t="s">
        <v>341</v>
      </c>
      <c r="K263" s="33" t="s">
        <v>329</v>
      </c>
      <c r="L263" s="33" t="s">
        <v>330</v>
      </c>
      <c r="M263" s="33"/>
    </row>
    <row r="264" spans="1:13" x14ac:dyDescent="0.35">
      <c r="A264" s="33" t="s">
        <v>327</v>
      </c>
      <c r="B264" s="33" t="s">
        <v>17</v>
      </c>
      <c r="C264" s="33" t="s">
        <v>931</v>
      </c>
      <c r="D264" s="33" t="s">
        <v>932</v>
      </c>
      <c r="E264" s="33" t="s">
        <v>933</v>
      </c>
      <c r="F264" s="53">
        <v>45819</v>
      </c>
      <c r="G264" s="33">
        <v>125</v>
      </c>
      <c r="H264" s="53">
        <v>46003</v>
      </c>
      <c r="I264" s="33" t="s">
        <v>21</v>
      </c>
      <c r="J264" s="33" t="s">
        <v>339</v>
      </c>
      <c r="K264" s="33" t="s">
        <v>338</v>
      </c>
      <c r="L264" s="33" t="s">
        <v>330</v>
      </c>
      <c r="M264" s="33"/>
    </row>
    <row r="265" spans="1:13" x14ac:dyDescent="0.35">
      <c r="A265" s="33" t="s">
        <v>327</v>
      </c>
      <c r="B265" s="33" t="s">
        <v>17</v>
      </c>
      <c r="C265" s="33" t="s">
        <v>931</v>
      </c>
      <c r="D265" s="33" t="s">
        <v>932</v>
      </c>
      <c r="E265" s="33" t="s">
        <v>934</v>
      </c>
      <c r="F265" s="53">
        <v>45819</v>
      </c>
      <c r="G265" s="33">
        <v>125</v>
      </c>
      <c r="H265" s="53">
        <v>46003</v>
      </c>
      <c r="I265" s="33" t="s">
        <v>21</v>
      </c>
      <c r="J265" s="33" t="s">
        <v>339</v>
      </c>
      <c r="K265" s="33" t="s">
        <v>338</v>
      </c>
      <c r="L265" s="33" t="s">
        <v>330</v>
      </c>
      <c r="M265" s="33"/>
    </row>
    <row r="266" spans="1:13" x14ac:dyDescent="0.35">
      <c r="A266" s="33" t="s">
        <v>327</v>
      </c>
      <c r="B266" s="33" t="s">
        <v>17</v>
      </c>
      <c r="C266" s="33" t="s">
        <v>931</v>
      </c>
      <c r="D266" s="33" t="s">
        <v>932</v>
      </c>
      <c r="E266" s="33" t="s">
        <v>935</v>
      </c>
      <c r="F266" s="53">
        <v>45819</v>
      </c>
      <c r="G266" s="33">
        <v>125</v>
      </c>
      <c r="H266" s="53">
        <v>46003</v>
      </c>
      <c r="I266" s="33" t="s">
        <v>21</v>
      </c>
      <c r="J266" s="33" t="s">
        <v>339</v>
      </c>
      <c r="K266" s="33" t="s">
        <v>338</v>
      </c>
      <c r="L266" s="33" t="s">
        <v>330</v>
      </c>
      <c r="M266" s="33"/>
    </row>
    <row r="267" spans="1:13" x14ac:dyDescent="0.35">
      <c r="A267" s="33" t="s">
        <v>327</v>
      </c>
      <c r="B267" s="33" t="s">
        <v>17</v>
      </c>
      <c r="C267" s="33" t="s">
        <v>931</v>
      </c>
      <c r="D267" s="33" t="s">
        <v>932</v>
      </c>
      <c r="E267" s="33" t="s">
        <v>936</v>
      </c>
      <c r="F267" s="53">
        <v>45819</v>
      </c>
      <c r="G267" s="33">
        <v>125</v>
      </c>
      <c r="H267" s="53">
        <v>46003</v>
      </c>
      <c r="I267" s="33" t="s">
        <v>21</v>
      </c>
      <c r="J267" s="33" t="s">
        <v>339</v>
      </c>
      <c r="K267" s="33" t="s">
        <v>338</v>
      </c>
      <c r="L267" s="33" t="s">
        <v>330</v>
      </c>
      <c r="M267" s="33"/>
    </row>
    <row r="268" spans="1:13" x14ac:dyDescent="0.35">
      <c r="A268" s="33" t="s">
        <v>327</v>
      </c>
      <c r="B268" s="33" t="s">
        <v>17</v>
      </c>
      <c r="C268" s="33" t="s">
        <v>931</v>
      </c>
      <c r="D268" s="33" t="s">
        <v>932</v>
      </c>
      <c r="E268" s="33" t="s">
        <v>937</v>
      </c>
      <c r="F268" s="53">
        <v>45819</v>
      </c>
      <c r="G268" s="33">
        <v>125</v>
      </c>
      <c r="H268" s="53">
        <v>46003</v>
      </c>
      <c r="I268" s="33" t="s">
        <v>21</v>
      </c>
      <c r="J268" s="33" t="s">
        <v>339</v>
      </c>
      <c r="K268" s="33" t="s">
        <v>338</v>
      </c>
      <c r="L268" s="33" t="s">
        <v>330</v>
      </c>
      <c r="M268" s="33"/>
    </row>
    <row r="269" spans="1:13" x14ac:dyDescent="0.35">
      <c r="A269" s="33" t="s">
        <v>327</v>
      </c>
      <c r="B269" s="33" t="s">
        <v>17</v>
      </c>
      <c r="C269" s="33" t="s">
        <v>948</v>
      </c>
      <c r="D269" s="33" t="s">
        <v>949</v>
      </c>
      <c r="E269" s="33" t="s">
        <v>950</v>
      </c>
      <c r="F269" s="53">
        <v>45820</v>
      </c>
      <c r="G269" s="33">
        <v>125</v>
      </c>
      <c r="H269" s="53">
        <v>46006</v>
      </c>
      <c r="I269" s="33" t="s">
        <v>21</v>
      </c>
      <c r="J269" s="33" t="s">
        <v>332</v>
      </c>
      <c r="K269" s="33" t="s">
        <v>329</v>
      </c>
      <c r="L269" s="33" t="s">
        <v>330</v>
      </c>
      <c r="M269" s="33"/>
    </row>
    <row r="270" spans="1:13" x14ac:dyDescent="0.35">
      <c r="A270" s="33" t="s">
        <v>327</v>
      </c>
      <c r="B270" s="33" t="s">
        <v>17</v>
      </c>
      <c r="C270" s="33" t="s">
        <v>146</v>
      </c>
      <c r="D270" s="33" t="s">
        <v>147</v>
      </c>
      <c r="E270" s="33" t="s">
        <v>938</v>
      </c>
      <c r="F270" s="53">
        <v>45820</v>
      </c>
      <c r="G270" s="33">
        <v>125</v>
      </c>
      <c r="H270" s="53">
        <v>46006</v>
      </c>
      <c r="I270" s="33" t="s">
        <v>21</v>
      </c>
      <c r="J270" s="33" t="s">
        <v>336</v>
      </c>
      <c r="K270" s="33" t="s">
        <v>338</v>
      </c>
      <c r="L270" s="33" t="s">
        <v>330</v>
      </c>
      <c r="M270" s="33"/>
    </row>
    <row r="271" spans="1:13" x14ac:dyDescent="0.35">
      <c r="A271" s="33" t="s">
        <v>327</v>
      </c>
      <c r="B271" s="33" t="s">
        <v>17</v>
      </c>
      <c r="C271" s="33" t="s">
        <v>146</v>
      </c>
      <c r="D271" s="33" t="s">
        <v>147</v>
      </c>
      <c r="E271" s="33" t="s">
        <v>939</v>
      </c>
      <c r="F271" s="53">
        <v>45820</v>
      </c>
      <c r="G271" s="33">
        <v>125</v>
      </c>
      <c r="H271" s="53">
        <v>46006</v>
      </c>
      <c r="I271" s="33" t="s">
        <v>21</v>
      </c>
      <c r="J271" s="33" t="s">
        <v>336</v>
      </c>
      <c r="K271" s="33" t="s">
        <v>338</v>
      </c>
      <c r="L271" s="33" t="s">
        <v>330</v>
      </c>
      <c r="M271" s="33"/>
    </row>
    <row r="272" spans="1:13" x14ac:dyDescent="0.35">
      <c r="A272" s="33" t="s">
        <v>327</v>
      </c>
      <c r="B272" s="33" t="s">
        <v>17</v>
      </c>
      <c r="C272" s="33" t="s">
        <v>146</v>
      </c>
      <c r="D272" s="33" t="s">
        <v>147</v>
      </c>
      <c r="E272" s="33" t="s">
        <v>940</v>
      </c>
      <c r="F272" s="53">
        <v>45820</v>
      </c>
      <c r="G272" s="33">
        <v>125</v>
      </c>
      <c r="H272" s="53">
        <v>46006</v>
      </c>
      <c r="I272" s="33" t="s">
        <v>21</v>
      </c>
      <c r="J272" s="33" t="s">
        <v>336</v>
      </c>
      <c r="K272" s="33" t="s">
        <v>338</v>
      </c>
      <c r="L272" s="33" t="s">
        <v>330</v>
      </c>
      <c r="M272" s="33"/>
    </row>
    <row r="273" spans="1:13" x14ac:dyDescent="0.35">
      <c r="A273" s="33" t="s">
        <v>327</v>
      </c>
      <c r="B273" s="33" t="s">
        <v>17</v>
      </c>
      <c r="C273" s="33" t="s">
        <v>146</v>
      </c>
      <c r="D273" s="33" t="s">
        <v>147</v>
      </c>
      <c r="E273" s="33" t="s">
        <v>941</v>
      </c>
      <c r="F273" s="53">
        <v>45820</v>
      </c>
      <c r="G273" s="33">
        <v>125</v>
      </c>
      <c r="H273" s="53">
        <v>46006</v>
      </c>
      <c r="I273" s="33" t="s">
        <v>21</v>
      </c>
      <c r="J273" s="33" t="s">
        <v>336</v>
      </c>
      <c r="K273" s="33" t="s">
        <v>338</v>
      </c>
      <c r="L273" s="33" t="s">
        <v>330</v>
      </c>
      <c r="M273" s="33"/>
    </row>
    <row r="274" spans="1:13" x14ac:dyDescent="0.35">
      <c r="A274" s="33" t="s">
        <v>327</v>
      </c>
      <c r="B274" s="33" t="s">
        <v>17</v>
      </c>
      <c r="C274" s="33" t="s">
        <v>146</v>
      </c>
      <c r="D274" s="33" t="s">
        <v>147</v>
      </c>
      <c r="E274" s="33" t="s">
        <v>942</v>
      </c>
      <c r="F274" s="53">
        <v>45820</v>
      </c>
      <c r="G274" s="33">
        <v>125</v>
      </c>
      <c r="H274" s="53">
        <v>46006</v>
      </c>
      <c r="I274" s="33" t="s">
        <v>21</v>
      </c>
      <c r="J274" s="33" t="s">
        <v>336</v>
      </c>
      <c r="K274" s="33" t="s">
        <v>338</v>
      </c>
      <c r="L274" s="33" t="s">
        <v>330</v>
      </c>
      <c r="M274" s="33"/>
    </row>
    <row r="275" spans="1:13" x14ac:dyDescent="0.35">
      <c r="A275" s="33" t="s">
        <v>327</v>
      </c>
      <c r="B275" s="33" t="s">
        <v>17</v>
      </c>
      <c r="C275" s="33" t="s">
        <v>146</v>
      </c>
      <c r="D275" s="33" t="s">
        <v>147</v>
      </c>
      <c r="E275" s="33" t="s">
        <v>943</v>
      </c>
      <c r="F275" s="53">
        <v>45820</v>
      </c>
      <c r="G275" s="33">
        <v>125</v>
      </c>
      <c r="H275" s="53">
        <v>46006</v>
      </c>
      <c r="I275" s="33" t="s">
        <v>21</v>
      </c>
      <c r="J275" s="33" t="s">
        <v>338</v>
      </c>
      <c r="K275" s="33" t="s">
        <v>338</v>
      </c>
      <c r="L275" s="33" t="s">
        <v>330</v>
      </c>
      <c r="M275" s="33"/>
    </row>
    <row r="276" spans="1:13" x14ac:dyDescent="0.35">
      <c r="A276" s="33" t="s">
        <v>327</v>
      </c>
      <c r="B276" s="33" t="s">
        <v>42</v>
      </c>
      <c r="C276" s="33" t="s">
        <v>1022</v>
      </c>
      <c r="D276" s="33" t="s">
        <v>1023</v>
      </c>
      <c r="E276" s="33" t="s">
        <v>1024</v>
      </c>
      <c r="F276" s="53">
        <v>45820</v>
      </c>
      <c r="G276" s="33">
        <v>125</v>
      </c>
      <c r="H276" s="53">
        <v>46006</v>
      </c>
      <c r="I276" s="33" t="s">
        <v>21</v>
      </c>
      <c r="J276" s="33" t="s">
        <v>338</v>
      </c>
      <c r="K276" s="33" t="s">
        <v>338</v>
      </c>
      <c r="L276" s="33" t="s">
        <v>330</v>
      </c>
      <c r="M276" s="33"/>
    </row>
    <row r="277" spans="1:13" x14ac:dyDescent="0.35">
      <c r="A277" s="33" t="s">
        <v>327</v>
      </c>
      <c r="B277" s="33" t="s">
        <v>17</v>
      </c>
      <c r="C277" s="33" t="s">
        <v>1012</v>
      </c>
      <c r="D277" s="33" t="s">
        <v>1013</v>
      </c>
      <c r="E277" s="33" t="s">
        <v>1014</v>
      </c>
      <c r="F277" s="53">
        <v>45820</v>
      </c>
      <c r="G277" s="33">
        <v>125</v>
      </c>
      <c r="H277" s="53">
        <v>46006</v>
      </c>
      <c r="I277" s="33" t="s">
        <v>21</v>
      </c>
      <c r="J277" s="33" t="s">
        <v>340</v>
      </c>
      <c r="K277" s="33" t="s">
        <v>329</v>
      </c>
      <c r="L277" s="33" t="s">
        <v>330</v>
      </c>
      <c r="M277" s="33"/>
    </row>
    <row r="278" spans="1:13" x14ac:dyDescent="0.35">
      <c r="A278" s="33" t="s">
        <v>327</v>
      </c>
      <c r="B278" s="33" t="s">
        <v>17</v>
      </c>
      <c r="C278" s="33" t="s">
        <v>1012</v>
      </c>
      <c r="D278" s="33" t="s">
        <v>1013</v>
      </c>
      <c r="E278" s="33" t="s">
        <v>1015</v>
      </c>
      <c r="F278" s="53">
        <v>45820</v>
      </c>
      <c r="G278" s="33">
        <v>125</v>
      </c>
      <c r="H278" s="53">
        <v>46006</v>
      </c>
      <c r="I278" s="33" t="s">
        <v>21</v>
      </c>
      <c r="J278" s="33" t="s">
        <v>340</v>
      </c>
      <c r="K278" s="33" t="s">
        <v>329</v>
      </c>
      <c r="L278" s="33" t="s">
        <v>330</v>
      </c>
      <c r="M278" s="33"/>
    </row>
    <row r="279" spans="1:13" x14ac:dyDescent="0.35">
      <c r="A279" s="33" t="s">
        <v>327</v>
      </c>
      <c r="B279" s="33" t="s">
        <v>17</v>
      </c>
      <c r="C279" s="33" t="s">
        <v>1012</v>
      </c>
      <c r="D279" s="33" t="s">
        <v>1013</v>
      </c>
      <c r="E279" s="33" t="s">
        <v>1016</v>
      </c>
      <c r="F279" s="53">
        <v>45820</v>
      </c>
      <c r="G279" s="33">
        <v>125</v>
      </c>
      <c r="H279" s="53">
        <v>46006</v>
      </c>
      <c r="I279" s="33" t="s">
        <v>21</v>
      </c>
      <c r="J279" s="33" t="s">
        <v>340</v>
      </c>
      <c r="K279" s="33" t="s">
        <v>329</v>
      </c>
      <c r="L279" s="33" t="s">
        <v>330</v>
      </c>
      <c r="M279" s="33"/>
    </row>
    <row r="280" spans="1:13" x14ac:dyDescent="0.35">
      <c r="A280" s="33" t="s">
        <v>327</v>
      </c>
      <c r="B280" s="33" t="s">
        <v>17</v>
      </c>
      <c r="C280" s="33" t="s">
        <v>1012</v>
      </c>
      <c r="D280" s="33" t="s">
        <v>1013</v>
      </c>
      <c r="E280" s="33" t="s">
        <v>1017</v>
      </c>
      <c r="F280" s="53">
        <v>45820</v>
      </c>
      <c r="G280" s="33">
        <v>125</v>
      </c>
      <c r="H280" s="53">
        <v>46006</v>
      </c>
      <c r="I280" s="33" t="s">
        <v>21</v>
      </c>
      <c r="J280" s="33" t="s">
        <v>340</v>
      </c>
      <c r="K280" s="33" t="s">
        <v>329</v>
      </c>
      <c r="L280" s="33" t="s">
        <v>330</v>
      </c>
      <c r="M280" s="33"/>
    </row>
    <row r="281" spans="1:13" x14ac:dyDescent="0.35">
      <c r="A281" s="33" t="s">
        <v>327</v>
      </c>
      <c r="B281" s="33" t="s">
        <v>17</v>
      </c>
      <c r="C281" s="33" t="s">
        <v>944</v>
      </c>
      <c r="D281" s="33" t="s">
        <v>945</v>
      </c>
      <c r="E281" s="33" t="s">
        <v>946</v>
      </c>
      <c r="F281" s="53">
        <v>45820</v>
      </c>
      <c r="G281" s="33">
        <v>125</v>
      </c>
      <c r="H281" s="53">
        <v>46006</v>
      </c>
      <c r="I281" s="33" t="s">
        <v>21</v>
      </c>
      <c r="J281" s="33" t="s">
        <v>343</v>
      </c>
      <c r="K281" s="33" t="s">
        <v>338</v>
      </c>
      <c r="L281" s="33" t="s">
        <v>330</v>
      </c>
      <c r="M281" s="33"/>
    </row>
    <row r="282" spans="1:13" x14ac:dyDescent="0.35">
      <c r="A282" s="33" t="s">
        <v>327</v>
      </c>
      <c r="B282" s="33" t="s">
        <v>17</v>
      </c>
      <c r="C282" s="33" t="s">
        <v>944</v>
      </c>
      <c r="D282" s="33" t="s">
        <v>945</v>
      </c>
      <c r="E282" s="33" t="s">
        <v>947</v>
      </c>
      <c r="F282" s="53">
        <v>45820</v>
      </c>
      <c r="G282" s="33">
        <v>125</v>
      </c>
      <c r="H282" s="53">
        <v>46006</v>
      </c>
      <c r="I282" s="33" t="s">
        <v>21</v>
      </c>
      <c r="J282" s="33" t="s">
        <v>338</v>
      </c>
      <c r="K282" s="33" t="s">
        <v>338</v>
      </c>
      <c r="L282" s="33" t="s">
        <v>330</v>
      </c>
      <c r="M282" s="33"/>
    </row>
    <row r="283" spans="1:13" x14ac:dyDescent="0.35">
      <c r="A283" s="33" t="s">
        <v>327</v>
      </c>
      <c r="B283" s="33" t="s">
        <v>17</v>
      </c>
      <c r="C283" s="33" t="s">
        <v>1018</v>
      </c>
      <c r="D283" s="33" t="s">
        <v>1019</v>
      </c>
      <c r="E283" s="33" t="s">
        <v>1020</v>
      </c>
      <c r="F283" s="53">
        <v>45820</v>
      </c>
      <c r="G283" s="33">
        <v>125</v>
      </c>
      <c r="H283" s="53">
        <v>46006</v>
      </c>
      <c r="I283" s="33" t="s">
        <v>21</v>
      </c>
      <c r="J283" s="33" t="s">
        <v>333</v>
      </c>
      <c r="K283" s="33" t="s">
        <v>338</v>
      </c>
      <c r="L283" s="33" t="s">
        <v>330</v>
      </c>
      <c r="M283" s="33"/>
    </row>
    <row r="284" spans="1:13" x14ac:dyDescent="0.35">
      <c r="A284" s="33" t="s">
        <v>327</v>
      </c>
      <c r="B284" s="33" t="s">
        <v>17</v>
      </c>
      <c r="C284" s="33" t="s">
        <v>1018</v>
      </c>
      <c r="D284" s="33" t="s">
        <v>1019</v>
      </c>
      <c r="E284" s="33" t="s">
        <v>1021</v>
      </c>
      <c r="F284" s="53">
        <v>45820</v>
      </c>
      <c r="G284" s="33">
        <v>125</v>
      </c>
      <c r="H284" s="53">
        <v>46006</v>
      </c>
      <c r="I284" s="33" t="s">
        <v>21</v>
      </c>
      <c r="J284" s="33" t="s">
        <v>333</v>
      </c>
      <c r="K284" s="33" t="s">
        <v>338</v>
      </c>
      <c r="L284" s="33" t="s">
        <v>330</v>
      </c>
      <c r="M284" s="33"/>
    </row>
    <row r="285" spans="1:13" x14ac:dyDescent="0.35">
      <c r="A285" s="33" t="s">
        <v>327</v>
      </c>
      <c r="B285" s="33" t="s">
        <v>17</v>
      </c>
      <c r="C285" s="33" t="s">
        <v>1025</v>
      </c>
      <c r="D285" s="33" t="s">
        <v>1026</v>
      </c>
      <c r="E285" s="33" t="s">
        <v>1027</v>
      </c>
      <c r="F285" s="53">
        <v>45821</v>
      </c>
      <c r="G285" s="33">
        <v>125</v>
      </c>
      <c r="H285" s="53">
        <v>46007</v>
      </c>
      <c r="I285" s="33" t="s">
        <v>21</v>
      </c>
      <c r="J285" s="33" t="s">
        <v>328</v>
      </c>
      <c r="K285" s="33" t="s">
        <v>329</v>
      </c>
      <c r="L285" s="33" t="s">
        <v>330</v>
      </c>
      <c r="M285" s="33"/>
    </row>
    <row r="286" spans="1:13" x14ac:dyDescent="0.35">
      <c r="A286" s="33" t="s">
        <v>327</v>
      </c>
      <c r="B286" s="33" t="s">
        <v>17</v>
      </c>
      <c r="C286" s="33" t="s">
        <v>1028</v>
      </c>
      <c r="D286" s="33" t="s">
        <v>1029</v>
      </c>
      <c r="E286" s="33" t="s">
        <v>1030</v>
      </c>
      <c r="F286" s="53">
        <v>45824</v>
      </c>
      <c r="G286" s="33">
        <v>125</v>
      </c>
      <c r="H286" s="53">
        <v>46008</v>
      </c>
      <c r="I286" s="33" t="s">
        <v>21</v>
      </c>
      <c r="J286" s="33" t="s">
        <v>345</v>
      </c>
      <c r="K286" s="33" t="s">
        <v>338</v>
      </c>
      <c r="L286" s="33" t="s">
        <v>330</v>
      </c>
      <c r="M286" s="33"/>
    </row>
    <row r="287" spans="1:13" x14ac:dyDescent="0.35">
      <c r="A287" s="33" t="s">
        <v>327</v>
      </c>
      <c r="B287" s="33" t="s">
        <v>17</v>
      </c>
      <c r="C287" s="33" t="s">
        <v>174</v>
      </c>
      <c r="D287" s="33" t="s">
        <v>175</v>
      </c>
      <c r="E287" s="33" t="s">
        <v>951</v>
      </c>
      <c r="F287" s="53">
        <v>45824</v>
      </c>
      <c r="G287" s="33">
        <v>125</v>
      </c>
      <c r="H287" s="53">
        <v>46008</v>
      </c>
      <c r="I287" s="33" t="s">
        <v>21</v>
      </c>
      <c r="J287" s="33" t="s">
        <v>345</v>
      </c>
      <c r="K287" s="33" t="s">
        <v>338</v>
      </c>
      <c r="L287" s="33" t="s">
        <v>330</v>
      </c>
      <c r="M287" s="33"/>
    </row>
    <row r="288" spans="1:13" x14ac:dyDescent="0.35">
      <c r="A288" s="33" t="s">
        <v>327</v>
      </c>
      <c r="B288" s="33" t="s">
        <v>17</v>
      </c>
      <c r="C288" s="33" t="s">
        <v>1035</v>
      </c>
      <c r="D288" s="33" t="s">
        <v>1036</v>
      </c>
      <c r="E288" s="33" t="s">
        <v>1037</v>
      </c>
      <c r="F288" s="53">
        <v>45825</v>
      </c>
      <c r="G288" s="33">
        <v>125</v>
      </c>
      <c r="H288" s="53">
        <v>46009</v>
      </c>
      <c r="I288" s="33" t="s">
        <v>21</v>
      </c>
      <c r="J288" s="33" t="s">
        <v>328</v>
      </c>
      <c r="K288" s="33" t="s">
        <v>329</v>
      </c>
      <c r="L288" s="33" t="s">
        <v>330</v>
      </c>
      <c r="M288" s="33"/>
    </row>
    <row r="289" spans="1:13" x14ac:dyDescent="0.35">
      <c r="A289" s="33" t="s">
        <v>327</v>
      </c>
      <c r="B289" s="33" t="s">
        <v>17</v>
      </c>
      <c r="C289" s="33" t="s">
        <v>952</v>
      </c>
      <c r="D289" s="33" t="s">
        <v>953</v>
      </c>
      <c r="E289" s="33" t="s">
        <v>954</v>
      </c>
      <c r="F289" s="53">
        <v>45825</v>
      </c>
      <c r="G289" s="33">
        <v>125</v>
      </c>
      <c r="H289" s="53">
        <v>46009</v>
      </c>
      <c r="I289" s="33" t="s">
        <v>21</v>
      </c>
      <c r="J289" s="33" t="s">
        <v>341</v>
      </c>
      <c r="K289" s="33" t="s">
        <v>329</v>
      </c>
      <c r="L289" s="33" t="s">
        <v>330</v>
      </c>
      <c r="M289" s="33"/>
    </row>
    <row r="290" spans="1:13" x14ac:dyDescent="0.35">
      <c r="A290" s="33" t="s">
        <v>327</v>
      </c>
      <c r="B290" s="33" t="s">
        <v>17</v>
      </c>
      <c r="C290" s="33" t="s">
        <v>1031</v>
      </c>
      <c r="D290" s="33" t="s">
        <v>1032</v>
      </c>
      <c r="E290" s="33" t="s">
        <v>1033</v>
      </c>
      <c r="F290" s="53">
        <v>45825</v>
      </c>
      <c r="G290" s="33">
        <v>125</v>
      </c>
      <c r="H290" s="53">
        <v>46009</v>
      </c>
      <c r="I290" s="33" t="s">
        <v>21</v>
      </c>
      <c r="J290" s="33" t="s">
        <v>342</v>
      </c>
      <c r="K290" s="33" t="s">
        <v>329</v>
      </c>
      <c r="L290" s="33" t="s">
        <v>330</v>
      </c>
      <c r="M290" s="33"/>
    </row>
    <row r="291" spans="1:13" x14ac:dyDescent="0.35">
      <c r="A291" s="33" t="s">
        <v>327</v>
      </c>
      <c r="B291" s="33" t="s">
        <v>17</v>
      </c>
      <c r="C291" s="33" t="s">
        <v>1025</v>
      </c>
      <c r="D291" s="33" t="s">
        <v>1026</v>
      </c>
      <c r="E291" s="33" t="s">
        <v>1034</v>
      </c>
      <c r="F291" s="53">
        <v>45825</v>
      </c>
      <c r="G291" s="33">
        <v>125</v>
      </c>
      <c r="H291" s="53">
        <v>46009</v>
      </c>
      <c r="I291" s="33" t="s">
        <v>21</v>
      </c>
      <c r="J291" s="33" t="s">
        <v>332</v>
      </c>
      <c r="K291" s="33" t="s">
        <v>329</v>
      </c>
      <c r="L291" s="33" t="s">
        <v>330</v>
      </c>
      <c r="M291" s="33"/>
    </row>
    <row r="292" spans="1:13" x14ac:dyDescent="0.35">
      <c r="A292" s="33" t="s">
        <v>327</v>
      </c>
      <c r="B292" s="33" t="s">
        <v>17</v>
      </c>
      <c r="C292" s="33" t="s">
        <v>955</v>
      </c>
      <c r="D292" s="33" t="s">
        <v>956</v>
      </c>
      <c r="E292" s="33" t="s">
        <v>957</v>
      </c>
      <c r="F292" s="53">
        <v>45826</v>
      </c>
      <c r="G292" s="33">
        <v>125</v>
      </c>
      <c r="H292" s="53">
        <v>46010</v>
      </c>
      <c r="I292" s="33" t="s">
        <v>21</v>
      </c>
      <c r="J292" s="33" t="s">
        <v>342</v>
      </c>
      <c r="K292" s="33" t="s">
        <v>329</v>
      </c>
      <c r="L292" s="33" t="s">
        <v>330</v>
      </c>
      <c r="M292" s="33"/>
    </row>
    <row r="293" spans="1:13" x14ac:dyDescent="0.35">
      <c r="A293" s="33" t="s">
        <v>327</v>
      </c>
      <c r="B293" s="33" t="s">
        <v>17</v>
      </c>
      <c r="C293" s="33" t="s">
        <v>1039</v>
      </c>
      <c r="D293" s="33" t="s">
        <v>1040</v>
      </c>
      <c r="E293" s="33" t="s">
        <v>1042</v>
      </c>
      <c r="F293" s="53">
        <v>45826</v>
      </c>
      <c r="G293" s="33">
        <v>125</v>
      </c>
      <c r="H293" s="53">
        <v>46010</v>
      </c>
      <c r="I293" s="33" t="s">
        <v>21</v>
      </c>
      <c r="J293" s="33" t="s">
        <v>343</v>
      </c>
      <c r="K293" s="33" t="s">
        <v>338</v>
      </c>
      <c r="L293" s="33" t="s">
        <v>330</v>
      </c>
      <c r="M293" s="33"/>
    </row>
    <row r="294" spans="1:13" x14ac:dyDescent="0.35">
      <c r="A294" s="33" t="s">
        <v>327</v>
      </c>
      <c r="B294" s="33" t="s">
        <v>17</v>
      </c>
      <c r="C294" s="33" t="s">
        <v>565</v>
      </c>
      <c r="D294" s="33" t="s">
        <v>566</v>
      </c>
      <c r="E294" s="33" t="s">
        <v>1038</v>
      </c>
      <c r="F294" s="53">
        <v>45826</v>
      </c>
      <c r="G294" s="33">
        <v>125</v>
      </c>
      <c r="H294" s="53">
        <v>46010</v>
      </c>
      <c r="I294" s="33" t="s">
        <v>21</v>
      </c>
      <c r="J294" s="33" t="s">
        <v>332</v>
      </c>
      <c r="K294" s="33" t="s">
        <v>329</v>
      </c>
      <c r="L294" s="33" t="s">
        <v>330</v>
      </c>
      <c r="M294" s="33"/>
    </row>
    <row r="295" spans="1:13" x14ac:dyDescent="0.35">
      <c r="A295" s="33" t="s">
        <v>327</v>
      </c>
      <c r="B295" s="33" t="s">
        <v>17</v>
      </c>
      <c r="C295" s="33" t="s">
        <v>1039</v>
      </c>
      <c r="D295" s="33" t="s">
        <v>1040</v>
      </c>
      <c r="E295" s="33" t="s">
        <v>1041</v>
      </c>
      <c r="F295" s="53">
        <v>45826</v>
      </c>
      <c r="G295" s="33">
        <v>125</v>
      </c>
      <c r="H295" s="53">
        <v>46010</v>
      </c>
      <c r="I295" s="33" t="s">
        <v>21</v>
      </c>
      <c r="J295" s="33" t="s">
        <v>343</v>
      </c>
      <c r="K295" s="33" t="s">
        <v>338</v>
      </c>
      <c r="L295" s="33" t="s">
        <v>330</v>
      </c>
      <c r="M295" s="33"/>
    </row>
    <row r="296" spans="1:13" x14ac:dyDescent="0.35">
      <c r="A296" s="33" t="s">
        <v>327</v>
      </c>
      <c r="B296" s="33" t="s">
        <v>17</v>
      </c>
      <c r="C296" s="33" t="s">
        <v>1043</v>
      </c>
      <c r="D296" s="33" t="s">
        <v>1044</v>
      </c>
      <c r="E296" s="33" t="s">
        <v>1045</v>
      </c>
      <c r="F296" s="53">
        <v>45827</v>
      </c>
      <c r="G296" s="33">
        <v>125</v>
      </c>
      <c r="H296" s="53">
        <v>46013</v>
      </c>
      <c r="I296" s="33" t="s">
        <v>21</v>
      </c>
      <c r="J296" s="33" t="s">
        <v>341</v>
      </c>
      <c r="K296" s="33" t="s">
        <v>329</v>
      </c>
      <c r="L296" s="33" t="s">
        <v>330</v>
      </c>
      <c r="M296" s="33"/>
    </row>
    <row r="297" spans="1:13" x14ac:dyDescent="0.35">
      <c r="A297" s="33" t="s">
        <v>327</v>
      </c>
      <c r="B297" s="33" t="s">
        <v>17</v>
      </c>
      <c r="C297" s="33" t="s">
        <v>1046</v>
      </c>
      <c r="D297" s="33" t="s">
        <v>1047</v>
      </c>
      <c r="E297" s="33" t="s">
        <v>1048</v>
      </c>
      <c r="F297" s="53">
        <v>45827</v>
      </c>
      <c r="G297" s="33">
        <v>125</v>
      </c>
      <c r="H297" s="53">
        <v>46013</v>
      </c>
      <c r="I297" s="33" t="s">
        <v>21</v>
      </c>
      <c r="J297" s="33" t="s">
        <v>341</v>
      </c>
      <c r="K297" s="33" t="s">
        <v>329</v>
      </c>
      <c r="L297" s="33" t="s">
        <v>330</v>
      </c>
      <c r="M297" s="33"/>
    </row>
    <row r="298" spans="1:13" x14ac:dyDescent="0.35">
      <c r="A298" s="33" t="s">
        <v>327</v>
      </c>
      <c r="B298" s="33" t="s">
        <v>17</v>
      </c>
      <c r="C298" s="33" t="s">
        <v>958</v>
      </c>
      <c r="D298" s="33" t="s">
        <v>959</v>
      </c>
      <c r="E298" s="33" t="s">
        <v>960</v>
      </c>
      <c r="F298" s="53">
        <v>45828</v>
      </c>
      <c r="G298" s="33">
        <v>125</v>
      </c>
      <c r="H298" s="53">
        <v>46014</v>
      </c>
      <c r="I298" s="33" t="s">
        <v>21</v>
      </c>
      <c r="J298" s="33" t="s">
        <v>328</v>
      </c>
      <c r="K298" s="33" t="s">
        <v>329</v>
      </c>
      <c r="L298" s="33" t="s">
        <v>330</v>
      </c>
      <c r="M298" s="33"/>
    </row>
    <row r="299" spans="1:13" x14ac:dyDescent="0.35">
      <c r="A299" s="33" t="s">
        <v>327</v>
      </c>
      <c r="B299" s="33" t="s">
        <v>17</v>
      </c>
      <c r="C299" s="33" t="s">
        <v>1049</v>
      </c>
      <c r="D299" s="33" t="s">
        <v>1050</v>
      </c>
      <c r="E299" s="33" t="s">
        <v>1051</v>
      </c>
      <c r="F299" s="53">
        <v>45828</v>
      </c>
      <c r="G299" s="33">
        <v>125</v>
      </c>
      <c r="H299" s="53">
        <v>46014</v>
      </c>
      <c r="I299" s="33" t="s">
        <v>21</v>
      </c>
      <c r="J299" s="33" t="s">
        <v>342</v>
      </c>
      <c r="K299" s="33" t="s">
        <v>329</v>
      </c>
      <c r="L299" s="33" t="s">
        <v>330</v>
      </c>
      <c r="M299" s="33"/>
    </row>
    <row r="300" spans="1:13" x14ac:dyDescent="0.35">
      <c r="A300" s="33" t="s">
        <v>327</v>
      </c>
      <c r="B300" s="33" t="s">
        <v>17</v>
      </c>
      <c r="C300" s="33" t="s">
        <v>439</v>
      </c>
      <c r="D300" s="33" t="s">
        <v>440</v>
      </c>
      <c r="E300" s="33" t="s">
        <v>1052</v>
      </c>
      <c r="F300" s="53">
        <v>45828</v>
      </c>
      <c r="G300" s="33">
        <v>125</v>
      </c>
      <c r="H300" s="53">
        <v>46014</v>
      </c>
      <c r="I300" s="33" t="s">
        <v>21</v>
      </c>
      <c r="J300" s="33" t="s">
        <v>341</v>
      </c>
      <c r="K300" s="33" t="s">
        <v>329</v>
      </c>
      <c r="L300" s="33" t="s">
        <v>330</v>
      </c>
      <c r="M300" s="33"/>
    </row>
    <row r="301" spans="1:13" x14ac:dyDescent="0.35">
      <c r="A301" s="33" t="s">
        <v>327</v>
      </c>
      <c r="B301" s="33" t="s">
        <v>17</v>
      </c>
      <c r="C301" s="33" t="s">
        <v>1053</v>
      </c>
      <c r="D301" s="33" t="s">
        <v>1054</v>
      </c>
      <c r="E301" s="33" t="s">
        <v>1055</v>
      </c>
      <c r="F301" s="53">
        <v>45829</v>
      </c>
      <c r="G301" s="33">
        <v>125</v>
      </c>
      <c r="H301" s="53">
        <v>46014</v>
      </c>
      <c r="I301" s="33" t="s">
        <v>21</v>
      </c>
      <c r="J301" s="33" t="s">
        <v>333</v>
      </c>
      <c r="K301" s="33" t="s">
        <v>338</v>
      </c>
      <c r="L301" s="33" t="s">
        <v>330</v>
      </c>
      <c r="M301" s="33"/>
    </row>
    <row r="302" spans="1:13" x14ac:dyDescent="0.35">
      <c r="A302" s="33" t="s">
        <v>327</v>
      </c>
      <c r="B302" s="33" t="s">
        <v>17</v>
      </c>
      <c r="C302" s="33" t="s">
        <v>961</v>
      </c>
      <c r="D302" s="33" t="s">
        <v>962</v>
      </c>
      <c r="E302" s="33" t="s">
        <v>963</v>
      </c>
      <c r="F302" s="53">
        <v>45829</v>
      </c>
      <c r="G302" s="33">
        <v>125</v>
      </c>
      <c r="H302" s="53">
        <v>46014</v>
      </c>
      <c r="I302" s="33" t="s">
        <v>21</v>
      </c>
      <c r="J302" s="33" t="s">
        <v>333</v>
      </c>
      <c r="K302" s="33" t="s">
        <v>338</v>
      </c>
      <c r="L302" s="33" t="s">
        <v>330</v>
      </c>
      <c r="M302" s="33"/>
    </row>
    <row r="303" spans="1:13" x14ac:dyDescent="0.35">
      <c r="A303" s="33" t="s">
        <v>327</v>
      </c>
      <c r="B303" s="33" t="s">
        <v>17</v>
      </c>
      <c r="C303" s="33" t="s">
        <v>163</v>
      </c>
      <c r="D303" s="33" t="s">
        <v>164</v>
      </c>
      <c r="E303" s="33" t="s">
        <v>965</v>
      </c>
      <c r="F303" s="53">
        <v>45831</v>
      </c>
      <c r="G303" s="33">
        <v>125</v>
      </c>
      <c r="H303" s="53">
        <v>46015</v>
      </c>
      <c r="I303" s="33" t="s">
        <v>21</v>
      </c>
      <c r="J303" s="33" t="s">
        <v>343</v>
      </c>
      <c r="K303" s="33" t="s">
        <v>338</v>
      </c>
      <c r="L303" s="33" t="s">
        <v>330</v>
      </c>
      <c r="M303" s="33"/>
    </row>
    <row r="304" spans="1:13" x14ac:dyDescent="0.35">
      <c r="A304" s="33" t="s">
        <v>327</v>
      </c>
      <c r="B304" s="33" t="s">
        <v>17</v>
      </c>
      <c r="C304" s="33" t="s">
        <v>1056</v>
      </c>
      <c r="D304" s="33" t="s">
        <v>1057</v>
      </c>
      <c r="E304" s="33" t="s">
        <v>1058</v>
      </c>
      <c r="F304" s="53">
        <v>45831</v>
      </c>
      <c r="G304" s="33">
        <v>125</v>
      </c>
      <c r="H304" s="53">
        <v>46015</v>
      </c>
      <c r="I304" s="33" t="s">
        <v>21</v>
      </c>
      <c r="J304" s="33" t="s">
        <v>331</v>
      </c>
      <c r="K304" s="33" t="s">
        <v>329</v>
      </c>
      <c r="L304" s="33" t="s">
        <v>330</v>
      </c>
      <c r="M304" s="33"/>
    </row>
    <row r="305" spans="1:13" x14ac:dyDescent="0.35">
      <c r="A305" s="33" t="s">
        <v>327</v>
      </c>
      <c r="B305" s="33" t="s">
        <v>17</v>
      </c>
      <c r="C305" s="33" t="s">
        <v>163</v>
      </c>
      <c r="D305" s="33" t="s">
        <v>164</v>
      </c>
      <c r="E305" s="33" t="s">
        <v>964</v>
      </c>
      <c r="F305" s="53">
        <v>45831</v>
      </c>
      <c r="G305" s="33">
        <v>125</v>
      </c>
      <c r="H305" s="53">
        <v>46015</v>
      </c>
      <c r="I305" s="33" t="s">
        <v>21</v>
      </c>
      <c r="J305" s="33" t="s">
        <v>338</v>
      </c>
      <c r="K305" s="33" t="s">
        <v>338</v>
      </c>
      <c r="L305" s="33" t="s">
        <v>330</v>
      </c>
      <c r="M305" s="33"/>
    </row>
    <row r="306" spans="1:13" x14ac:dyDescent="0.35">
      <c r="A306" s="33" t="s">
        <v>327</v>
      </c>
      <c r="B306" s="33" t="s">
        <v>17</v>
      </c>
      <c r="C306" s="33" t="s">
        <v>1053</v>
      </c>
      <c r="D306" s="33" t="s">
        <v>1054</v>
      </c>
      <c r="E306" s="33" t="s">
        <v>1062</v>
      </c>
      <c r="F306" s="53">
        <v>45831</v>
      </c>
      <c r="G306" s="33">
        <v>125</v>
      </c>
      <c r="H306" s="53">
        <v>46015</v>
      </c>
      <c r="I306" s="33" t="s">
        <v>21</v>
      </c>
      <c r="J306" s="33" t="s">
        <v>333</v>
      </c>
      <c r="K306" s="33" t="s">
        <v>338</v>
      </c>
      <c r="L306" s="33" t="s">
        <v>330</v>
      </c>
      <c r="M306" s="33"/>
    </row>
    <row r="307" spans="1:13" x14ac:dyDescent="0.35">
      <c r="A307" s="33" t="s">
        <v>327</v>
      </c>
      <c r="B307" s="33" t="s">
        <v>17</v>
      </c>
      <c r="C307" s="33" t="s">
        <v>1064</v>
      </c>
      <c r="D307" s="33" t="s">
        <v>1065</v>
      </c>
      <c r="E307" s="33" t="s">
        <v>1067</v>
      </c>
      <c r="F307" s="53">
        <v>45832</v>
      </c>
      <c r="G307" s="33">
        <v>125</v>
      </c>
      <c r="H307" s="53">
        <v>46017</v>
      </c>
      <c r="I307" s="33" t="s">
        <v>21</v>
      </c>
      <c r="J307" s="33" t="s">
        <v>328</v>
      </c>
      <c r="K307" s="33" t="s">
        <v>329</v>
      </c>
      <c r="L307" s="33" t="s">
        <v>330</v>
      </c>
      <c r="M307" s="33"/>
    </row>
    <row r="308" spans="1:13" x14ac:dyDescent="0.35">
      <c r="A308" s="33" t="s">
        <v>327</v>
      </c>
      <c r="B308" s="33" t="s">
        <v>17</v>
      </c>
      <c r="C308" s="33" t="s">
        <v>970</v>
      </c>
      <c r="D308" s="33" t="s">
        <v>971</v>
      </c>
      <c r="E308" s="33" t="s">
        <v>972</v>
      </c>
      <c r="F308" s="53">
        <v>45832</v>
      </c>
      <c r="G308" s="33">
        <v>125</v>
      </c>
      <c r="H308" s="53">
        <v>46017</v>
      </c>
      <c r="I308" s="33" t="s">
        <v>21</v>
      </c>
      <c r="J308" s="33" t="s">
        <v>341</v>
      </c>
      <c r="K308" s="33" t="s">
        <v>329</v>
      </c>
      <c r="L308" s="33" t="s">
        <v>330</v>
      </c>
      <c r="M308" s="33"/>
    </row>
    <row r="309" spans="1:13" x14ac:dyDescent="0.35">
      <c r="A309" s="33" t="s">
        <v>327</v>
      </c>
      <c r="B309" s="33" t="s">
        <v>17</v>
      </c>
      <c r="C309" s="33" t="s">
        <v>302</v>
      </c>
      <c r="D309" s="33" t="s">
        <v>303</v>
      </c>
      <c r="E309" s="33" t="s">
        <v>967</v>
      </c>
      <c r="F309" s="53">
        <v>45832</v>
      </c>
      <c r="G309" s="33">
        <v>125</v>
      </c>
      <c r="H309" s="53">
        <v>46017</v>
      </c>
      <c r="I309" s="33" t="s">
        <v>21</v>
      </c>
      <c r="J309" s="33" t="s">
        <v>336</v>
      </c>
      <c r="K309" s="33" t="s">
        <v>338</v>
      </c>
      <c r="L309" s="33" t="s">
        <v>330</v>
      </c>
      <c r="M309" s="33"/>
    </row>
    <row r="310" spans="1:13" x14ac:dyDescent="0.35">
      <c r="A310" s="33" t="s">
        <v>327</v>
      </c>
      <c r="B310" s="33" t="s">
        <v>17</v>
      </c>
      <c r="C310" s="33" t="s">
        <v>302</v>
      </c>
      <c r="D310" s="33" t="s">
        <v>303</v>
      </c>
      <c r="E310" s="33" t="s">
        <v>968</v>
      </c>
      <c r="F310" s="53">
        <v>45832</v>
      </c>
      <c r="G310" s="33">
        <v>125</v>
      </c>
      <c r="H310" s="53">
        <v>46017</v>
      </c>
      <c r="I310" s="33" t="s">
        <v>21</v>
      </c>
      <c r="J310" s="33" t="s">
        <v>336</v>
      </c>
      <c r="K310" s="33" t="s">
        <v>338</v>
      </c>
      <c r="L310" s="33" t="s">
        <v>330</v>
      </c>
      <c r="M310" s="33"/>
    </row>
    <row r="311" spans="1:13" x14ac:dyDescent="0.35">
      <c r="A311" s="33" t="s">
        <v>327</v>
      </c>
      <c r="B311" s="33" t="s">
        <v>17</v>
      </c>
      <c r="C311" s="33" t="s">
        <v>302</v>
      </c>
      <c r="D311" s="33" t="s">
        <v>303</v>
      </c>
      <c r="E311" s="33" t="s">
        <v>969</v>
      </c>
      <c r="F311" s="53">
        <v>45832</v>
      </c>
      <c r="G311" s="33">
        <v>125</v>
      </c>
      <c r="H311" s="53">
        <v>46017</v>
      </c>
      <c r="I311" s="33" t="s">
        <v>21</v>
      </c>
      <c r="J311" s="33" t="s">
        <v>336</v>
      </c>
      <c r="K311" s="33" t="s">
        <v>338</v>
      </c>
      <c r="L311" s="33" t="s">
        <v>330</v>
      </c>
      <c r="M311" s="33"/>
    </row>
    <row r="312" spans="1:13" x14ac:dyDescent="0.35">
      <c r="A312" s="33" t="s">
        <v>327</v>
      </c>
      <c r="B312" s="33" t="s">
        <v>17</v>
      </c>
      <c r="C312" s="33" t="s">
        <v>302</v>
      </c>
      <c r="D312" s="33" t="s">
        <v>303</v>
      </c>
      <c r="E312" s="33" t="s">
        <v>1073</v>
      </c>
      <c r="F312" s="53">
        <v>45832</v>
      </c>
      <c r="G312" s="33">
        <v>125</v>
      </c>
      <c r="H312" s="53">
        <v>46017</v>
      </c>
      <c r="I312" s="33" t="s">
        <v>21</v>
      </c>
      <c r="J312" s="33" t="s">
        <v>336</v>
      </c>
      <c r="K312" s="33" t="s">
        <v>338</v>
      </c>
      <c r="L312" s="33" t="s">
        <v>330</v>
      </c>
      <c r="M312" s="33"/>
    </row>
    <row r="313" spans="1:13" x14ac:dyDescent="0.35">
      <c r="A313" s="33" t="s">
        <v>327</v>
      </c>
      <c r="B313" s="33" t="s">
        <v>17</v>
      </c>
      <c r="C313" s="33" t="s">
        <v>302</v>
      </c>
      <c r="D313" s="33" t="s">
        <v>303</v>
      </c>
      <c r="E313" s="33" t="s">
        <v>1072</v>
      </c>
      <c r="F313" s="53">
        <v>45832</v>
      </c>
      <c r="G313" s="33">
        <v>125</v>
      </c>
      <c r="H313" s="53">
        <v>46017</v>
      </c>
      <c r="I313" s="33" t="s">
        <v>21</v>
      </c>
      <c r="J313" s="33" t="s">
        <v>336</v>
      </c>
      <c r="K313" s="33" t="s">
        <v>338</v>
      </c>
      <c r="L313" s="33" t="s">
        <v>330</v>
      </c>
      <c r="M313" s="33"/>
    </row>
    <row r="314" spans="1:13" x14ac:dyDescent="0.35">
      <c r="A314" s="33" t="s">
        <v>327</v>
      </c>
      <c r="B314" s="33" t="s">
        <v>17</v>
      </c>
      <c r="C314" s="33" t="s">
        <v>302</v>
      </c>
      <c r="D314" s="33" t="s">
        <v>303</v>
      </c>
      <c r="E314" s="33" t="s">
        <v>966</v>
      </c>
      <c r="F314" s="53">
        <v>45832</v>
      </c>
      <c r="G314" s="33">
        <v>125</v>
      </c>
      <c r="H314" s="53">
        <v>46017</v>
      </c>
      <c r="I314" s="33" t="s">
        <v>21</v>
      </c>
      <c r="J314" s="33" t="s">
        <v>336</v>
      </c>
      <c r="K314" s="33" t="s">
        <v>338</v>
      </c>
      <c r="L314" s="33" t="s">
        <v>330</v>
      </c>
      <c r="M314" s="33"/>
    </row>
    <row r="315" spans="1:13" x14ac:dyDescent="0.35">
      <c r="A315" s="33" t="s">
        <v>327</v>
      </c>
      <c r="B315" s="33" t="s">
        <v>17</v>
      </c>
      <c r="C315" s="33" t="s">
        <v>1068</v>
      </c>
      <c r="D315" s="33" t="s">
        <v>1069</v>
      </c>
      <c r="E315" s="33" t="s">
        <v>1070</v>
      </c>
      <c r="F315" s="53">
        <v>45832</v>
      </c>
      <c r="G315" s="33">
        <v>125</v>
      </c>
      <c r="H315" s="53">
        <v>46017</v>
      </c>
      <c r="I315" s="33" t="s">
        <v>21</v>
      </c>
      <c r="J315" s="33" t="s">
        <v>333</v>
      </c>
      <c r="K315" s="33" t="s">
        <v>338</v>
      </c>
      <c r="L315" s="33" t="s">
        <v>330</v>
      </c>
      <c r="M315" s="33"/>
    </row>
    <row r="316" spans="1:13" x14ac:dyDescent="0.35">
      <c r="A316" s="33" t="s">
        <v>327</v>
      </c>
      <c r="B316" s="33" t="s">
        <v>17</v>
      </c>
      <c r="C316" s="33" t="s">
        <v>1064</v>
      </c>
      <c r="D316" s="33" t="s">
        <v>1065</v>
      </c>
      <c r="E316" s="33" t="s">
        <v>1066</v>
      </c>
      <c r="F316" s="53">
        <v>45832</v>
      </c>
      <c r="G316" s="33">
        <v>125</v>
      </c>
      <c r="H316" s="53">
        <v>46017</v>
      </c>
      <c r="I316" s="33" t="s">
        <v>21</v>
      </c>
      <c r="J316" s="33" t="s">
        <v>328</v>
      </c>
      <c r="K316" s="33" t="s">
        <v>329</v>
      </c>
      <c r="L316" s="33" t="s">
        <v>330</v>
      </c>
      <c r="M316" s="33"/>
    </row>
    <row r="317" spans="1:13" x14ac:dyDescent="0.35">
      <c r="A317" s="33" t="s">
        <v>327</v>
      </c>
      <c r="B317" s="33" t="s">
        <v>17</v>
      </c>
      <c r="C317" s="33" t="s">
        <v>260</v>
      </c>
      <c r="D317" s="33" t="s">
        <v>261</v>
      </c>
      <c r="E317" s="33" t="s">
        <v>1063</v>
      </c>
      <c r="F317" s="53">
        <v>45832</v>
      </c>
      <c r="G317" s="33">
        <v>125</v>
      </c>
      <c r="H317" s="53">
        <v>46017</v>
      </c>
      <c r="I317" s="33" t="s">
        <v>21</v>
      </c>
      <c r="J317" s="33" t="s">
        <v>341</v>
      </c>
      <c r="K317" s="33" t="s">
        <v>329</v>
      </c>
      <c r="L317" s="33" t="s">
        <v>330</v>
      </c>
      <c r="M317" s="33"/>
    </row>
    <row r="318" spans="1:13" x14ac:dyDescent="0.35">
      <c r="A318" s="33" t="s">
        <v>327</v>
      </c>
      <c r="B318" s="33" t="s">
        <v>17</v>
      </c>
      <c r="C318" s="33" t="s">
        <v>1068</v>
      </c>
      <c r="D318" s="33" t="s">
        <v>1069</v>
      </c>
      <c r="E318" s="33" t="s">
        <v>1071</v>
      </c>
      <c r="F318" s="53">
        <v>45832</v>
      </c>
      <c r="G318" s="33">
        <v>125</v>
      </c>
      <c r="H318" s="53">
        <v>46017</v>
      </c>
      <c r="I318" s="33" t="s">
        <v>21</v>
      </c>
      <c r="J318" s="33" t="s">
        <v>333</v>
      </c>
      <c r="K318" s="33" t="s">
        <v>338</v>
      </c>
      <c r="L318" s="33" t="s">
        <v>330</v>
      </c>
      <c r="M318" s="33"/>
    </row>
    <row r="319" spans="1:13" x14ac:dyDescent="0.35">
      <c r="A319" s="33" t="s">
        <v>327</v>
      </c>
      <c r="B319" s="33" t="s">
        <v>17</v>
      </c>
      <c r="C319" s="33" t="s">
        <v>1074</v>
      </c>
      <c r="D319" s="33" t="s">
        <v>1075</v>
      </c>
      <c r="E319" s="33" t="s">
        <v>1076</v>
      </c>
      <c r="F319" s="53">
        <v>45833</v>
      </c>
      <c r="G319" s="33">
        <v>125</v>
      </c>
      <c r="H319" s="53">
        <v>46020</v>
      </c>
      <c r="I319" s="33" t="s">
        <v>21</v>
      </c>
      <c r="J319" s="33" t="s">
        <v>331</v>
      </c>
      <c r="K319" s="33" t="s">
        <v>329</v>
      </c>
      <c r="L319" s="33" t="s">
        <v>330</v>
      </c>
      <c r="M319" s="33"/>
    </row>
    <row r="320" spans="1:13" x14ac:dyDescent="0.35">
      <c r="A320" s="33" t="s">
        <v>327</v>
      </c>
      <c r="B320" s="33" t="s">
        <v>17</v>
      </c>
      <c r="C320" s="33" t="s">
        <v>973</v>
      </c>
      <c r="D320" s="33" t="s">
        <v>974</v>
      </c>
      <c r="E320" s="33" t="s">
        <v>975</v>
      </c>
      <c r="F320" s="53">
        <v>45833</v>
      </c>
      <c r="G320" s="33">
        <v>125</v>
      </c>
      <c r="H320" s="53">
        <v>46020</v>
      </c>
      <c r="I320" s="33" t="s">
        <v>21</v>
      </c>
      <c r="J320" s="33" t="s">
        <v>333</v>
      </c>
      <c r="K320" s="33" t="s">
        <v>338</v>
      </c>
      <c r="L320" s="33" t="s">
        <v>330</v>
      </c>
      <c r="M320" s="33"/>
    </row>
    <row r="321" spans="1:13" x14ac:dyDescent="0.35">
      <c r="A321" s="33" t="s">
        <v>327</v>
      </c>
      <c r="B321" s="33" t="s">
        <v>17</v>
      </c>
      <c r="C321" s="33" t="s">
        <v>670</v>
      </c>
      <c r="D321" s="33" t="s">
        <v>671</v>
      </c>
      <c r="E321" s="33" t="s">
        <v>1083</v>
      </c>
      <c r="F321" s="53">
        <v>45834</v>
      </c>
      <c r="G321" s="33">
        <v>125</v>
      </c>
      <c r="H321" s="53">
        <v>46021</v>
      </c>
      <c r="I321" s="33" t="s">
        <v>21</v>
      </c>
      <c r="J321" s="33" t="s">
        <v>345</v>
      </c>
      <c r="K321" s="33" t="s">
        <v>338</v>
      </c>
      <c r="L321" s="33" t="s">
        <v>330</v>
      </c>
      <c r="M321" s="33"/>
    </row>
    <row r="322" spans="1:13" x14ac:dyDescent="0.35">
      <c r="A322" s="33" t="s">
        <v>327</v>
      </c>
      <c r="B322" s="33" t="s">
        <v>17</v>
      </c>
      <c r="C322" s="33" t="s">
        <v>1344</v>
      </c>
      <c r="D322" s="33" t="s">
        <v>1345</v>
      </c>
      <c r="E322" s="33" t="s">
        <v>1346</v>
      </c>
      <c r="F322" s="53">
        <v>45834</v>
      </c>
      <c r="G322" s="33">
        <v>125</v>
      </c>
      <c r="H322" s="53">
        <v>46021</v>
      </c>
      <c r="I322" s="33" t="s">
        <v>21</v>
      </c>
      <c r="J322" s="33" t="s">
        <v>345</v>
      </c>
      <c r="K322" s="33" t="s">
        <v>338</v>
      </c>
      <c r="L322" s="33" t="s">
        <v>330</v>
      </c>
      <c r="M322" s="33"/>
    </row>
    <row r="323" spans="1:13" x14ac:dyDescent="0.35">
      <c r="A323" s="33" t="s">
        <v>327</v>
      </c>
      <c r="B323" s="33" t="s">
        <v>17</v>
      </c>
      <c r="C323" s="33" t="s">
        <v>38</v>
      </c>
      <c r="D323" s="33" t="s">
        <v>39</v>
      </c>
      <c r="E323" s="33" t="s">
        <v>981</v>
      </c>
      <c r="F323" s="53">
        <v>45834</v>
      </c>
      <c r="G323" s="33">
        <v>125</v>
      </c>
      <c r="H323" s="53">
        <v>46021</v>
      </c>
      <c r="I323" s="33" t="s">
        <v>21</v>
      </c>
      <c r="J323" s="33" t="s">
        <v>341</v>
      </c>
      <c r="K323" s="33" t="s">
        <v>329</v>
      </c>
      <c r="L323" s="33" t="s">
        <v>330</v>
      </c>
      <c r="M323" s="33"/>
    </row>
    <row r="324" spans="1:13" x14ac:dyDescent="0.35">
      <c r="A324" s="33" t="s">
        <v>327</v>
      </c>
      <c r="B324" s="33" t="s">
        <v>17</v>
      </c>
      <c r="C324" s="33" t="s">
        <v>146</v>
      </c>
      <c r="D324" s="33" t="s">
        <v>147</v>
      </c>
      <c r="E324" s="33" t="s">
        <v>976</v>
      </c>
      <c r="F324" s="53">
        <v>45834</v>
      </c>
      <c r="G324" s="33">
        <v>125</v>
      </c>
      <c r="H324" s="53">
        <v>46021</v>
      </c>
      <c r="I324" s="33" t="s">
        <v>21</v>
      </c>
      <c r="J324" s="33" t="s">
        <v>336</v>
      </c>
      <c r="K324" s="33" t="s">
        <v>338</v>
      </c>
      <c r="L324" s="33" t="s">
        <v>330</v>
      </c>
      <c r="M324" s="33"/>
    </row>
    <row r="325" spans="1:13" x14ac:dyDescent="0.35">
      <c r="A325" s="33" t="s">
        <v>327</v>
      </c>
      <c r="B325" s="33" t="s">
        <v>17</v>
      </c>
      <c r="C325" s="33" t="s">
        <v>43</v>
      </c>
      <c r="D325" s="33" t="s">
        <v>44</v>
      </c>
      <c r="E325" s="33" t="s">
        <v>977</v>
      </c>
      <c r="F325" s="53">
        <v>45834</v>
      </c>
      <c r="G325" s="33">
        <v>125</v>
      </c>
      <c r="H325" s="53">
        <v>46021</v>
      </c>
      <c r="I325" s="33" t="s">
        <v>21</v>
      </c>
      <c r="J325" s="33" t="s">
        <v>345</v>
      </c>
      <c r="K325" s="33" t="s">
        <v>338</v>
      </c>
      <c r="L325" s="33" t="s">
        <v>330</v>
      </c>
      <c r="M325" s="33"/>
    </row>
    <row r="326" spans="1:13" x14ac:dyDescent="0.35">
      <c r="A326" s="33" t="s">
        <v>327</v>
      </c>
      <c r="B326" s="33" t="s">
        <v>17</v>
      </c>
      <c r="C326" s="33" t="s">
        <v>43</v>
      </c>
      <c r="D326" s="33" t="s">
        <v>44</v>
      </c>
      <c r="E326" s="33" t="s">
        <v>978</v>
      </c>
      <c r="F326" s="53">
        <v>45834</v>
      </c>
      <c r="G326" s="33">
        <v>125</v>
      </c>
      <c r="H326" s="53">
        <v>46021</v>
      </c>
      <c r="I326" s="33" t="s">
        <v>21</v>
      </c>
      <c r="J326" s="33" t="s">
        <v>345</v>
      </c>
      <c r="K326" s="33" t="s">
        <v>338</v>
      </c>
      <c r="L326" s="33" t="s">
        <v>330</v>
      </c>
      <c r="M326" s="33"/>
    </row>
    <row r="327" spans="1:13" x14ac:dyDescent="0.35">
      <c r="A327" s="33" t="s">
        <v>327</v>
      </c>
      <c r="B327" s="33" t="s">
        <v>17</v>
      </c>
      <c r="C327" s="33" t="s">
        <v>43</v>
      </c>
      <c r="D327" s="33" t="s">
        <v>44</v>
      </c>
      <c r="E327" s="33" t="s">
        <v>979</v>
      </c>
      <c r="F327" s="53">
        <v>45834</v>
      </c>
      <c r="G327" s="33">
        <v>125</v>
      </c>
      <c r="H327" s="53">
        <v>46021</v>
      </c>
      <c r="I327" s="33" t="s">
        <v>21</v>
      </c>
      <c r="J327" s="33" t="s">
        <v>345</v>
      </c>
      <c r="K327" s="33" t="s">
        <v>338</v>
      </c>
      <c r="L327" s="33" t="s">
        <v>330</v>
      </c>
      <c r="M327" s="33"/>
    </row>
    <row r="328" spans="1:13" x14ac:dyDescent="0.35">
      <c r="A328" s="33" t="s">
        <v>327</v>
      </c>
      <c r="B328" s="33" t="s">
        <v>17</v>
      </c>
      <c r="C328" s="33" t="s">
        <v>43</v>
      </c>
      <c r="D328" s="33" t="s">
        <v>44</v>
      </c>
      <c r="E328" s="33" t="s">
        <v>980</v>
      </c>
      <c r="F328" s="53">
        <v>45834</v>
      </c>
      <c r="G328" s="33">
        <v>125</v>
      </c>
      <c r="H328" s="53">
        <v>46021</v>
      </c>
      <c r="I328" s="33" t="s">
        <v>21</v>
      </c>
      <c r="J328" s="33" t="s">
        <v>345</v>
      </c>
      <c r="K328" s="33" t="s">
        <v>338</v>
      </c>
      <c r="L328" s="33" t="s">
        <v>330</v>
      </c>
      <c r="M328" s="33"/>
    </row>
    <row r="329" spans="1:13" x14ac:dyDescent="0.35">
      <c r="A329" s="33" t="s">
        <v>327</v>
      </c>
      <c r="B329" s="33" t="s">
        <v>17</v>
      </c>
      <c r="C329" s="33" t="s">
        <v>982</v>
      </c>
      <c r="D329" s="33" t="s">
        <v>983</v>
      </c>
      <c r="E329" s="33" t="s">
        <v>984</v>
      </c>
      <c r="F329" s="53">
        <v>45834</v>
      </c>
      <c r="G329" s="33">
        <v>125</v>
      </c>
      <c r="H329" s="53">
        <v>46021</v>
      </c>
      <c r="I329" s="33" t="s">
        <v>21</v>
      </c>
      <c r="J329" s="33" t="s">
        <v>333</v>
      </c>
      <c r="K329" s="33" t="s">
        <v>338</v>
      </c>
      <c r="L329" s="33" t="s">
        <v>330</v>
      </c>
      <c r="M329" s="33"/>
    </row>
    <row r="330" spans="1:13" x14ac:dyDescent="0.35">
      <c r="A330" s="33" t="s">
        <v>327</v>
      </c>
      <c r="B330" s="33" t="s">
        <v>17</v>
      </c>
      <c r="C330" s="33" t="s">
        <v>1080</v>
      </c>
      <c r="D330" s="33" t="s">
        <v>1081</v>
      </c>
      <c r="E330" s="33" t="s">
        <v>1082</v>
      </c>
      <c r="F330" s="53">
        <v>45834</v>
      </c>
      <c r="G330" s="33">
        <v>125</v>
      </c>
      <c r="H330" s="53">
        <v>46021</v>
      </c>
      <c r="I330" s="33" t="s">
        <v>21</v>
      </c>
      <c r="J330" s="33" t="s">
        <v>341</v>
      </c>
      <c r="K330" s="33" t="s">
        <v>329</v>
      </c>
      <c r="L330" s="33" t="s">
        <v>330</v>
      </c>
      <c r="M330" s="33"/>
    </row>
    <row r="331" spans="1:13" x14ac:dyDescent="0.35">
      <c r="A331" s="33" t="s">
        <v>327</v>
      </c>
      <c r="B331" s="33" t="s">
        <v>17</v>
      </c>
      <c r="C331" s="33" t="s">
        <v>1077</v>
      </c>
      <c r="D331" s="33" t="s">
        <v>1078</v>
      </c>
      <c r="E331" s="33" t="s">
        <v>1079</v>
      </c>
      <c r="F331" s="53">
        <v>45834</v>
      </c>
      <c r="G331" s="33">
        <v>125</v>
      </c>
      <c r="H331" s="53">
        <v>46021</v>
      </c>
      <c r="I331" s="33" t="s">
        <v>21</v>
      </c>
      <c r="J331" s="33" t="s">
        <v>342</v>
      </c>
      <c r="K331" s="33" t="s">
        <v>329</v>
      </c>
      <c r="L331" s="33" t="s">
        <v>330</v>
      </c>
      <c r="M331" s="33"/>
    </row>
    <row r="332" spans="1:13" x14ac:dyDescent="0.35">
      <c r="A332" s="33" t="s">
        <v>327</v>
      </c>
      <c r="B332" s="33" t="s">
        <v>17</v>
      </c>
      <c r="C332" s="33" t="s">
        <v>1344</v>
      </c>
      <c r="D332" s="33" t="s">
        <v>1345</v>
      </c>
      <c r="E332" s="33" t="s">
        <v>1347</v>
      </c>
      <c r="F332" s="53">
        <v>45834</v>
      </c>
      <c r="G332" s="33">
        <v>125</v>
      </c>
      <c r="H332" s="53">
        <v>46021</v>
      </c>
      <c r="I332" s="33" t="s">
        <v>21</v>
      </c>
      <c r="J332" s="33" t="s">
        <v>345</v>
      </c>
      <c r="K332" s="33" t="s">
        <v>338</v>
      </c>
      <c r="L332" s="33" t="s">
        <v>330</v>
      </c>
      <c r="M332" s="33"/>
    </row>
    <row r="333" spans="1:13" x14ac:dyDescent="0.35">
      <c r="A333" s="33" t="s">
        <v>327</v>
      </c>
      <c r="B333" s="33" t="s">
        <v>17</v>
      </c>
      <c r="C333" s="33" t="s">
        <v>1056</v>
      </c>
      <c r="D333" s="33" t="s">
        <v>1057</v>
      </c>
      <c r="E333" s="33" t="s">
        <v>1084</v>
      </c>
      <c r="F333" s="53">
        <v>45835</v>
      </c>
      <c r="G333" s="33">
        <v>125</v>
      </c>
      <c r="H333" s="53">
        <v>46022</v>
      </c>
      <c r="I333" s="33" t="s">
        <v>21</v>
      </c>
      <c r="J333" s="33" t="s">
        <v>331</v>
      </c>
      <c r="K333" s="33" t="s">
        <v>329</v>
      </c>
      <c r="L333" s="33" t="s">
        <v>330</v>
      </c>
      <c r="M333" s="33"/>
    </row>
    <row r="334" spans="1:13" x14ac:dyDescent="0.35">
      <c r="A334" s="33" t="s">
        <v>327</v>
      </c>
      <c r="B334" s="33" t="s">
        <v>17</v>
      </c>
      <c r="C334" s="33" t="s">
        <v>1089</v>
      </c>
      <c r="D334" s="33" t="s">
        <v>1090</v>
      </c>
      <c r="E334" s="33" t="s">
        <v>1091</v>
      </c>
      <c r="F334" s="53">
        <v>45835</v>
      </c>
      <c r="G334" s="33">
        <v>125</v>
      </c>
      <c r="H334" s="53">
        <v>46022</v>
      </c>
      <c r="I334" s="33" t="s">
        <v>21</v>
      </c>
      <c r="J334" s="33" t="s">
        <v>343</v>
      </c>
      <c r="K334" s="33" t="s">
        <v>338</v>
      </c>
      <c r="L334" s="33" t="s">
        <v>330</v>
      </c>
      <c r="M334" s="33"/>
    </row>
    <row r="335" spans="1:13" x14ac:dyDescent="0.35">
      <c r="A335" s="33" t="s">
        <v>327</v>
      </c>
      <c r="B335" s="33" t="s">
        <v>17</v>
      </c>
      <c r="C335" s="33" t="s">
        <v>1086</v>
      </c>
      <c r="D335" s="33" t="s">
        <v>1087</v>
      </c>
      <c r="E335" s="33" t="s">
        <v>1088</v>
      </c>
      <c r="F335" s="53">
        <v>45835</v>
      </c>
      <c r="G335" s="33">
        <v>125</v>
      </c>
      <c r="H335" s="53">
        <v>46022</v>
      </c>
      <c r="I335" s="33" t="s">
        <v>21</v>
      </c>
      <c r="J335" s="33" t="s">
        <v>328</v>
      </c>
      <c r="K335" s="33" t="s">
        <v>329</v>
      </c>
      <c r="L335" s="33" t="s">
        <v>330</v>
      </c>
      <c r="M335" s="33"/>
    </row>
    <row r="336" spans="1:13" x14ac:dyDescent="0.35">
      <c r="A336" s="33" t="s">
        <v>327</v>
      </c>
      <c r="B336" s="33" t="s">
        <v>17</v>
      </c>
      <c r="C336" s="33" t="s">
        <v>1080</v>
      </c>
      <c r="D336" s="33" t="s">
        <v>1081</v>
      </c>
      <c r="E336" s="33" t="s">
        <v>1085</v>
      </c>
      <c r="F336" s="53">
        <v>45835</v>
      </c>
      <c r="G336" s="33">
        <v>125</v>
      </c>
      <c r="H336" s="53">
        <v>46022</v>
      </c>
      <c r="I336" s="33" t="s">
        <v>21</v>
      </c>
      <c r="J336" s="33" t="s">
        <v>341</v>
      </c>
      <c r="K336" s="33" t="s">
        <v>329</v>
      </c>
      <c r="L336" s="33" t="s">
        <v>330</v>
      </c>
      <c r="M336" s="33"/>
    </row>
    <row r="337" spans="1:13" x14ac:dyDescent="0.35">
      <c r="A337" s="33" t="s">
        <v>327</v>
      </c>
      <c r="B337" s="33" t="s">
        <v>17</v>
      </c>
      <c r="C337" s="33" t="s">
        <v>1089</v>
      </c>
      <c r="D337" s="33" t="s">
        <v>1090</v>
      </c>
      <c r="E337" s="33" t="s">
        <v>1092</v>
      </c>
      <c r="F337" s="53">
        <v>45835</v>
      </c>
      <c r="G337" s="33">
        <v>125</v>
      </c>
      <c r="H337" s="53">
        <v>46022</v>
      </c>
      <c r="I337" s="33" t="s">
        <v>21</v>
      </c>
      <c r="J337" s="33" t="s">
        <v>343</v>
      </c>
      <c r="K337" s="33" t="s">
        <v>338</v>
      </c>
      <c r="L337" s="33" t="s">
        <v>330</v>
      </c>
      <c r="M337" s="33"/>
    </row>
    <row r="338" spans="1:13" x14ac:dyDescent="0.35">
      <c r="A338" s="33" t="s">
        <v>327</v>
      </c>
      <c r="B338" s="33" t="s">
        <v>17</v>
      </c>
      <c r="C338" s="33" t="s">
        <v>1104</v>
      </c>
      <c r="D338" s="33" t="s">
        <v>1105</v>
      </c>
      <c r="E338" s="33" t="s">
        <v>1106</v>
      </c>
      <c r="F338" s="53">
        <v>45838</v>
      </c>
      <c r="G338" s="33">
        <v>125</v>
      </c>
      <c r="H338" s="53">
        <v>46023</v>
      </c>
      <c r="I338" s="33" t="s">
        <v>21</v>
      </c>
      <c r="J338" s="33" t="s">
        <v>332</v>
      </c>
      <c r="K338" s="33" t="s">
        <v>329</v>
      </c>
      <c r="L338" s="33" t="s">
        <v>330</v>
      </c>
      <c r="M338" s="33"/>
    </row>
    <row r="339" spans="1:13" x14ac:dyDescent="0.35">
      <c r="A339" s="33" t="s">
        <v>327</v>
      </c>
      <c r="B339" s="33" t="s">
        <v>17</v>
      </c>
      <c r="C339" s="33" t="s">
        <v>1096</v>
      </c>
      <c r="D339" s="33" t="s">
        <v>1097</v>
      </c>
      <c r="E339" s="33" t="s">
        <v>1098</v>
      </c>
      <c r="F339" s="53">
        <v>45838</v>
      </c>
      <c r="G339" s="33">
        <v>125</v>
      </c>
      <c r="H339" s="53">
        <v>46023</v>
      </c>
      <c r="I339" s="33" t="s">
        <v>21</v>
      </c>
      <c r="J339" s="33" t="s">
        <v>342</v>
      </c>
      <c r="K339" s="33" t="s">
        <v>329</v>
      </c>
      <c r="L339" s="33" t="s">
        <v>330</v>
      </c>
      <c r="M339" s="33"/>
    </row>
    <row r="340" spans="1:13" x14ac:dyDescent="0.35">
      <c r="A340" s="33" t="s">
        <v>327</v>
      </c>
      <c r="B340" s="33" t="s">
        <v>17</v>
      </c>
      <c r="C340" s="33" t="s">
        <v>1099</v>
      </c>
      <c r="D340" s="33" t="s">
        <v>1100</v>
      </c>
      <c r="E340" s="33" t="s">
        <v>1101</v>
      </c>
      <c r="F340" s="53">
        <v>45838</v>
      </c>
      <c r="G340" s="33">
        <v>125</v>
      </c>
      <c r="H340" s="53">
        <v>46023</v>
      </c>
      <c r="I340" s="33" t="s">
        <v>21</v>
      </c>
      <c r="J340" s="33" t="s">
        <v>341</v>
      </c>
      <c r="K340" s="33" t="s">
        <v>329</v>
      </c>
      <c r="L340" s="33" t="s">
        <v>330</v>
      </c>
      <c r="M340" s="33"/>
    </row>
    <row r="341" spans="1:13" x14ac:dyDescent="0.35">
      <c r="A341" s="33" t="s">
        <v>327</v>
      </c>
      <c r="B341" s="33" t="s">
        <v>17</v>
      </c>
      <c r="C341" s="33" t="s">
        <v>1074</v>
      </c>
      <c r="D341" s="33" t="s">
        <v>1075</v>
      </c>
      <c r="E341" s="33" t="s">
        <v>1102</v>
      </c>
      <c r="F341" s="53">
        <v>45838</v>
      </c>
      <c r="G341" s="33">
        <v>125</v>
      </c>
      <c r="H341" s="53">
        <v>46023</v>
      </c>
      <c r="I341" s="33" t="s">
        <v>21</v>
      </c>
      <c r="J341" s="33" t="s">
        <v>331</v>
      </c>
      <c r="K341" s="33" t="s">
        <v>329</v>
      </c>
      <c r="L341" s="33" t="s">
        <v>330</v>
      </c>
      <c r="M341" s="33"/>
    </row>
    <row r="342" spans="1:13" x14ac:dyDescent="0.35">
      <c r="A342" s="33" t="s">
        <v>327</v>
      </c>
      <c r="B342" s="33" t="s">
        <v>173</v>
      </c>
      <c r="C342" s="33" t="s">
        <v>1348</v>
      </c>
      <c r="D342" s="33" t="s">
        <v>1349</v>
      </c>
      <c r="E342" s="33" t="s">
        <v>1350</v>
      </c>
      <c r="F342" s="53">
        <v>45838</v>
      </c>
      <c r="G342" s="33">
        <v>125</v>
      </c>
      <c r="H342" s="53">
        <v>46023</v>
      </c>
      <c r="I342" s="33" t="s">
        <v>21</v>
      </c>
      <c r="J342" s="33" t="s">
        <v>339</v>
      </c>
      <c r="K342" s="33" t="s">
        <v>338</v>
      </c>
      <c r="L342" s="33" t="s">
        <v>330</v>
      </c>
      <c r="M342" s="33"/>
    </row>
    <row r="343" spans="1:13" x14ac:dyDescent="0.35">
      <c r="A343" s="33" t="s">
        <v>327</v>
      </c>
      <c r="B343" s="33" t="s">
        <v>173</v>
      </c>
      <c r="C343" s="33" t="s">
        <v>1348</v>
      </c>
      <c r="D343" s="33" t="s">
        <v>1351</v>
      </c>
      <c r="E343" s="33" t="s">
        <v>1352</v>
      </c>
      <c r="F343" s="53">
        <v>45838</v>
      </c>
      <c r="G343" s="33">
        <v>125</v>
      </c>
      <c r="H343" s="53">
        <v>46023</v>
      </c>
      <c r="I343" s="33" t="s">
        <v>21</v>
      </c>
      <c r="J343" s="33" t="s">
        <v>336</v>
      </c>
      <c r="K343" s="33" t="s">
        <v>338</v>
      </c>
      <c r="L343" s="33" t="s">
        <v>330</v>
      </c>
      <c r="M343" s="33"/>
    </row>
    <row r="344" spans="1:13" x14ac:dyDescent="0.35">
      <c r="A344" s="33" t="s">
        <v>327</v>
      </c>
      <c r="B344" s="33" t="s">
        <v>17</v>
      </c>
      <c r="C344" s="33" t="s">
        <v>302</v>
      </c>
      <c r="D344" s="33" t="s">
        <v>303</v>
      </c>
      <c r="E344" s="33" t="s">
        <v>1114</v>
      </c>
      <c r="F344" s="53">
        <v>45838</v>
      </c>
      <c r="G344" s="33">
        <v>125</v>
      </c>
      <c r="H344" s="53">
        <v>46023</v>
      </c>
      <c r="I344" s="33" t="s">
        <v>21</v>
      </c>
      <c r="J344" s="33" t="s">
        <v>336</v>
      </c>
      <c r="K344" s="33" t="s">
        <v>338</v>
      </c>
      <c r="L344" s="33" t="s">
        <v>330</v>
      </c>
      <c r="M344" s="33"/>
    </row>
    <row r="345" spans="1:13" x14ac:dyDescent="0.35">
      <c r="A345" s="33" t="s">
        <v>327</v>
      </c>
      <c r="B345" s="33" t="s">
        <v>17</v>
      </c>
      <c r="C345" s="33" t="s">
        <v>1353</v>
      </c>
      <c r="D345" s="33" t="s">
        <v>1354</v>
      </c>
      <c r="E345" s="33" t="s">
        <v>1355</v>
      </c>
      <c r="F345" s="53">
        <v>45838</v>
      </c>
      <c r="G345" s="33">
        <v>125</v>
      </c>
      <c r="H345" s="53">
        <v>46023</v>
      </c>
      <c r="I345" s="33" t="s">
        <v>21</v>
      </c>
      <c r="J345" s="33" t="s">
        <v>338</v>
      </c>
      <c r="K345" s="33" t="s">
        <v>338</v>
      </c>
      <c r="L345" s="33" t="s">
        <v>330</v>
      </c>
      <c r="M345" s="33"/>
    </row>
    <row r="346" spans="1:13" x14ac:dyDescent="0.35">
      <c r="A346" s="33" t="s">
        <v>327</v>
      </c>
      <c r="B346" s="33" t="s">
        <v>17</v>
      </c>
      <c r="C346" s="33" t="s">
        <v>1108</v>
      </c>
      <c r="D346" s="33" t="s">
        <v>1109</v>
      </c>
      <c r="E346" s="33" t="s">
        <v>1110</v>
      </c>
      <c r="F346" s="53">
        <v>45838</v>
      </c>
      <c r="G346" s="33">
        <v>125</v>
      </c>
      <c r="H346" s="53">
        <v>46023</v>
      </c>
      <c r="I346" s="33" t="s">
        <v>21</v>
      </c>
      <c r="J346" s="33" t="s">
        <v>343</v>
      </c>
      <c r="K346" s="33" t="s">
        <v>338</v>
      </c>
      <c r="L346" s="33" t="s">
        <v>330</v>
      </c>
      <c r="M346" s="33"/>
    </row>
    <row r="347" spans="1:13" x14ac:dyDescent="0.35">
      <c r="A347" s="33" t="s">
        <v>327</v>
      </c>
      <c r="B347" s="33" t="s">
        <v>17</v>
      </c>
      <c r="C347" s="33" t="s">
        <v>439</v>
      </c>
      <c r="D347" s="33" t="s">
        <v>440</v>
      </c>
      <c r="E347" s="33" t="s">
        <v>1103</v>
      </c>
      <c r="F347" s="53">
        <v>45838</v>
      </c>
      <c r="G347" s="33">
        <v>125</v>
      </c>
      <c r="H347" s="53">
        <v>46023</v>
      </c>
      <c r="I347" s="33" t="s">
        <v>21</v>
      </c>
      <c r="J347" s="33" t="s">
        <v>341</v>
      </c>
      <c r="K347" s="33" t="s">
        <v>329</v>
      </c>
      <c r="L347" s="33" t="s">
        <v>330</v>
      </c>
      <c r="M347" s="33"/>
    </row>
    <row r="348" spans="1:13" x14ac:dyDescent="0.35">
      <c r="A348" s="33" t="s">
        <v>327</v>
      </c>
      <c r="B348" s="33" t="s">
        <v>17</v>
      </c>
      <c r="C348" s="33" t="s">
        <v>1093</v>
      </c>
      <c r="D348" s="33" t="s">
        <v>1094</v>
      </c>
      <c r="E348" s="33" t="s">
        <v>1095</v>
      </c>
      <c r="F348" s="53">
        <v>45838</v>
      </c>
      <c r="G348" s="33">
        <v>125</v>
      </c>
      <c r="H348" s="53">
        <v>46023</v>
      </c>
      <c r="I348" s="33" t="s">
        <v>21</v>
      </c>
      <c r="J348" s="33" t="s">
        <v>341</v>
      </c>
      <c r="K348" s="33" t="s">
        <v>329</v>
      </c>
      <c r="L348" s="33" t="s">
        <v>330</v>
      </c>
      <c r="M348" s="33"/>
    </row>
    <row r="349" spans="1:13" x14ac:dyDescent="0.35">
      <c r="A349" s="33" t="s">
        <v>327</v>
      </c>
      <c r="B349" s="33" t="s">
        <v>17</v>
      </c>
      <c r="C349" s="33" t="s">
        <v>132</v>
      </c>
      <c r="D349" s="33" t="s">
        <v>133</v>
      </c>
      <c r="E349" s="33" t="s">
        <v>1107</v>
      </c>
      <c r="F349" s="53">
        <v>45838</v>
      </c>
      <c r="G349" s="33">
        <v>125</v>
      </c>
      <c r="H349" s="53">
        <v>46023</v>
      </c>
      <c r="I349" s="33" t="s">
        <v>21</v>
      </c>
      <c r="J349" s="33" t="s">
        <v>328</v>
      </c>
      <c r="K349" s="33" t="s">
        <v>329</v>
      </c>
      <c r="L349" s="33" t="s">
        <v>330</v>
      </c>
      <c r="M349" s="33"/>
    </row>
    <row r="350" spans="1:13" x14ac:dyDescent="0.35">
      <c r="A350" s="33" t="s">
        <v>327</v>
      </c>
      <c r="B350" s="33" t="s">
        <v>17</v>
      </c>
      <c r="C350" s="33" t="s">
        <v>1115</v>
      </c>
      <c r="D350" s="33" t="s">
        <v>1116</v>
      </c>
      <c r="E350" s="33" t="s">
        <v>1117</v>
      </c>
      <c r="F350" s="53">
        <v>45839</v>
      </c>
      <c r="G350" s="33">
        <v>125</v>
      </c>
      <c r="H350" s="53">
        <v>46024</v>
      </c>
      <c r="I350" s="33" t="s">
        <v>21</v>
      </c>
      <c r="J350" s="33" t="s">
        <v>340</v>
      </c>
      <c r="K350" s="33" t="s">
        <v>329</v>
      </c>
      <c r="L350" s="33" t="s">
        <v>330</v>
      </c>
      <c r="M350" s="33"/>
    </row>
    <row r="351" spans="1:13" x14ac:dyDescent="0.35">
      <c r="A351" s="33" t="s">
        <v>327</v>
      </c>
      <c r="B351" s="33" t="s">
        <v>17</v>
      </c>
      <c r="C351" s="33" t="s">
        <v>1118</v>
      </c>
      <c r="D351" s="33" t="s">
        <v>1119</v>
      </c>
      <c r="E351" s="33" t="s">
        <v>1120</v>
      </c>
      <c r="F351" s="53">
        <v>45839</v>
      </c>
      <c r="G351" s="33">
        <v>125</v>
      </c>
      <c r="H351" s="53">
        <v>46024</v>
      </c>
      <c r="I351" s="33" t="s">
        <v>21</v>
      </c>
      <c r="J351" s="33" t="s">
        <v>342</v>
      </c>
      <c r="K351" s="33" t="s">
        <v>329</v>
      </c>
      <c r="L351" s="33" t="s">
        <v>330</v>
      </c>
      <c r="M351" s="33"/>
    </row>
    <row r="352" spans="1:13" x14ac:dyDescent="0.35">
      <c r="A352" s="33" t="s">
        <v>327</v>
      </c>
      <c r="B352" s="33" t="s">
        <v>17</v>
      </c>
      <c r="C352" s="33" t="s">
        <v>1115</v>
      </c>
      <c r="D352" s="33" t="s">
        <v>1116</v>
      </c>
      <c r="E352" s="33" t="s">
        <v>1356</v>
      </c>
      <c r="F352" s="53">
        <v>45839</v>
      </c>
      <c r="G352" s="33">
        <v>125</v>
      </c>
      <c r="H352" s="53">
        <v>46024</v>
      </c>
      <c r="I352" s="33" t="s">
        <v>21</v>
      </c>
      <c r="J352" s="33" t="s">
        <v>340</v>
      </c>
      <c r="K352" s="33" t="s">
        <v>329</v>
      </c>
      <c r="L352" s="33" t="s">
        <v>330</v>
      </c>
      <c r="M352" s="33"/>
    </row>
    <row r="353" spans="1:13" x14ac:dyDescent="0.35">
      <c r="A353" s="33" t="s">
        <v>327</v>
      </c>
      <c r="B353" s="33" t="s">
        <v>17</v>
      </c>
      <c r="C353" s="33" t="s">
        <v>161</v>
      </c>
      <c r="D353" s="33" t="s">
        <v>162</v>
      </c>
      <c r="E353" s="33" t="s">
        <v>1122</v>
      </c>
      <c r="F353" s="53">
        <v>45840</v>
      </c>
      <c r="G353" s="33">
        <v>125</v>
      </c>
      <c r="H353" s="53">
        <v>46027</v>
      </c>
      <c r="I353" s="33" t="s">
        <v>21</v>
      </c>
      <c r="J353" s="33" t="s">
        <v>331</v>
      </c>
      <c r="K353" s="33" t="s">
        <v>329</v>
      </c>
      <c r="L353" s="33" t="s">
        <v>330</v>
      </c>
      <c r="M353" s="33"/>
    </row>
    <row r="354" spans="1:13" x14ac:dyDescent="0.35">
      <c r="A354" s="33" t="s">
        <v>327</v>
      </c>
      <c r="B354" s="33" t="s">
        <v>17</v>
      </c>
      <c r="C354" s="33" t="s">
        <v>161</v>
      </c>
      <c r="D354" s="33" t="s">
        <v>162</v>
      </c>
      <c r="E354" s="33" t="s">
        <v>1121</v>
      </c>
      <c r="F354" s="53">
        <v>45840</v>
      </c>
      <c r="G354" s="33">
        <v>125</v>
      </c>
      <c r="H354" s="53">
        <v>46027</v>
      </c>
      <c r="I354" s="33" t="s">
        <v>21</v>
      </c>
      <c r="J354" s="33" t="s">
        <v>331</v>
      </c>
      <c r="K354" s="33" t="s">
        <v>329</v>
      </c>
      <c r="L354" s="33" t="s">
        <v>330</v>
      </c>
      <c r="M354" s="33"/>
    </row>
    <row r="355" spans="1:13" x14ac:dyDescent="0.35">
      <c r="A355" s="33" t="s">
        <v>327</v>
      </c>
      <c r="B355" s="33" t="s">
        <v>17</v>
      </c>
      <c r="C355" s="33" t="s">
        <v>1126</v>
      </c>
      <c r="D355" s="33" t="s">
        <v>1127</v>
      </c>
      <c r="E355" s="33" t="s">
        <v>1128</v>
      </c>
      <c r="F355" s="53">
        <v>45840</v>
      </c>
      <c r="G355" s="33">
        <v>125</v>
      </c>
      <c r="H355" s="53">
        <v>46027</v>
      </c>
      <c r="I355" s="33" t="s">
        <v>21</v>
      </c>
      <c r="J355" s="33" t="s">
        <v>343</v>
      </c>
      <c r="K355" s="33" t="s">
        <v>338</v>
      </c>
      <c r="L355" s="33" t="s">
        <v>330</v>
      </c>
      <c r="M355" s="33"/>
    </row>
    <row r="356" spans="1:13" x14ac:dyDescent="0.35">
      <c r="A356" s="33" t="s">
        <v>327</v>
      </c>
      <c r="B356" s="33" t="s">
        <v>17</v>
      </c>
      <c r="C356" s="33" t="s">
        <v>1123</v>
      </c>
      <c r="D356" s="33" t="s">
        <v>1124</v>
      </c>
      <c r="E356" s="33" t="s">
        <v>1125</v>
      </c>
      <c r="F356" s="53">
        <v>45840</v>
      </c>
      <c r="G356" s="33">
        <v>125</v>
      </c>
      <c r="H356" s="53">
        <v>46027</v>
      </c>
      <c r="I356" s="33" t="s">
        <v>21</v>
      </c>
      <c r="J356" s="33" t="s">
        <v>332</v>
      </c>
      <c r="K356" s="33" t="s">
        <v>329</v>
      </c>
      <c r="L356" s="33" t="s">
        <v>330</v>
      </c>
      <c r="M356" s="33"/>
    </row>
    <row r="357" spans="1:13" x14ac:dyDescent="0.35">
      <c r="A357" s="33" t="s">
        <v>327</v>
      </c>
      <c r="B357" s="33" t="s">
        <v>17</v>
      </c>
      <c r="C357" s="33" t="s">
        <v>1132</v>
      </c>
      <c r="D357" s="33" t="s">
        <v>1133</v>
      </c>
      <c r="E357" s="33" t="s">
        <v>1134</v>
      </c>
      <c r="F357" s="53">
        <v>45841</v>
      </c>
      <c r="G357" s="33">
        <v>125</v>
      </c>
      <c r="H357" s="53">
        <v>46028</v>
      </c>
      <c r="I357" s="33" t="s">
        <v>21</v>
      </c>
      <c r="J357" s="33" t="s">
        <v>342</v>
      </c>
      <c r="K357" s="33" t="s">
        <v>329</v>
      </c>
      <c r="L357" s="33" t="s">
        <v>330</v>
      </c>
      <c r="M357" s="33"/>
    </row>
    <row r="358" spans="1:13" x14ac:dyDescent="0.35">
      <c r="A358" s="33" t="s">
        <v>327</v>
      </c>
      <c r="B358" s="33" t="s">
        <v>17</v>
      </c>
      <c r="C358" s="33" t="s">
        <v>1129</v>
      </c>
      <c r="D358" s="33" t="s">
        <v>1130</v>
      </c>
      <c r="E358" s="33" t="s">
        <v>1131</v>
      </c>
      <c r="F358" s="53">
        <v>45841</v>
      </c>
      <c r="G358" s="33">
        <v>125</v>
      </c>
      <c r="H358" s="53">
        <v>46028</v>
      </c>
      <c r="I358" s="33" t="s">
        <v>21</v>
      </c>
      <c r="J358" s="33" t="s">
        <v>341</v>
      </c>
      <c r="K358" s="33" t="s">
        <v>329</v>
      </c>
      <c r="L358" s="33" t="s">
        <v>330</v>
      </c>
      <c r="M358" s="33"/>
    </row>
    <row r="359" spans="1:13" x14ac:dyDescent="0.35">
      <c r="A359" s="33" t="s">
        <v>327</v>
      </c>
      <c r="B359" s="33" t="s">
        <v>17</v>
      </c>
      <c r="C359" s="33" t="s">
        <v>1138</v>
      </c>
      <c r="D359" s="33" t="s">
        <v>1139</v>
      </c>
      <c r="E359" s="33" t="s">
        <v>1140</v>
      </c>
      <c r="F359" s="53">
        <v>45842</v>
      </c>
      <c r="G359" s="33">
        <v>125</v>
      </c>
      <c r="H359" s="53">
        <v>46029</v>
      </c>
      <c r="I359" s="33" t="s">
        <v>21</v>
      </c>
      <c r="J359" s="33" t="s">
        <v>332</v>
      </c>
      <c r="K359" s="33" t="s">
        <v>329</v>
      </c>
      <c r="L359" s="33" t="s">
        <v>330</v>
      </c>
      <c r="M359" s="33"/>
    </row>
    <row r="360" spans="1:13" x14ac:dyDescent="0.35">
      <c r="A360" s="33" t="s">
        <v>327</v>
      </c>
      <c r="B360" s="33" t="s">
        <v>17</v>
      </c>
      <c r="C360" s="33" t="s">
        <v>1141</v>
      </c>
      <c r="D360" s="33" t="s">
        <v>1142</v>
      </c>
      <c r="E360" s="33" t="s">
        <v>1143</v>
      </c>
      <c r="F360" s="53">
        <v>45842</v>
      </c>
      <c r="G360" s="33">
        <v>125</v>
      </c>
      <c r="H360" s="53">
        <v>46029</v>
      </c>
      <c r="I360" s="33" t="s">
        <v>21</v>
      </c>
      <c r="J360" s="33" t="s">
        <v>338</v>
      </c>
      <c r="K360" s="33" t="s">
        <v>338</v>
      </c>
      <c r="L360" s="33" t="s">
        <v>330</v>
      </c>
      <c r="M360" s="33"/>
    </row>
    <row r="361" spans="1:13" x14ac:dyDescent="0.35">
      <c r="A361" s="33" t="s">
        <v>327</v>
      </c>
      <c r="B361" s="33" t="s">
        <v>17</v>
      </c>
      <c r="C361" s="33" t="s">
        <v>1144</v>
      </c>
      <c r="D361" s="33" t="s">
        <v>1145</v>
      </c>
      <c r="E361" s="33" t="s">
        <v>1146</v>
      </c>
      <c r="F361" s="53">
        <v>45842</v>
      </c>
      <c r="G361" s="33">
        <v>125</v>
      </c>
      <c r="H361" s="53">
        <v>46029</v>
      </c>
      <c r="I361" s="33" t="s">
        <v>21</v>
      </c>
      <c r="J361" s="33" t="s">
        <v>333</v>
      </c>
      <c r="K361" s="33" t="s">
        <v>338</v>
      </c>
      <c r="L361" s="33" t="s">
        <v>330</v>
      </c>
      <c r="M361" s="33"/>
    </row>
    <row r="362" spans="1:13" x14ac:dyDescent="0.35">
      <c r="A362" s="33" t="s">
        <v>327</v>
      </c>
      <c r="B362" s="33" t="s">
        <v>17</v>
      </c>
      <c r="C362" s="33" t="s">
        <v>1135</v>
      </c>
      <c r="D362" s="33" t="s">
        <v>1136</v>
      </c>
      <c r="E362" s="33" t="s">
        <v>1137</v>
      </c>
      <c r="F362" s="53">
        <v>45842</v>
      </c>
      <c r="G362" s="33">
        <v>125</v>
      </c>
      <c r="H362" s="53">
        <v>46029</v>
      </c>
      <c r="I362" s="33" t="s">
        <v>21</v>
      </c>
      <c r="J362" s="33" t="s">
        <v>340</v>
      </c>
      <c r="K362" s="33" t="s">
        <v>329</v>
      </c>
      <c r="L362" s="33" t="s">
        <v>330</v>
      </c>
      <c r="M362" s="33"/>
    </row>
    <row r="363" spans="1:13" x14ac:dyDescent="0.35">
      <c r="A363" s="33" t="s">
        <v>327</v>
      </c>
      <c r="B363" s="33" t="s">
        <v>17</v>
      </c>
      <c r="C363" s="33" t="s">
        <v>1147</v>
      </c>
      <c r="D363" s="33" t="s">
        <v>1148</v>
      </c>
      <c r="E363" s="33" t="s">
        <v>1149</v>
      </c>
      <c r="F363" s="53">
        <v>45844</v>
      </c>
      <c r="G363" s="33">
        <v>125</v>
      </c>
      <c r="H363" s="53">
        <v>46029</v>
      </c>
      <c r="I363" s="33" t="s">
        <v>21</v>
      </c>
      <c r="J363" s="33" t="s">
        <v>328</v>
      </c>
      <c r="K363" s="33" t="s">
        <v>329</v>
      </c>
      <c r="L363" s="33" t="s">
        <v>330</v>
      </c>
      <c r="M363" s="33"/>
    </row>
    <row r="364" spans="1:13" x14ac:dyDescent="0.35">
      <c r="A364" s="33" t="s">
        <v>327</v>
      </c>
      <c r="B364" s="33" t="s">
        <v>17</v>
      </c>
      <c r="C364" s="33" t="s">
        <v>38</v>
      </c>
      <c r="D364" s="33" t="s">
        <v>39</v>
      </c>
      <c r="E364" s="33" t="s">
        <v>1150</v>
      </c>
      <c r="F364" s="53">
        <v>45845</v>
      </c>
      <c r="G364" s="33">
        <v>125</v>
      </c>
      <c r="H364" s="53">
        <v>46030</v>
      </c>
      <c r="I364" s="33" t="s">
        <v>21</v>
      </c>
      <c r="J364" s="33" t="s">
        <v>341</v>
      </c>
      <c r="K364" s="33" t="s">
        <v>329</v>
      </c>
      <c r="L364" s="33" t="s">
        <v>330</v>
      </c>
      <c r="M364" s="33"/>
    </row>
    <row r="365" spans="1:13" x14ac:dyDescent="0.35">
      <c r="A365" s="33" t="s">
        <v>327</v>
      </c>
      <c r="B365" s="33" t="s">
        <v>17</v>
      </c>
      <c r="C365" s="33" t="s">
        <v>1147</v>
      </c>
      <c r="D365" s="33" t="s">
        <v>1148</v>
      </c>
      <c r="E365" s="33" t="s">
        <v>1151</v>
      </c>
      <c r="F365" s="53">
        <v>45845</v>
      </c>
      <c r="G365" s="33">
        <v>125</v>
      </c>
      <c r="H365" s="53">
        <v>46030</v>
      </c>
      <c r="I365" s="33" t="s">
        <v>21</v>
      </c>
      <c r="J365" s="33" t="s">
        <v>328</v>
      </c>
      <c r="K365" s="33" t="s">
        <v>329</v>
      </c>
      <c r="L365" s="33" t="s">
        <v>330</v>
      </c>
      <c r="M365" s="33"/>
    </row>
    <row r="366" spans="1:13" x14ac:dyDescent="0.35">
      <c r="A366" s="33" t="s">
        <v>327</v>
      </c>
      <c r="B366" s="33" t="s">
        <v>17</v>
      </c>
      <c r="C366" s="33" t="s">
        <v>1164</v>
      </c>
      <c r="D366" s="33" t="s">
        <v>1165</v>
      </c>
      <c r="E366" s="33" t="s">
        <v>1166</v>
      </c>
      <c r="F366" s="53">
        <v>45846</v>
      </c>
      <c r="G366" s="33">
        <v>125</v>
      </c>
      <c r="H366" s="53">
        <v>46031</v>
      </c>
      <c r="I366" s="33" t="s">
        <v>21</v>
      </c>
      <c r="J366" s="33" t="s">
        <v>339</v>
      </c>
      <c r="K366" s="33" t="s">
        <v>338</v>
      </c>
      <c r="L366" s="33" t="s">
        <v>330</v>
      </c>
      <c r="M366" s="33"/>
    </row>
    <row r="367" spans="1:13" x14ac:dyDescent="0.35">
      <c r="A367" s="33" t="s">
        <v>327</v>
      </c>
      <c r="B367" s="33" t="s">
        <v>17</v>
      </c>
      <c r="C367" s="33" t="s">
        <v>1158</v>
      </c>
      <c r="D367" s="33" t="s">
        <v>1159</v>
      </c>
      <c r="E367" s="33" t="s">
        <v>1160</v>
      </c>
      <c r="F367" s="53">
        <v>45846</v>
      </c>
      <c r="G367" s="33">
        <v>125</v>
      </c>
      <c r="H367" s="53">
        <v>46031</v>
      </c>
      <c r="I367" s="33" t="s">
        <v>21</v>
      </c>
      <c r="J367" s="33" t="s">
        <v>331</v>
      </c>
      <c r="K367" s="33" t="s">
        <v>329</v>
      </c>
      <c r="L367" s="33" t="s">
        <v>330</v>
      </c>
      <c r="M367" s="33"/>
    </row>
    <row r="368" spans="1:13" x14ac:dyDescent="0.35">
      <c r="A368" s="33" t="s">
        <v>335</v>
      </c>
      <c r="B368" s="33" t="s">
        <v>17</v>
      </c>
      <c r="C368" s="33" t="s">
        <v>1161</v>
      </c>
      <c r="D368" s="33" t="s">
        <v>1162</v>
      </c>
      <c r="E368" s="33" t="s">
        <v>1163</v>
      </c>
      <c r="F368" s="53">
        <v>45846</v>
      </c>
      <c r="G368" s="33">
        <v>60</v>
      </c>
      <c r="H368" s="53">
        <v>45936</v>
      </c>
      <c r="I368" s="33" t="s">
        <v>21</v>
      </c>
      <c r="J368" s="33" t="s">
        <v>328</v>
      </c>
      <c r="K368" s="33" t="s">
        <v>329</v>
      </c>
      <c r="L368" s="33" t="s">
        <v>330</v>
      </c>
      <c r="M368" s="33"/>
    </row>
    <row r="369" spans="1:13" x14ac:dyDescent="0.35">
      <c r="A369" s="33" t="s">
        <v>327</v>
      </c>
      <c r="B369" s="33" t="s">
        <v>17</v>
      </c>
      <c r="C369" s="33" t="s">
        <v>1357</v>
      </c>
      <c r="D369" s="33" t="s">
        <v>1358</v>
      </c>
      <c r="E369" s="33" t="s">
        <v>1359</v>
      </c>
      <c r="F369" s="53">
        <v>45846</v>
      </c>
      <c r="G369" s="33">
        <v>125</v>
      </c>
      <c r="H369" s="53">
        <v>46031</v>
      </c>
      <c r="I369" s="33" t="s">
        <v>21</v>
      </c>
      <c r="J369" s="33" t="s">
        <v>340</v>
      </c>
      <c r="K369" s="33" t="s">
        <v>329</v>
      </c>
      <c r="L369" s="33" t="s">
        <v>330</v>
      </c>
      <c r="M369" s="33"/>
    </row>
    <row r="370" spans="1:13" x14ac:dyDescent="0.35">
      <c r="A370" s="33" t="s">
        <v>327</v>
      </c>
      <c r="B370" s="33" t="s">
        <v>17</v>
      </c>
      <c r="C370" s="33" t="s">
        <v>1357</v>
      </c>
      <c r="D370" s="33" t="s">
        <v>1358</v>
      </c>
      <c r="E370" s="33" t="s">
        <v>1360</v>
      </c>
      <c r="F370" s="53">
        <v>45846</v>
      </c>
      <c r="G370" s="33">
        <v>125</v>
      </c>
      <c r="H370" s="53">
        <v>46031</v>
      </c>
      <c r="I370" s="33" t="s">
        <v>21</v>
      </c>
      <c r="J370" s="33" t="s">
        <v>340</v>
      </c>
      <c r="K370" s="33" t="s">
        <v>329</v>
      </c>
      <c r="L370" s="33" t="s">
        <v>330</v>
      </c>
      <c r="M370" s="33"/>
    </row>
    <row r="371" spans="1:13" x14ac:dyDescent="0.35">
      <c r="A371" s="33" t="s">
        <v>327</v>
      </c>
      <c r="B371" s="33" t="s">
        <v>17</v>
      </c>
      <c r="C371" s="33" t="s">
        <v>1152</v>
      </c>
      <c r="D371" s="33" t="s">
        <v>1153</v>
      </c>
      <c r="E371" s="33" t="s">
        <v>1154</v>
      </c>
      <c r="F371" s="53">
        <v>45846</v>
      </c>
      <c r="G371" s="33">
        <v>125</v>
      </c>
      <c r="H371" s="53">
        <v>46031</v>
      </c>
      <c r="I371" s="33" t="s">
        <v>21</v>
      </c>
      <c r="J371" s="33" t="s">
        <v>340</v>
      </c>
      <c r="K371" s="33" t="s">
        <v>329</v>
      </c>
      <c r="L371" s="33" t="s">
        <v>330</v>
      </c>
      <c r="M371" s="33"/>
    </row>
    <row r="372" spans="1:13" x14ac:dyDescent="0.35">
      <c r="A372" s="33" t="s">
        <v>327</v>
      </c>
      <c r="B372" s="33" t="s">
        <v>17</v>
      </c>
      <c r="C372" s="33" t="s">
        <v>1155</v>
      </c>
      <c r="D372" s="33" t="s">
        <v>1156</v>
      </c>
      <c r="E372" s="33" t="s">
        <v>1157</v>
      </c>
      <c r="F372" s="53">
        <v>45846</v>
      </c>
      <c r="G372" s="33">
        <v>125</v>
      </c>
      <c r="H372" s="53">
        <v>46031</v>
      </c>
      <c r="I372" s="33" t="s">
        <v>21</v>
      </c>
      <c r="J372" s="33" t="s">
        <v>340</v>
      </c>
      <c r="K372" s="33" t="s">
        <v>329</v>
      </c>
      <c r="L372" s="33" t="s">
        <v>330</v>
      </c>
      <c r="M372" s="33"/>
    </row>
    <row r="373" spans="1:13" x14ac:dyDescent="0.35">
      <c r="A373" s="33" t="s">
        <v>327</v>
      </c>
      <c r="B373" s="33" t="s">
        <v>17</v>
      </c>
      <c r="C373" s="33" t="s">
        <v>1170</v>
      </c>
      <c r="D373" s="33" t="s">
        <v>1171</v>
      </c>
      <c r="E373" s="33" t="s">
        <v>1172</v>
      </c>
      <c r="F373" s="53">
        <v>45847</v>
      </c>
      <c r="G373" s="33">
        <v>125</v>
      </c>
      <c r="H373" s="53">
        <v>46034</v>
      </c>
      <c r="I373" s="33" t="s">
        <v>21</v>
      </c>
      <c r="J373" s="33" t="s">
        <v>336</v>
      </c>
      <c r="K373" s="33" t="s">
        <v>338</v>
      </c>
      <c r="L373" s="33" t="s">
        <v>330</v>
      </c>
      <c r="M373" s="33"/>
    </row>
    <row r="374" spans="1:13" x14ac:dyDescent="0.35">
      <c r="A374" s="33" t="s">
        <v>327</v>
      </c>
      <c r="B374" s="33" t="s">
        <v>17</v>
      </c>
      <c r="C374" s="33" t="s">
        <v>1167</v>
      </c>
      <c r="D374" s="33" t="s">
        <v>1168</v>
      </c>
      <c r="E374" s="33" t="s">
        <v>1169</v>
      </c>
      <c r="F374" s="53">
        <v>45847</v>
      </c>
      <c r="G374" s="33">
        <v>125</v>
      </c>
      <c r="H374" s="53">
        <v>46034</v>
      </c>
      <c r="I374" s="33" t="s">
        <v>21</v>
      </c>
      <c r="J374" s="33" t="s">
        <v>340</v>
      </c>
      <c r="K374" s="33" t="s">
        <v>329</v>
      </c>
      <c r="L374" s="33" t="s">
        <v>330</v>
      </c>
      <c r="M374" s="33"/>
    </row>
    <row r="375" spans="1:13" x14ac:dyDescent="0.35">
      <c r="A375" s="33" t="s">
        <v>327</v>
      </c>
      <c r="B375" s="33" t="s">
        <v>17</v>
      </c>
      <c r="C375" s="33" t="s">
        <v>1179</v>
      </c>
      <c r="D375" s="33" t="s">
        <v>1180</v>
      </c>
      <c r="E375" s="33" t="s">
        <v>1181</v>
      </c>
      <c r="F375" s="53">
        <v>45848</v>
      </c>
      <c r="G375" s="33">
        <v>125</v>
      </c>
      <c r="H375" s="53">
        <v>46035</v>
      </c>
      <c r="I375" s="33" t="s">
        <v>21</v>
      </c>
      <c r="J375" s="33" t="s">
        <v>328</v>
      </c>
      <c r="K375" s="33" t="s">
        <v>329</v>
      </c>
      <c r="L375" s="33" t="s">
        <v>330</v>
      </c>
      <c r="M375" s="33"/>
    </row>
    <row r="376" spans="1:13" x14ac:dyDescent="0.35">
      <c r="A376" s="33" t="s">
        <v>327</v>
      </c>
      <c r="B376" s="33" t="s">
        <v>17</v>
      </c>
      <c r="C376" s="33" t="s">
        <v>134</v>
      </c>
      <c r="D376" s="33" t="s">
        <v>135</v>
      </c>
      <c r="E376" s="33" t="s">
        <v>1182</v>
      </c>
      <c r="F376" s="53">
        <v>45848</v>
      </c>
      <c r="G376" s="33">
        <v>125</v>
      </c>
      <c r="H376" s="53">
        <v>46035</v>
      </c>
      <c r="I376" s="33" t="s">
        <v>21</v>
      </c>
      <c r="J376" s="33" t="s">
        <v>339</v>
      </c>
      <c r="K376" s="33" t="s">
        <v>338</v>
      </c>
      <c r="L376" s="33" t="s">
        <v>330</v>
      </c>
      <c r="M376" s="33"/>
    </row>
    <row r="377" spans="1:13" x14ac:dyDescent="0.35">
      <c r="A377" s="33" t="s">
        <v>327</v>
      </c>
      <c r="B377" s="33" t="s">
        <v>17</v>
      </c>
      <c r="C377" s="33" t="s">
        <v>1173</v>
      </c>
      <c r="D377" s="33" t="s">
        <v>1174</v>
      </c>
      <c r="E377" s="33" t="s">
        <v>1175</v>
      </c>
      <c r="F377" s="53">
        <v>45848</v>
      </c>
      <c r="G377" s="33">
        <v>125</v>
      </c>
      <c r="H377" s="53">
        <v>46035</v>
      </c>
      <c r="I377" s="33" t="s">
        <v>21</v>
      </c>
      <c r="J377" s="33" t="s">
        <v>328</v>
      </c>
      <c r="K377" s="33" t="s">
        <v>329</v>
      </c>
      <c r="L377" s="33" t="s">
        <v>330</v>
      </c>
      <c r="M377" s="33"/>
    </row>
    <row r="378" spans="1:13" x14ac:dyDescent="0.35">
      <c r="A378" s="33" t="s">
        <v>327</v>
      </c>
      <c r="B378" s="33" t="s">
        <v>17</v>
      </c>
      <c r="C378" s="33" t="s">
        <v>1361</v>
      </c>
      <c r="D378" s="33" t="s">
        <v>1362</v>
      </c>
      <c r="E378" s="33" t="s">
        <v>1363</v>
      </c>
      <c r="F378" s="53">
        <v>45848</v>
      </c>
      <c r="G378" s="33">
        <v>125</v>
      </c>
      <c r="H378" s="53">
        <v>46035</v>
      </c>
      <c r="I378" s="33" t="s">
        <v>21</v>
      </c>
      <c r="J378" s="33" t="s">
        <v>341</v>
      </c>
      <c r="K378" s="33" t="s">
        <v>329</v>
      </c>
      <c r="L378" s="33" t="s">
        <v>330</v>
      </c>
      <c r="M378" s="33"/>
    </row>
    <row r="379" spans="1:13" x14ac:dyDescent="0.35">
      <c r="A379" s="33" t="s">
        <v>327</v>
      </c>
      <c r="B379" s="33" t="s">
        <v>17</v>
      </c>
      <c r="C379" s="33" t="s">
        <v>1176</v>
      </c>
      <c r="D379" s="33" t="s">
        <v>1177</v>
      </c>
      <c r="E379" s="33" t="s">
        <v>1178</v>
      </c>
      <c r="F379" s="53">
        <v>45848</v>
      </c>
      <c r="G379" s="33">
        <v>125</v>
      </c>
      <c r="H379" s="53">
        <v>46035</v>
      </c>
      <c r="I379" s="33" t="s">
        <v>21</v>
      </c>
      <c r="J379" s="33" t="s">
        <v>331</v>
      </c>
      <c r="K379" s="33" t="s">
        <v>329</v>
      </c>
      <c r="L379" s="33" t="s">
        <v>330</v>
      </c>
      <c r="M379" s="33"/>
    </row>
    <row r="380" spans="1:13" x14ac:dyDescent="0.35">
      <c r="A380" s="33" t="s">
        <v>327</v>
      </c>
      <c r="B380" s="33" t="s">
        <v>17</v>
      </c>
      <c r="C380" s="33" t="s">
        <v>1364</v>
      </c>
      <c r="D380" s="33" t="s">
        <v>1365</v>
      </c>
      <c r="E380" s="33" t="s">
        <v>1366</v>
      </c>
      <c r="F380" s="53">
        <v>45848</v>
      </c>
      <c r="G380" s="33">
        <v>125</v>
      </c>
      <c r="H380" s="53">
        <v>46035</v>
      </c>
      <c r="I380" s="33" t="s">
        <v>21</v>
      </c>
      <c r="J380" s="33" t="s">
        <v>328</v>
      </c>
      <c r="K380" s="33" t="s">
        <v>329</v>
      </c>
      <c r="L380" s="33" t="s">
        <v>330</v>
      </c>
      <c r="M380" s="33"/>
    </row>
    <row r="381" spans="1:13" x14ac:dyDescent="0.35">
      <c r="A381" s="33" t="s">
        <v>327</v>
      </c>
      <c r="B381" s="33" t="s">
        <v>173</v>
      </c>
      <c r="C381" s="33" t="s">
        <v>1367</v>
      </c>
      <c r="D381" s="33" t="s">
        <v>1368</v>
      </c>
      <c r="E381" s="33" t="s">
        <v>1369</v>
      </c>
      <c r="F381" s="53">
        <v>45848</v>
      </c>
      <c r="G381" s="33">
        <v>125</v>
      </c>
      <c r="H381" s="53">
        <v>46035</v>
      </c>
      <c r="I381" s="33" t="s">
        <v>21</v>
      </c>
      <c r="J381" s="33" t="s">
        <v>332</v>
      </c>
      <c r="K381" s="33" t="s">
        <v>329</v>
      </c>
      <c r="L381" s="33" t="s">
        <v>330</v>
      </c>
      <c r="M381" s="33"/>
    </row>
    <row r="382" spans="1:13" x14ac:dyDescent="0.35">
      <c r="A382" s="33" t="s">
        <v>327</v>
      </c>
      <c r="B382" s="33" t="s">
        <v>17</v>
      </c>
      <c r="C382" s="33" t="s">
        <v>1108</v>
      </c>
      <c r="D382" s="33" t="s">
        <v>1109</v>
      </c>
      <c r="E382" s="33" t="s">
        <v>1183</v>
      </c>
      <c r="F382" s="53">
        <v>45849</v>
      </c>
      <c r="G382" s="33">
        <v>125</v>
      </c>
      <c r="H382" s="53">
        <v>46036</v>
      </c>
      <c r="I382" s="33" t="s">
        <v>21</v>
      </c>
      <c r="J382" s="33" t="s">
        <v>343</v>
      </c>
      <c r="K382" s="33" t="s">
        <v>338</v>
      </c>
      <c r="L382" s="33" t="s">
        <v>330</v>
      </c>
      <c r="M382" s="33"/>
    </row>
    <row r="383" spans="1:13" x14ac:dyDescent="0.35">
      <c r="A383" s="33" t="s">
        <v>327</v>
      </c>
      <c r="B383" s="33" t="s">
        <v>17</v>
      </c>
      <c r="C383" s="33" t="s">
        <v>1370</v>
      </c>
      <c r="D383" s="33" t="s">
        <v>1371</v>
      </c>
      <c r="E383" s="33" t="s">
        <v>1372</v>
      </c>
      <c r="F383" s="53">
        <v>45849</v>
      </c>
      <c r="G383" s="33">
        <v>125</v>
      </c>
      <c r="H383" s="53">
        <v>46036</v>
      </c>
      <c r="I383" s="33" t="s">
        <v>21</v>
      </c>
      <c r="J383" s="33" t="s">
        <v>333</v>
      </c>
      <c r="K383" s="33" t="s">
        <v>338</v>
      </c>
      <c r="L383" s="33" t="s">
        <v>330</v>
      </c>
      <c r="M383" s="33"/>
    </row>
    <row r="384" spans="1:13" x14ac:dyDescent="0.35">
      <c r="A384" s="33" t="s">
        <v>327</v>
      </c>
      <c r="B384" s="33" t="s">
        <v>17</v>
      </c>
      <c r="C384" s="33" t="s">
        <v>1373</v>
      </c>
      <c r="D384" s="33" t="s">
        <v>1374</v>
      </c>
      <c r="E384" s="33" t="s">
        <v>1375</v>
      </c>
      <c r="F384" s="53">
        <v>45849</v>
      </c>
      <c r="G384" s="33">
        <v>125</v>
      </c>
      <c r="H384" s="53">
        <v>46036</v>
      </c>
      <c r="I384" s="33" t="s">
        <v>21</v>
      </c>
      <c r="J384" s="33" t="s">
        <v>343</v>
      </c>
      <c r="K384" s="33" t="s">
        <v>338</v>
      </c>
      <c r="L384" s="33" t="s">
        <v>330</v>
      </c>
      <c r="M384" s="33"/>
    </row>
    <row r="385" spans="1:13" x14ac:dyDescent="0.35">
      <c r="A385" s="33" t="s">
        <v>327</v>
      </c>
      <c r="B385" s="33" t="s">
        <v>17</v>
      </c>
      <c r="C385" s="33" t="s">
        <v>168</v>
      </c>
      <c r="D385" s="33" t="s">
        <v>169</v>
      </c>
      <c r="E385" s="33" t="s">
        <v>1187</v>
      </c>
      <c r="F385" s="53">
        <v>45852</v>
      </c>
      <c r="G385" s="33">
        <v>125</v>
      </c>
      <c r="H385" s="53">
        <v>46037</v>
      </c>
      <c r="I385" s="33" t="s">
        <v>21</v>
      </c>
      <c r="J385" s="33" t="s">
        <v>333</v>
      </c>
      <c r="K385" s="33" t="s">
        <v>338</v>
      </c>
      <c r="L385" s="33" t="s">
        <v>330</v>
      </c>
      <c r="M385" s="33"/>
    </row>
    <row r="386" spans="1:13" x14ac:dyDescent="0.35">
      <c r="A386" s="33" t="s">
        <v>327</v>
      </c>
      <c r="B386" s="33" t="s">
        <v>17</v>
      </c>
      <c r="C386" s="33" t="s">
        <v>1184</v>
      </c>
      <c r="D386" s="33" t="s">
        <v>1185</v>
      </c>
      <c r="E386" s="33" t="s">
        <v>1186</v>
      </c>
      <c r="F386" s="53">
        <v>45852</v>
      </c>
      <c r="G386" s="33">
        <v>125</v>
      </c>
      <c r="H386" s="53">
        <v>46037</v>
      </c>
      <c r="I386" s="33" t="s">
        <v>21</v>
      </c>
      <c r="J386" s="33" t="s">
        <v>339</v>
      </c>
      <c r="K386" s="33" t="s">
        <v>338</v>
      </c>
      <c r="L386" s="33" t="s">
        <v>330</v>
      </c>
      <c r="M386" s="33"/>
    </row>
    <row r="387" spans="1:13" x14ac:dyDescent="0.35">
      <c r="A387" s="33" t="s">
        <v>327</v>
      </c>
      <c r="B387" s="33" t="s">
        <v>17</v>
      </c>
      <c r="C387" s="33" t="s">
        <v>1376</v>
      </c>
      <c r="D387" s="33" t="s">
        <v>1377</v>
      </c>
      <c r="E387" s="33" t="s">
        <v>1378</v>
      </c>
      <c r="F387" s="53">
        <v>45852</v>
      </c>
      <c r="G387" s="33">
        <v>125</v>
      </c>
      <c r="H387" s="53">
        <v>46037</v>
      </c>
      <c r="I387" s="33" t="s">
        <v>21</v>
      </c>
      <c r="J387" s="33" t="s">
        <v>342</v>
      </c>
      <c r="K387" s="33" t="s">
        <v>329</v>
      </c>
      <c r="L387" s="33" t="s">
        <v>330</v>
      </c>
      <c r="M387" s="33"/>
    </row>
    <row r="388" spans="1:13" x14ac:dyDescent="0.35">
      <c r="A388" s="33" t="s">
        <v>327</v>
      </c>
      <c r="B388" s="33" t="s">
        <v>173</v>
      </c>
      <c r="C388" s="33" t="s">
        <v>1379</v>
      </c>
      <c r="D388" s="33" t="s">
        <v>1380</v>
      </c>
      <c r="E388" s="33" t="s">
        <v>1381</v>
      </c>
      <c r="F388" s="53">
        <v>45852</v>
      </c>
      <c r="G388" s="33">
        <v>125</v>
      </c>
      <c r="H388" s="53">
        <v>46037</v>
      </c>
      <c r="I388" s="33" t="s">
        <v>21</v>
      </c>
      <c r="J388" s="33" t="s">
        <v>332</v>
      </c>
      <c r="K388" s="33" t="s">
        <v>329</v>
      </c>
      <c r="L388" s="33" t="s">
        <v>330</v>
      </c>
      <c r="M388" s="33"/>
    </row>
    <row r="389" spans="1:13" x14ac:dyDescent="0.35">
      <c r="A389" s="33" t="s">
        <v>327</v>
      </c>
      <c r="B389" s="33" t="s">
        <v>17</v>
      </c>
      <c r="C389" s="33" t="s">
        <v>1382</v>
      </c>
      <c r="D389" s="33" t="s">
        <v>1383</v>
      </c>
      <c r="E389" s="33" t="s">
        <v>1384</v>
      </c>
      <c r="F389" s="53">
        <v>45852</v>
      </c>
      <c r="G389" s="33">
        <v>125</v>
      </c>
      <c r="H389" s="53">
        <v>46037</v>
      </c>
      <c r="I389" s="33" t="s">
        <v>21</v>
      </c>
      <c r="J389" s="33" t="s">
        <v>343</v>
      </c>
      <c r="K389" s="33" t="s">
        <v>338</v>
      </c>
      <c r="L389" s="33" t="s">
        <v>330</v>
      </c>
      <c r="M389" s="33"/>
    </row>
    <row r="390" spans="1:13" x14ac:dyDescent="0.35">
      <c r="A390" s="33" t="s">
        <v>327</v>
      </c>
      <c r="B390" s="33" t="s">
        <v>17</v>
      </c>
      <c r="C390" s="33" t="s">
        <v>1385</v>
      </c>
      <c r="D390" s="33" t="s">
        <v>1386</v>
      </c>
      <c r="E390" s="33" t="s">
        <v>1387</v>
      </c>
      <c r="F390" s="53">
        <v>45853</v>
      </c>
      <c r="G390" s="33">
        <v>125</v>
      </c>
      <c r="H390" s="53">
        <v>46038</v>
      </c>
      <c r="I390" s="33" t="s">
        <v>21</v>
      </c>
      <c r="J390" s="33" t="s">
        <v>343</v>
      </c>
      <c r="K390" s="33" t="s">
        <v>338</v>
      </c>
      <c r="L390" s="33" t="s">
        <v>330</v>
      </c>
      <c r="M390" s="33"/>
    </row>
    <row r="391" spans="1:13" x14ac:dyDescent="0.35">
      <c r="A391" s="33" t="s">
        <v>327</v>
      </c>
      <c r="B391" s="33" t="s">
        <v>17</v>
      </c>
      <c r="C391" s="33" t="s">
        <v>1188</v>
      </c>
      <c r="D391" s="33" t="s">
        <v>1189</v>
      </c>
      <c r="E391" s="33" t="s">
        <v>1190</v>
      </c>
      <c r="F391" s="53">
        <v>45853</v>
      </c>
      <c r="G391" s="33">
        <v>125</v>
      </c>
      <c r="H391" s="53">
        <v>46038</v>
      </c>
      <c r="I391" s="33" t="s">
        <v>21</v>
      </c>
      <c r="J391" s="33" t="s">
        <v>333</v>
      </c>
      <c r="K391" s="33" t="s">
        <v>338</v>
      </c>
      <c r="L391" s="33" t="s">
        <v>330</v>
      </c>
      <c r="M391" s="33"/>
    </row>
    <row r="392" spans="1:13" x14ac:dyDescent="0.35">
      <c r="A392" s="33" t="s">
        <v>327</v>
      </c>
      <c r="B392" s="33" t="s">
        <v>17</v>
      </c>
      <c r="C392" s="33" t="s">
        <v>1388</v>
      </c>
      <c r="D392" s="33" t="s">
        <v>1389</v>
      </c>
      <c r="E392" s="33" t="s">
        <v>1390</v>
      </c>
      <c r="F392" s="53">
        <v>45853</v>
      </c>
      <c r="G392" s="33">
        <v>125</v>
      </c>
      <c r="H392" s="53">
        <v>46038</v>
      </c>
      <c r="I392" s="33" t="s">
        <v>21</v>
      </c>
      <c r="J392" s="33" t="s">
        <v>328</v>
      </c>
      <c r="K392" s="33" t="s">
        <v>329</v>
      </c>
      <c r="L392" s="33" t="s">
        <v>330</v>
      </c>
      <c r="M392" s="33"/>
    </row>
    <row r="393" spans="1:13" x14ac:dyDescent="0.35">
      <c r="A393" s="33" t="s">
        <v>327</v>
      </c>
      <c r="B393" s="33" t="s">
        <v>17</v>
      </c>
      <c r="C393" s="33" t="s">
        <v>1391</v>
      </c>
      <c r="D393" s="33" t="s">
        <v>1392</v>
      </c>
      <c r="E393" s="33" t="s">
        <v>1393</v>
      </c>
      <c r="F393" s="53">
        <v>45853</v>
      </c>
      <c r="G393" s="33">
        <v>125</v>
      </c>
      <c r="H393" s="53">
        <v>46038</v>
      </c>
      <c r="I393" s="33" t="s">
        <v>21</v>
      </c>
      <c r="J393" s="33" t="s">
        <v>328</v>
      </c>
      <c r="K393" s="33" t="s">
        <v>329</v>
      </c>
      <c r="L393" s="33" t="s">
        <v>330</v>
      </c>
      <c r="M393" s="33"/>
    </row>
    <row r="394" spans="1:13" x14ac:dyDescent="0.35">
      <c r="A394" s="33" t="s">
        <v>327</v>
      </c>
      <c r="B394" s="33" t="s">
        <v>17</v>
      </c>
      <c r="C394" s="33" t="s">
        <v>1391</v>
      </c>
      <c r="D394" s="33" t="s">
        <v>1392</v>
      </c>
      <c r="E394" s="33" t="s">
        <v>1394</v>
      </c>
      <c r="F394" s="53">
        <v>45853</v>
      </c>
      <c r="G394" s="33">
        <v>125</v>
      </c>
      <c r="H394" s="53">
        <v>46038</v>
      </c>
      <c r="I394" s="33" t="s">
        <v>21</v>
      </c>
      <c r="J394" s="33" t="s">
        <v>328</v>
      </c>
      <c r="K394" s="33" t="s">
        <v>329</v>
      </c>
      <c r="L394" s="33" t="s">
        <v>330</v>
      </c>
      <c r="M394" s="33"/>
    </row>
    <row r="395" spans="1:13" x14ac:dyDescent="0.35">
      <c r="A395" s="33" t="s">
        <v>327</v>
      </c>
      <c r="B395" s="33" t="s">
        <v>17</v>
      </c>
      <c r="C395" s="33" t="s">
        <v>1395</v>
      </c>
      <c r="D395" s="33" t="s">
        <v>1396</v>
      </c>
      <c r="E395" s="33" t="s">
        <v>1397</v>
      </c>
      <c r="F395" s="53">
        <v>45854</v>
      </c>
      <c r="G395" s="33">
        <v>125</v>
      </c>
      <c r="H395" s="53">
        <v>46041</v>
      </c>
      <c r="I395" s="33" t="s">
        <v>21</v>
      </c>
      <c r="J395" s="33" t="s">
        <v>338</v>
      </c>
      <c r="K395" s="33" t="s">
        <v>338</v>
      </c>
      <c r="L395" s="33" t="s">
        <v>330</v>
      </c>
      <c r="M395" s="33"/>
    </row>
    <row r="396" spans="1:13" x14ac:dyDescent="0.35">
      <c r="A396" s="33" t="s">
        <v>327</v>
      </c>
      <c r="B396" s="33" t="s">
        <v>17</v>
      </c>
      <c r="C396" s="33" t="s">
        <v>1191</v>
      </c>
      <c r="D396" s="33" t="s">
        <v>1192</v>
      </c>
      <c r="E396" s="33" t="s">
        <v>1193</v>
      </c>
      <c r="F396" s="53">
        <v>45854</v>
      </c>
      <c r="G396" s="33">
        <v>125</v>
      </c>
      <c r="H396" s="53">
        <v>46041</v>
      </c>
      <c r="I396" s="33" t="s">
        <v>21</v>
      </c>
      <c r="J396" s="33" t="s">
        <v>333</v>
      </c>
      <c r="K396" s="33" t="s">
        <v>338</v>
      </c>
      <c r="L396" s="33" t="s">
        <v>330</v>
      </c>
      <c r="M396" s="33"/>
    </row>
    <row r="397" spans="1:13" x14ac:dyDescent="0.35">
      <c r="A397" s="33" t="s">
        <v>327</v>
      </c>
      <c r="B397" s="33" t="s">
        <v>17</v>
      </c>
      <c r="C397" s="33" t="s">
        <v>1191</v>
      </c>
      <c r="D397" s="33" t="s">
        <v>1192</v>
      </c>
      <c r="E397" s="33" t="s">
        <v>1194</v>
      </c>
      <c r="F397" s="53">
        <v>45854</v>
      </c>
      <c r="G397" s="33">
        <v>125</v>
      </c>
      <c r="H397" s="53">
        <v>46041</v>
      </c>
      <c r="I397" s="33" t="s">
        <v>21</v>
      </c>
      <c r="J397" s="33" t="s">
        <v>333</v>
      </c>
      <c r="K397" s="33" t="s">
        <v>338</v>
      </c>
      <c r="L397" s="33" t="s">
        <v>330</v>
      </c>
      <c r="M397" s="33"/>
    </row>
    <row r="398" spans="1:13" x14ac:dyDescent="0.35">
      <c r="A398" s="33" t="s">
        <v>327</v>
      </c>
      <c r="B398" s="33" t="s">
        <v>17</v>
      </c>
      <c r="C398" s="33" t="s">
        <v>1398</v>
      </c>
      <c r="D398" s="33" t="s">
        <v>1399</v>
      </c>
      <c r="E398" s="33" t="s">
        <v>1400</v>
      </c>
      <c r="F398" s="53">
        <v>45854</v>
      </c>
      <c r="G398" s="33">
        <v>125</v>
      </c>
      <c r="H398" s="53">
        <v>46041</v>
      </c>
      <c r="I398" s="33" t="s">
        <v>21</v>
      </c>
      <c r="J398" s="33" t="s">
        <v>328</v>
      </c>
      <c r="K398" s="33" t="s">
        <v>329</v>
      </c>
      <c r="L398" s="33" t="s">
        <v>330</v>
      </c>
      <c r="M398" s="33"/>
    </row>
    <row r="399" spans="1:13" x14ac:dyDescent="0.35">
      <c r="A399" s="33" t="s">
        <v>327</v>
      </c>
      <c r="B399" s="33" t="s">
        <v>17</v>
      </c>
      <c r="C399" s="33" t="s">
        <v>1195</v>
      </c>
      <c r="D399" s="33" t="s">
        <v>1196</v>
      </c>
      <c r="E399" s="33" t="s">
        <v>1197</v>
      </c>
      <c r="F399" s="53">
        <v>45855</v>
      </c>
      <c r="G399" s="33">
        <v>125</v>
      </c>
      <c r="H399" s="53">
        <v>46042</v>
      </c>
      <c r="I399" s="33" t="s">
        <v>21</v>
      </c>
      <c r="J399" s="33" t="s">
        <v>342</v>
      </c>
      <c r="K399" s="33" t="s">
        <v>329</v>
      </c>
      <c r="L399" s="33" t="s">
        <v>330</v>
      </c>
      <c r="M399" s="33"/>
    </row>
    <row r="400" spans="1:13" x14ac:dyDescent="0.35">
      <c r="A400" s="33" t="s">
        <v>327</v>
      </c>
      <c r="B400" s="33" t="s">
        <v>17</v>
      </c>
      <c r="C400" s="33" t="s">
        <v>1401</v>
      </c>
      <c r="D400" s="33" t="s">
        <v>1402</v>
      </c>
      <c r="E400" s="33" t="s">
        <v>1403</v>
      </c>
      <c r="F400" s="53">
        <v>45856</v>
      </c>
      <c r="G400" s="33">
        <v>125</v>
      </c>
      <c r="H400" s="53">
        <v>46043</v>
      </c>
      <c r="I400" s="33" t="s">
        <v>21</v>
      </c>
      <c r="J400" s="33" t="s">
        <v>343</v>
      </c>
      <c r="K400" s="33" t="s">
        <v>338</v>
      </c>
      <c r="L400" s="33" t="s">
        <v>330</v>
      </c>
      <c r="M400" s="33"/>
    </row>
    <row r="401" spans="1:13" x14ac:dyDescent="0.35">
      <c r="A401" s="33" t="s">
        <v>327</v>
      </c>
      <c r="B401" s="33" t="s">
        <v>17</v>
      </c>
      <c r="C401" s="33" t="s">
        <v>1404</v>
      </c>
      <c r="D401" s="33" t="s">
        <v>1405</v>
      </c>
      <c r="E401" s="33" t="s">
        <v>1406</v>
      </c>
      <c r="F401" s="53">
        <v>45859</v>
      </c>
      <c r="G401" s="33">
        <v>125</v>
      </c>
      <c r="H401" s="53">
        <v>46044</v>
      </c>
      <c r="I401" s="33" t="s">
        <v>21</v>
      </c>
      <c r="J401" s="33" t="s">
        <v>328</v>
      </c>
      <c r="K401" s="33" t="s">
        <v>329</v>
      </c>
      <c r="L401" s="33" t="s">
        <v>330</v>
      </c>
      <c r="M401" s="33"/>
    </row>
    <row r="402" spans="1:13" x14ac:dyDescent="0.35">
      <c r="A402" s="33" t="s">
        <v>327</v>
      </c>
      <c r="B402" s="33" t="s">
        <v>17</v>
      </c>
      <c r="C402" s="33" t="s">
        <v>1407</v>
      </c>
      <c r="D402" s="33" t="s">
        <v>1408</v>
      </c>
      <c r="E402" s="33" t="s">
        <v>1409</v>
      </c>
      <c r="F402" s="53">
        <v>45859</v>
      </c>
      <c r="G402" s="33">
        <v>125</v>
      </c>
      <c r="H402" s="53">
        <v>46044</v>
      </c>
      <c r="I402" s="33" t="s">
        <v>21</v>
      </c>
      <c r="J402" s="33" t="s">
        <v>339</v>
      </c>
      <c r="K402" s="33" t="s">
        <v>338</v>
      </c>
      <c r="L402" s="33" t="s">
        <v>330</v>
      </c>
      <c r="M402" s="33"/>
    </row>
    <row r="403" spans="1:13" x14ac:dyDescent="0.35">
      <c r="A403" s="33" t="s">
        <v>327</v>
      </c>
      <c r="B403" s="33" t="s">
        <v>17</v>
      </c>
      <c r="C403" s="33" t="s">
        <v>1410</v>
      </c>
      <c r="D403" s="33" t="s">
        <v>1411</v>
      </c>
      <c r="E403" s="33" t="s">
        <v>1412</v>
      </c>
      <c r="F403" s="53">
        <v>45859</v>
      </c>
      <c r="G403" s="33">
        <v>125</v>
      </c>
      <c r="H403" s="53">
        <v>46044</v>
      </c>
      <c r="I403" s="33" t="s">
        <v>21</v>
      </c>
      <c r="J403" s="33" t="s">
        <v>342</v>
      </c>
      <c r="K403" s="33" t="s">
        <v>329</v>
      </c>
      <c r="L403" s="33" t="s">
        <v>330</v>
      </c>
      <c r="M403" s="33"/>
    </row>
    <row r="404" spans="1:13" x14ac:dyDescent="0.35">
      <c r="A404" s="33" t="s">
        <v>327</v>
      </c>
      <c r="B404" s="33" t="s">
        <v>17</v>
      </c>
      <c r="C404" s="33" t="s">
        <v>1413</v>
      </c>
      <c r="D404" s="33" t="s">
        <v>1414</v>
      </c>
      <c r="E404" s="33" t="s">
        <v>1415</v>
      </c>
      <c r="F404" s="53">
        <v>45859</v>
      </c>
      <c r="G404" s="33">
        <v>125</v>
      </c>
      <c r="H404" s="53">
        <v>46044</v>
      </c>
      <c r="I404" s="33" t="s">
        <v>21</v>
      </c>
      <c r="J404" s="33" t="s">
        <v>339</v>
      </c>
      <c r="K404" s="33" t="s">
        <v>338</v>
      </c>
      <c r="L404" s="33" t="s">
        <v>330</v>
      </c>
      <c r="M404" s="33"/>
    </row>
    <row r="405" spans="1:13" x14ac:dyDescent="0.35">
      <c r="A405" s="33" t="s">
        <v>327</v>
      </c>
      <c r="B405" s="33" t="s">
        <v>17</v>
      </c>
      <c r="C405" s="33" t="s">
        <v>1416</v>
      </c>
      <c r="D405" s="33" t="s">
        <v>1417</v>
      </c>
      <c r="E405" s="33" t="s">
        <v>1418</v>
      </c>
      <c r="F405" s="53">
        <v>45860</v>
      </c>
      <c r="G405" s="33">
        <v>125</v>
      </c>
      <c r="H405" s="53">
        <v>46045</v>
      </c>
      <c r="I405" s="33" t="s">
        <v>21</v>
      </c>
      <c r="J405" s="33" t="s">
        <v>328</v>
      </c>
      <c r="K405" s="33" t="s">
        <v>329</v>
      </c>
      <c r="L405" s="33" t="s">
        <v>330</v>
      </c>
      <c r="M405" s="33"/>
    </row>
    <row r="406" spans="1:13" x14ac:dyDescent="0.35">
      <c r="A406" s="33" t="s">
        <v>327</v>
      </c>
      <c r="B406" s="33" t="s">
        <v>17</v>
      </c>
      <c r="C406" s="33" t="s">
        <v>696</v>
      </c>
      <c r="D406" s="33" t="s">
        <v>697</v>
      </c>
      <c r="E406" s="33" t="s">
        <v>1419</v>
      </c>
      <c r="F406" s="53">
        <v>45860</v>
      </c>
      <c r="G406" s="33">
        <v>125</v>
      </c>
      <c r="H406" s="53">
        <v>46045</v>
      </c>
      <c r="I406" s="33" t="s">
        <v>21</v>
      </c>
      <c r="J406" s="33" t="s">
        <v>342</v>
      </c>
      <c r="K406" s="33" t="s">
        <v>329</v>
      </c>
      <c r="L406" s="33" t="s">
        <v>330</v>
      </c>
      <c r="M406" s="33"/>
    </row>
    <row r="407" spans="1:13" x14ac:dyDescent="0.35">
      <c r="A407" s="33" t="s">
        <v>327</v>
      </c>
      <c r="B407" s="33" t="s">
        <v>17</v>
      </c>
      <c r="C407" s="33" t="s">
        <v>1420</v>
      </c>
      <c r="D407" s="33" t="s">
        <v>1421</v>
      </c>
      <c r="E407" s="33" t="s">
        <v>1422</v>
      </c>
      <c r="F407" s="53">
        <v>45862</v>
      </c>
      <c r="G407" s="33">
        <v>125</v>
      </c>
      <c r="H407" s="53">
        <v>46048</v>
      </c>
      <c r="I407" s="33" t="s">
        <v>21</v>
      </c>
      <c r="J407" s="33" t="s">
        <v>333</v>
      </c>
      <c r="K407" s="33" t="s">
        <v>338</v>
      </c>
      <c r="L407" s="33" t="s">
        <v>330</v>
      </c>
      <c r="M407" s="33"/>
    </row>
    <row r="408" spans="1:13" x14ac:dyDescent="0.35">
      <c r="A408" s="33" t="s">
        <v>327</v>
      </c>
      <c r="B408" s="33" t="s">
        <v>17</v>
      </c>
      <c r="C408" s="33" t="s">
        <v>1423</v>
      </c>
      <c r="D408" s="33" t="s">
        <v>1424</v>
      </c>
      <c r="E408" s="33" t="s">
        <v>1425</v>
      </c>
      <c r="F408" s="53">
        <v>45862</v>
      </c>
      <c r="G408" s="33">
        <v>125</v>
      </c>
      <c r="H408" s="53">
        <v>46048</v>
      </c>
      <c r="I408" s="33" t="s">
        <v>21</v>
      </c>
      <c r="J408" s="33" t="s">
        <v>339</v>
      </c>
      <c r="K408" s="33" t="s">
        <v>338</v>
      </c>
      <c r="L408" s="33" t="s">
        <v>330</v>
      </c>
      <c r="M408" s="33"/>
    </row>
    <row r="409" spans="1:13" x14ac:dyDescent="0.35">
      <c r="A409" s="33" t="s">
        <v>327</v>
      </c>
      <c r="B409" s="33" t="s">
        <v>17</v>
      </c>
      <c r="C409" s="33" t="s">
        <v>1373</v>
      </c>
      <c r="D409" s="33" t="s">
        <v>1374</v>
      </c>
      <c r="E409" s="33" t="s">
        <v>1426</v>
      </c>
      <c r="F409" s="53">
        <v>45862</v>
      </c>
      <c r="G409" s="33">
        <v>125</v>
      </c>
      <c r="H409" s="53">
        <v>46048</v>
      </c>
      <c r="I409" s="33" t="s">
        <v>21</v>
      </c>
      <c r="J409" s="33" t="s">
        <v>343</v>
      </c>
      <c r="K409" s="33" t="s">
        <v>338</v>
      </c>
      <c r="L409" s="33" t="s">
        <v>330</v>
      </c>
      <c r="M409" s="33"/>
    </row>
    <row r="410" spans="1:13" x14ac:dyDescent="0.35">
      <c r="A410" s="33" t="s">
        <v>327</v>
      </c>
      <c r="B410" s="33" t="s">
        <v>17</v>
      </c>
      <c r="C410" s="33" t="s">
        <v>1427</v>
      </c>
      <c r="D410" s="33" t="s">
        <v>1428</v>
      </c>
      <c r="E410" s="33" t="s">
        <v>1429</v>
      </c>
      <c r="F410" s="53">
        <v>45862</v>
      </c>
      <c r="G410" s="33">
        <v>125</v>
      </c>
      <c r="H410" s="53">
        <v>46048</v>
      </c>
      <c r="I410" s="33" t="s">
        <v>21</v>
      </c>
      <c r="J410" s="33" t="s">
        <v>333</v>
      </c>
      <c r="K410" s="33" t="s">
        <v>338</v>
      </c>
      <c r="L410" s="33" t="s">
        <v>330</v>
      </c>
      <c r="M410" s="33"/>
    </row>
    <row r="411" spans="1:13" x14ac:dyDescent="0.35">
      <c r="A411" s="33" t="s">
        <v>327</v>
      </c>
      <c r="B411" s="33" t="s">
        <v>17</v>
      </c>
      <c r="C411" s="33" t="s">
        <v>1427</v>
      </c>
      <c r="D411" s="33" t="s">
        <v>1428</v>
      </c>
      <c r="E411" s="33" t="s">
        <v>1430</v>
      </c>
      <c r="F411" s="53">
        <v>45862</v>
      </c>
      <c r="G411" s="33">
        <v>125</v>
      </c>
      <c r="H411" s="53">
        <v>46048</v>
      </c>
      <c r="I411" s="33" t="s">
        <v>21</v>
      </c>
      <c r="J411" s="33" t="s">
        <v>333</v>
      </c>
      <c r="K411" s="33" t="s">
        <v>338</v>
      </c>
      <c r="L411" s="33" t="s">
        <v>330</v>
      </c>
      <c r="M411" s="33"/>
    </row>
    <row r="412" spans="1:13" x14ac:dyDescent="0.35">
      <c r="A412" s="33" t="s">
        <v>327</v>
      </c>
      <c r="B412" s="33" t="s">
        <v>17</v>
      </c>
      <c r="C412" s="33" t="s">
        <v>1431</v>
      </c>
      <c r="D412" s="33" t="s">
        <v>1432</v>
      </c>
      <c r="E412" s="33" t="s">
        <v>1433</v>
      </c>
      <c r="F412" s="53">
        <v>45862</v>
      </c>
      <c r="G412" s="33">
        <v>125</v>
      </c>
      <c r="H412" s="53">
        <v>46048</v>
      </c>
      <c r="I412" s="33" t="s">
        <v>21</v>
      </c>
      <c r="J412" s="33" t="s">
        <v>339</v>
      </c>
      <c r="K412" s="33" t="s">
        <v>338</v>
      </c>
      <c r="L412" s="33" t="s">
        <v>330</v>
      </c>
      <c r="M412" s="33"/>
    </row>
    <row r="413" spans="1:13" x14ac:dyDescent="0.35">
      <c r="A413" s="33" t="s">
        <v>327</v>
      </c>
      <c r="B413" s="33" t="s">
        <v>17</v>
      </c>
      <c r="C413" s="33" t="s">
        <v>1434</v>
      </c>
      <c r="D413" s="33" t="s">
        <v>1435</v>
      </c>
      <c r="E413" s="33" t="s">
        <v>1436</v>
      </c>
      <c r="F413" s="53">
        <v>45862</v>
      </c>
      <c r="G413" s="33">
        <v>125</v>
      </c>
      <c r="H413" s="53">
        <v>46048</v>
      </c>
      <c r="I413" s="33" t="s">
        <v>21</v>
      </c>
      <c r="J413" s="33" t="s">
        <v>328</v>
      </c>
      <c r="K413" s="33" t="s">
        <v>329</v>
      </c>
      <c r="L413" s="33" t="s">
        <v>330</v>
      </c>
      <c r="M413" s="33"/>
    </row>
    <row r="414" spans="1:13" x14ac:dyDescent="0.35">
      <c r="A414" s="33" t="s">
        <v>327</v>
      </c>
      <c r="B414" s="33" t="s">
        <v>17</v>
      </c>
      <c r="C414" s="33" t="s">
        <v>1404</v>
      </c>
      <c r="D414" s="33" t="s">
        <v>1405</v>
      </c>
      <c r="E414" s="33" t="s">
        <v>1437</v>
      </c>
      <c r="F414" s="53">
        <v>45863</v>
      </c>
      <c r="G414" s="33">
        <v>125</v>
      </c>
      <c r="H414" s="53">
        <v>46049</v>
      </c>
      <c r="I414" s="33" t="s">
        <v>21</v>
      </c>
      <c r="J414" s="33" t="s">
        <v>328</v>
      </c>
      <c r="K414" s="33" t="s">
        <v>329</v>
      </c>
      <c r="L414" s="33" t="s">
        <v>330</v>
      </c>
      <c r="M414" s="33"/>
    </row>
    <row r="415" spans="1:13" x14ac:dyDescent="0.35">
      <c r="A415" s="33" t="s">
        <v>327</v>
      </c>
      <c r="B415" s="33" t="s">
        <v>17</v>
      </c>
      <c r="C415" s="33" t="s">
        <v>1438</v>
      </c>
      <c r="D415" s="33" t="s">
        <v>1439</v>
      </c>
      <c r="E415" s="33" t="s">
        <v>1440</v>
      </c>
      <c r="F415" s="53">
        <v>45863</v>
      </c>
      <c r="G415" s="33">
        <v>125</v>
      </c>
      <c r="H415" s="53">
        <v>46049</v>
      </c>
      <c r="I415" s="33" t="s">
        <v>21</v>
      </c>
      <c r="J415" s="33" t="s">
        <v>339</v>
      </c>
      <c r="K415" s="33" t="s">
        <v>338</v>
      </c>
      <c r="L415" s="33" t="s">
        <v>330</v>
      </c>
      <c r="M415" s="33"/>
    </row>
    <row r="416" spans="1:13" x14ac:dyDescent="0.35">
      <c r="A416" s="33" t="s">
        <v>327</v>
      </c>
      <c r="B416" s="33" t="s">
        <v>17</v>
      </c>
      <c r="C416" s="33" t="s">
        <v>530</v>
      </c>
      <c r="D416" s="33" t="s">
        <v>531</v>
      </c>
      <c r="E416" s="33" t="s">
        <v>1441</v>
      </c>
      <c r="F416" s="53">
        <v>45863</v>
      </c>
      <c r="G416" s="33">
        <v>125</v>
      </c>
      <c r="H416" s="53">
        <v>46049</v>
      </c>
      <c r="I416" s="33" t="s">
        <v>21</v>
      </c>
      <c r="J416" s="33" t="s">
        <v>339</v>
      </c>
      <c r="K416" s="33" t="s">
        <v>338</v>
      </c>
      <c r="L416" s="33" t="s">
        <v>330</v>
      </c>
      <c r="M416" s="33"/>
    </row>
    <row r="417" spans="1:13" x14ac:dyDescent="0.35">
      <c r="A417" s="33" t="s">
        <v>327</v>
      </c>
      <c r="B417" s="33" t="s">
        <v>17</v>
      </c>
      <c r="C417" s="33" t="s">
        <v>1442</v>
      </c>
      <c r="D417" s="33" t="s">
        <v>1443</v>
      </c>
      <c r="E417" s="33" t="s">
        <v>1444</v>
      </c>
      <c r="F417" s="53">
        <v>45863</v>
      </c>
      <c r="G417" s="33">
        <v>125</v>
      </c>
      <c r="H417" s="53">
        <v>46049</v>
      </c>
      <c r="I417" s="33" t="s">
        <v>21</v>
      </c>
      <c r="J417" s="33" t="s">
        <v>345</v>
      </c>
      <c r="K417" s="33" t="s">
        <v>338</v>
      </c>
      <c r="L417" s="33" t="s">
        <v>330</v>
      </c>
      <c r="M417" s="33"/>
    </row>
    <row r="418" spans="1:13" x14ac:dyDescent="0.35">
      <c r="A418" s="33" t="s">
        <v>327</v>
      </c>
      <c r="B418" s="33" t="s">
        <v>17</v>
      </c>
      <c r="C418" s="33" t="s">
        <v>1445</v>
      </c>
      <c r="D418" s="33" t="s">
        <v>1446</v>
      </c>
      <c r="E418" s="33" t="s">
        <v>1447</v>
      </c>
      <c r="F418" s="53">
        <v>45863</v>
      </c>
      <c r="G418" s="33">
        <v>125</v>
      </c>
      <c r="H418" s="53">
        <v>46049</v>
      </c>
      <c r="I418" s="33" t="s">
        <v>21</v>
      </c>
      <c r="J418" s="33" t="s">
        <v>328</v>
      </c>
      <c r="K418" s="33" t="s">
        <v>329</v>
      </c>
      <c r="L418" s="33" t="s">
        <v>330</v>
      </c>
      <c r="M418" s="33"/>
    </row>
    <row r="419" spans="1:13" x14ac:dyDescent="0.35">
      <c r="A419" s="33" t="s">
        <v>327</v>
      </c>
      <c r="B419" s="33" t="s">
        <v>17</v>
      </c>
      <c r="C419" s="33" t="s">
        <v>530</v>
      </c>
      <c r="D419" s="33" t="s">
        <v>531</v>
      </c>
      <c r="E419" s="33" t="s">
        <v>1448</v>
      </c>
      <c r="F419" s="53">
        <v>45863</v>
      </c>
      <c r="G419" s="33">
        <v>125</v>
      </c>
      <c r="H419" s="53">
        <v>46049</v>
      </c>
      <c r="I419" s="33" t="s">
        <v>21</v>
      </c>
      <c r="J419" s="33" t="s">
        <v>339</v>
      </c>
      <c r="K419" s="33" t="s">
        <v>338</v>
      </c>
      <c r="L419" s="33" t="s">
        <v>330</v>
      </c>
      <c r="M419" s="33"/>
    </row>
    <row r="420" spans="1:13" x14ac:dyDescent="0.35">
      <c r="A420" s="33" t="s">
        <v>327</v>
      </c>
      <c r="B420" s="33" t="s">
        <v>17</v>
      </c>
      <c r="C420" s="33" t="s">
        <v>1449</v>
      </c>
      <c r="D420" s="33" t="s">
        <v>1450</v>
      </c>
      <c r="E420" s="33" t="s">
        <v>1451</v>
      </c>
      <c r="F420" s="53">
        <v>45863</v>
      </c>
      <c r="G420" s="33">
        <v>125</v>
      </c>
      <c r="H420" s="53">
        <v>46049</v>
      </c>
      <c r="I420" s="33" t="s">
        <v>21</v>
      </c>
      <c r="J420" s="33" t="s">
        <v>343</v>
      </c>
      <c r="K420" s="33" t="s">
        <v>338</v>
      </c>
      <c r="L420" s="33" t="s">
        <v>330</v>
      </c>
      <c r="M420" s="33"/>
    </row>
    <row r="421" spans="1:13" x14ac:dyDescent="0.35">
      <c r="A421" s="33" t="s">
        <v>327</v>
      </c>
      <c r="B421" s="33" t="s">
        <v>17</v>
      </c>
      <c r="C421" s="33" t="s">
        <v>1452</v>
      </c>
      <c r="D421" s="33" t="s">
        <v>1453</v>
      </c>
      <c r="E421" s="33" t="s">
        <v>1454</v>
      </c>
      <c r="F421" s="53">
        <v>45863</v>
      </c>
      <c r="G421" s="33">
        <v>125</v>
      </c>
      <c r="H421" s="53">
        <v>46049</v>
      </c>
      <c r="I421" s="33" t="s">
        <v>21</v>
      </c>
      <c r="J421" s="33" t="s">
        <v>339</v>
      </c>
      <c r="K421" s="33" t="s">
        <v>338</v>
      </c>
      <c r="L421" s="33" t="s">
        <v>330</v>
      </c>
      <c r="M421" s="33"/>
    </row>
    <row r="422" spans="1:13" x14ac:dyDescent="0.35">
      <c r="A422" s="33" t="s">
        <v>327</v>
      </c>
      <c r="B422" s="33" t="s">
        <v>17</v>
      </c>
      <c r="C422" s="33" t="s">
        <v>1455</v>
      </c>
      <c r="D422" s="33" t="s">
        <v>1456</v>
      </c>
      <c r="E422" s="33" t="s">
        <v>1457</v>
      </c>
      <c r="F422" s="53">
        <v>45868</v>
      </c>
      <c r="G422" s="33">
        <v>125</v>
      </c>
      <c r="H422" s="53">
        <v>46050</v>
      </c>
      <c r="I422" s="33" t="s">
        <v>21</v>
      </c>
      <c r="J422" s="33" t="s">
        <v>328</v>
      </c>
      <c r="K422" s="33" t="s">
        <v>329</v>
      </c>
      <c r="L422" s="33" t="s">
        <v>330</v>
      </c>
      <c r="M422" s="33"/>
    </row>
    <row r="423" spans="1:13" x14ac:dyDescent="0.35">
      <c r="A423" s="33" t="s">
        <v>327</v>
      </c>
      <c r="B423" s="33" t="s">
        <v>17</v>
      </c>
      <c r="C423" s="33" t="s">
        <v>1458</v>
      </c>
      <c r="D423" s="33" t="s">
        <v>1459</v>
      </c>
      <c r="E423" s="33" t="s">
        <v>1460</v>
      </c>
      <c r="F423" s="53">
        <v>45868</v>
      </c>
      <c r="G423" s="33">
        <v>125</v>
      </c>
      <c r="H423" s="53">
        <v>46050</v>
      </c>
      <c r="I423" s="33" t="s">
        <v>21</v>
      </c>
      <c r="J423" s="33" t="s">
        <v>338</v>
      </c>
      <c r="K423" s="33" t="s">
        <v>338</v>
      </c>
      <c r="L423" s="33" t="s">
        <v>330</v>
      </c>
      <c r="M423" s="33"/>
    </row>
    <row r="424" spans="1:13" x14ac:dyDescent="0.35">
      <c r="A424" s="33" t="s">
        <v>327</v>
      </c>
      <c r="B424" s="33" t="s">
        <v>17</v>
      </c>
      <c r="C424" s="33" t="s">
        <v>1461</v>
      </c>
      <c r="D424" s="33" t="s">
        <v>1462</v>
      </c>
      <c r="E424" s="33" t="s">
        <v>1463</v>
      </c>
      <c r="F424" s="53">
        <v>45868</v>
      </c>
      <c r="G424" s="33">
        <v>125</v>
      </c>
      <c r="H424" s="53">
        <v>46050</v>
      </c>
      <c r="I424" s="33" t="s">
        <v>21</v>
      </c>
      <c r="J424" s="33" t="s">
        <v>341</v>
      </c>
      <c r="K424" s="33" t="s">
        <v>329</v>
      </c>
      <c r="L424" s="33" t="s">
        <v>330</v>
      </c>
      <c r="M424" s="33"/>
    </row>
    <row r="425" spans="1:13" x14ac:dyDescent="0.35">
      <c r="A425" s="33" t="s">
        <v>327</v>
      </c>
      <c r="B425" s="33" t="s">
        <v>17</v>
      </c>
      <c r="C425" s="33" t="s">
        <v>1464</v>
      </c>
      <c r="D425" s="33" t="s">
        <v>1465</v>
      </c>
      <c r="E425" s="33" t="s">
        <v>1466</v>
      </c>
      <c r="F425" s="53">
        <v>45868</v>
      </c>
      <c r="G425" s="33">
        <v>125</v>
      </c>
      <c r="H425" s="53">
        <v>46050</v>
      </c>
      <c r="I425" s="33" t="s">
        <v>21</v>
      </c>
      <c r="J425" s="33" t="s">
        <v>345</v>
      </c>
      <c r="K425" s="33" t="s">
        <v>338</v>
      </c>
      <c r="L425" s="33" t="s">
        <v>330</v>
      </c>
      <c r="M425" s="33"/>
    </row>
    <row r="426" spans="1:13" x14ac:dyDescent="0.35">
      <c r="A426" s="33" t="s">
        <v>327</v>
      </c>
      <c r="B426" s="33" t="s">
        <v>17</v>
      </c>
      <c r="C426" s="33" t="s">
        <v>1464</v>
      </c>
      <c r="D426" s="33" t="s">
        <v>1465</v>
      </c>
      <c r="E426" s="33" t="s">
        <v>1467</v>
      </c>
      <c r="F426" s="53">
        <v>45868</v>
      </c>
      <c r="G426" s="33">
        <v>125</v>
      </c>
      <c r="H426" s="53">
        <v>46050</v>
      </c>
      <c r="I426" s="33" t="s">
        <v>21</v>
      </c>
      <c r="J426" s="33" t="s">
        <v>345</v>
      </c>
      <c r="K426" s="33" t="s">
        <v>338</v>
      </c>
      <c r="L426" s="33" t="s">
        <v>330</v>
      </c>
      <c r="M426" s="33"/>
    </row>
    <row r="427" spans="1:13" x14ac:dyDescent="0.35">
      <c r="A427" s="33" t="s">
        <v>327</v>
      </c>
      <c r="B427" s="33" t="s">
        <v>17</v>
      </c>
      <c r="C427" s="33" t="s">
        <v>952</v>
      </c>
      <c r="D427" s="33" t="s">
        <v>953</v>
      </c>
      <c r="E427" s="33" t="s">
        <v>1468</v>
      </c>
      <c r="F427" s="53">
        <v>45869</v>
      </c>
      <c r="G427" s="33">
        <v>125</v>
      </c>
      <c r="H427" s="53">
        <v>46051</v>
      </c>
      <c r="I427" s="33" t="s">
        <v>21</v>
      </c>
      <c r="J427" s="33" t="s">
        <v>341</v>
      </c>
      <c r="K427" s="33" t="s">
        <v>329</v>
      </c>
      <c r="L427" s="33" t="s">
        <v>330</v>
      </c>
      <c r="M427" s="33"/>
    </row>
    <row r="428" spans="1:13" x14ac:dyDescent="0.35">
      <c r="A428" s="33" t="s">
        <v>327</v>
      </c>
      <c r="B428" s="33" t="s">
        <v>17</v>
      </c>
      <c r="C428" s="33" t="s">
        <v>1469</v>
      </c>
      <c r="D428" s="33" t="s">
        <v>1470</v>
      </c>
      <c r="E428" s="33" t="s">
        <v>1471</v>
      </c>
      <c r="F428" s="53">
        <v>45869</v>
      </c>
      <c r="G428" s="33">
        <v>125</v>
      </c>
      <c r="H428" s="53">
        <v>46051</v>
      </c>
      <c r="I428" s="33" t="s">
        <v>21</v>
      </c>
      <c r="J428" s="33" t="s">
        <v>338</v>
      </c>
      <c r="K428" s="33" t="s">
        <v>338</v>
      </c>
      <c r="L428" s="33" t="s">
        <v>330</v>
      </c>
      <c r="M428" s="33"/>
    </row>
    <row r="429" spans="1:13" x14ac:dyDescent="0.35">
      <c r="A429" s="33" t="s">
        <v>327</v>
      </c>
      <c r="B429" s="33" t="s">
        <v>17</v>
      </c>
      <c r="C429" s="33" t="s">
        <v>1469</v>
      </c>
      <c r="D429" s="33" t="s">
        <v>1470</v>
      </c>
      <c r="E429" s="33" t="s">
        <v>1472</v>
      </c>
      <c r="F429" s="53">
        <v>45869</v>
      </c>
      <c r="G429" s="33">
        <v>125</v>
      </c>
      <c r="H429" s="53">
        <v>46051</v>
      </c>
      <c r="I429" s="33" t="s">
        <v>21</v>
      </c>
      <c r="J429" s="33" t="s">
        <v>339</v>
      </c>
      <c r="K429" s="33" t="s">
        <v>338</v>
      </c>
      <c r="L429" s="33" t="s">
        <v>330</v>
      </c>
      <c r="M429" s="33"/>
    </row>
    <row r="430" spans="1:13" x14ac:dyDescent="0.35">
      <c r="A430" s="33" t="s">
        <v>327</v>
      </c>
      <c r="B430" s="33" t="s">
        <v>42</v>
      </c>
      <c r="C430" s="33" t="s">
        <v>1473</v>
      </c>
      <c r="D430" s="33" t="s">
        <v>1474</v>
      </c>
      <c r="E430" s="33" t="s">
        <v>1475</v>
      </c>
      <c r="F430" s="53">
        <v>45870</v>
      </c>
      <c r="G430" s="33">
        <v>125</v>
      </c>
      <c r="H430" s="53">
        <v>46052</v>
      </c>
      <c r="I430" s="33" t="s">
        <v>21</v>
      </c>
      <c r="J430" s="33" t="s">
        <v>339</v>
      </c>
      <c r="K430" s="33" t="s">
        <v>338</v>
      </c>
      <c r="L430" s="33" t="s">
        <v>330</v>
      </c>
      <c r="M430" s="33"/>
    </row>
    <row r="431" spans="1:13" x14ac:dyDescent="0.35">
      <c r="A431" s="33" t="s">
        <v>327</v>
      </c>
      <c r="B431" s="33" t="s">
        <v>17</v>
      </c>
      <c r="C431" s="33" t="s">
        <v>1476</v>
      </c>
      <c r="D431" s="33" t="s">
        <v>1477</v>
      </c>
      <c r="E431" s="33" t="s">
        <v>1478</v>
      </c>
      <c r="F431" s="53">
        <v>45870</v>
      </c>
      <c r="G431" s="33">
        <v>125</v>
      </c>
      <c r="H431" s="53">
        <v>46052</v>
      </c>
      <c r="I431" s="33" t="s">
        <v>21</v>
      </c>
      <c r="J431" s="33" t="s">
        <v>343</v>
      </c>
      <c r="K431" s="33" t="s">
        <v>338</v>
      </c>
      <c r="L431" s="33" t="s">
        <v>330</v>
      </c>
      <c r="M431" s="33"/>
    </row>
    <row r="432" spans="1:13" x14ac:dyDescent="0.35">
      <c r="A432" s="33" t="s">
        <v>327</v>
      </c>
      <c r="B432" s="33" t="s">
        <v>17</v>
      </c>
      <c r="C432" s="33" t="s">
        <v>1479</v>
      </c>
      <c r="D432" s="33" t="s">
        <v>1480</v>
      </c>
      <c r="E432" s="33" t="s">
        <v>1481</v>
      </c>
      <c r="F432" s="53">
        <v>45871</v>
      </c>
      <c r="G432" s="33">
        <v>125</v>
      </c>
      <c r="H432" s="53">
        <v>46052</v>
      </c>
      <c r="I432" s="33" t="s">
        <v>21</v>
      </c>
      <c r="J432" s="33" t="s">
        <v>328</v>
      </c>
      <c r="K432" s="33" t="s">
        <v>329</v>
      </c>
      <c r="L432" s="33" t="s">
        <v>330</v>
      </c>
      <c r="M432" s="33"/>
    </row>
    <row r="433" spans="1:13" x14ac:dyDescent="0.35">
      <c r="A433" s="33" t="s">
        <v>327</v>
      </c>
      <c r="B433" s="33" t="s">
        <v>17</v>
      </c>
      <c r="C433" s="33" t="s">
        <v>1482</v>
      </c>
      <c r="D433" s="33" t="s">
        <v>1483</v>
      </c>
      <c r="E433" s="33" t="s">
        <v>1484</v>
      </c>
      <c r="F433" s="53">
        <v>45873</v>
      </c>
      <c r="G433" s="33">
        <v>125</v>
      </c>
      <c r="H433" s="53">
        <v>46055</v>
      </c>
      <c r="I433" s="33" t="s">
        <v>21</v>
      </c>
      <c r="J433" s="33" t="s">
        <v>336</v>
      </c>
      <c r="K433" s="33" t="s">
        <v>338</v>
      </c>
      <c r="L433" s="33" t="s">
        <v>330</v>
      </c>
      <c r="M433" s="33"/>
    </row>
    <row r="434" spans="1:13" x14ac:dyDescent="0.35">
      <c r="A434" s="33" t="s">
        <v>327</v>
      </c>
      <c r="B434" s="33" t="s">
        <v>17</v>
      </c>
      <c r="C434" s="33" t="s">
        <v>38</v>
      </c>
      <c r="D434" s="33" t="s">
        <v>39</v>
      </c>
      <c r="E434" s="33" t="s">
        <v>1485</v>
      </c>
      <c r="F434" s="53">
        <v>45873</v>
      </c>
      <c r="G434" s="33">
        <v>125</v>
      </c>
      <c r="H434" s="53">
        <v>46055</v>
      </c>
      <c r="I434" s="33" t="s">
        <v>21</v>
      </c>
      <c r="J434" s="33" t="s">
        <v>340</v>
      </c>
      <c r="K434" s="33" t="s">
        <v>329</v>
      </c>
      <c r="L434" s="33" t="s">
        <v>330</v>
      </c>
      <c r="M434" s="33"/>
    </row>
    <row r="435" spans="1:13" x14ac:dyDescent="0.35">
      <c r="A435" s="33" t="s">
        <v>327</v>
      </c>
      <c r="B435" s="33" t="s">
        <v>17</v>
      </c>
      <c r="C435" s="33" t="s">
        <v>826</v>
      </c>
      <c r="D435" s="33" t="s">
        <v>827</v>
      </c>
      <c r="E435" s="33" t="s">
        <v>1486</v>
      </c>
      <c r="F435" s="53">
        <v>45873</v>
      </c>
      <c r="G435" s="33">
        <v>125</v>
      </c>
      <c r="H435" s="53">
        <v>46055</v>
      </c>
      <c r="I435" s="33" t="s">
        <v>21</v>
      </c>
      <c r="J435" s="33" t="s">
        <v>341</v>
      </c>
      <c r="K435" s="33" t="s">
        <v>329</v>
      </c>
      <c r="L435" s="33" t="s">
        <v>330</v>
      </c>
      <c r="M435" s="33"/>
    </row>
    <row r="436" spans="1:13" x14ac:dyDescent="0.35">
      <c r="A436" s="33" t="s">
        <v>327</v>
      </c>
      <c r="B436" s="33" t="s">
        <v>17</v>
      </c>
      <c r="C436" s="33" t="s">
        <v>1487</v>
      </c>
      <c r="D436" s="33" t="s">
        <v>1488</v>
      </c>
      <c r="E436" s="33" t="s">
        <v>1489</v>
      </c>
      <c r="F436" s="53">
        <v>45874</v>
      </c>
      <c r="G436" s="33">
        <v>125</v>
      </c>
      <c r="H436" s="53">
        <v>46056</v>
      </c>
      <c r="I436" s="33" t="s">
        <v>21</v>
      </c>
      <c r="J436" s="33" t="s">
        <v>332</v>
      </c>
      <c r="K436" s="33" t="s">
        <v>329</v>
      </c>
      <c r="L436" s="33" t="s">
        <v>330</v>
      </c>
      <c r="M436" s="33"/>
    </row>
    <row r="437" spans="1:13" x14ac:dyDescent="0.35">
      <c r="A437" s="33" t="s">
        <v>327</v>
      </c>
      <c r="B437" s="33" t="s">
        <v>17</v>
      </c>
      <c r="C437" s="33" t="s">
        <v>1490</v>
      </c>
      <c r="D437" s="33" t="s">
        <v>1491</v>
      </c>
      <c r="E437" s="33" t="s">
        <v>1492</v>
      </c>
      <c r="F437" s="53">
        <v>45874</v>
      </c>
      <c r="G437" s="33">
        <v>125</v>
      </c>
      <c r="H437" s="53">
        <v>46056</v>
      </c>
      <c r="I437" s="33" t="s">
        <v>21</v>
      </c>
      <c r="J437" s="33" t="s">
        <v>341</v>
      </c>
      <c r="K437" s="33" t="s">
        <v>329</v>
      </c>
      <c r="L437" s="33" t="s">
        <v>330</v>
      </c>
      <c r="M437" s="33"/>
    </row>
    <row r="438" spans="1:13" x14ac:dyDescent="0.35">
      <c r="A438" s="33" t="s">
        <v>327</v>
      </c>
      <c r="B438" s="33" t="s">
        <v>17</v>
      </c>
      <c r="C438" s="33" t="s">
        <v>38</v>
      </c>
      <c r="D438" s="33" t="s">
        <v>39</v>
      </c>
      <c r="E438" s="33" t="s">
        <v>1493</v>
      </c>
      <c r="F438" s="53">
        <v>45876</v>
      </c>
      <c r="G438" s="33">
        <v>125</v>
      </c>
      <c r="H438" s="53">
        <v>46057</v>
      </c>
      <c r="I438" s="33" t="s">
        <v>21</v>
      </c>
      <c r="J438" s="33" t="s">
        <v>340</v>
      </c>
      <c r="K438" s="33" t="s">
        <v>329</v>
      </c>
      <c r="L438" s="33" t="s">
        <v>330</v>
      </c>
      <c r="M438" s="33"/>
    </row>
    <row r="439" spans="1:13" x14ac:dyDescent="0.35">
      <c r="A439" s="33" t="s">
        <v>327</v>
      </c>
      <c r="B439" s="33" t="s">
        <v>17</v>
      </c>
      <c r="C439" s="33" t="s">
        <v>1494</v>
      </c>
      <c r="D439" s="33" t="s">
        <v>1495</v>
      </c>
      <c r="E439" s="33" t="s">
        <v>1496</v>
      </c>
      <c r="F439" s="53">
        <v>45876</v>
      </c>
      <c r="G439" s="33">
        <v>125</v>
      </c>
      <c r="H439" s="53">
        <v>46057</v>
      </c>
      <c r="I439" s="33" t="s">
        <v>21</v>
      </c>
      <c r="J439" s="33" t="s">
        <v>339</v>
      </c>
      <c r="K439" s="33" t="s">
        <v>338</v>
      </c>
      <c r="L439" s="33" t="s">
        <v>330</v>
      </c>
      <c r="M439" s="33"/>
    </row>
    <row r="440" spans="1:13" x14ac:dyDescent="0.35">
      <c r="A440" s="33" t="s">
        <v>327</v>
      </c>
      <c r="B440" s="33" t="s">
        <v>17</v>
      </c>
      <c r="C440" s="33" t="s">
        <v>1494</v>
      </c>
      <c r="D440" s="33" t="s">
        <v>1495</v>
      </c>
      <c r="E440" s="33" t="s">
        <v>1497</v>
      </c>
      <c r="F440" s="53">
        <v>45876</v>
      </c>
      <c r="G440" s="33">
        <v>125</v>
      </c>
      <c r="H440" s="53">
        <v>46057</v>
      </c>
      <c r="I440" s="33" t="s">
        <v>21</v>
      </c>
      <c r="J440" s="33" t="s">
        <v>339</v>
      </c>
      <c r="K440" s="33" t="s">
        <v>338</v>
      </c>
      <c r="L440" s="33" t="s">
        <v>330</v>
      </c>
      <c r="M440" s="33"/>
    </row>
    <row r="441" spans="1:13" x14ac:dyDescent="0.35">
      <c r="A441" s="33" t="s">
        <v>327</v>
      </c>
      <c r="B441" s="33" t="s">
        <v>17</v>
      </c>
      <c r="C441" s="33" t="s">
        <v>1498</v>
      </c>
      <c r="D441" s="33" t="s">
        <v>1499</v>
      </c>
      <c r="E441" s="33" t="s">
        <v>1500</v>
      </c>
      <c r="F441" s="53">
        <v>45876</v>
      </c>
      <c r="G441" s="33">
        <v>125</v>
      </c>
      <c r="H441" s="53">
        <v>46057</v>
      </c>
      <c r="I441" s="33" t="s">
        <v>21</v>
      </c>
      <c r="J441" s="33" t="s">
        <v>328</v>
      </c>
      <c r="K441" s="33" t="s">
        <v>329</v>
      </c>
      <c r="L441" s="33" t="s">
        <v>330</v>
      </c>
      <c r="M441" s="33"/>
    </row>
    <row r="442" spans="1:13" x14ac:dyDescent="0.35">
      <c r="A442" s="33" t="s">
        <v>327</v>
      </c>
      <c r="B442" s="33" t="s">
        <v>17</v>
      </c>
      <c r="C442" s="33" t="s">
        <v>1501</v>
      </c>
      <c r="D442" s="33" t="s">
        <v>1502</v>
      </c>
      <c r="E442" s="33" t="s">
        <v>1503</v>
      </c>
      <c r="F442" s="53">
        <v>45877</v>
      </c>
      <c r="G442" s="33">
        <v>125</v>
      </c>
      <c r="H442" s="53">
        <v>46058</v>
      </c>
      <c r="I442" s="33" t="s">
        <v>21</v>
      </c>
      <c r="J442" s="33" t="s">
        <v>341</v>
      </c>
      <c r="K442" s="33" t="s">
        <v>329</v>
      </c>
      <c r="L442" s="33" t="s">
        <v>330</v>
      </c>
      <c r="M442" s="33"/>
    </row>
    <row r="443" spans="1:13" x14ac:dyDescent="0.35">
      <c r="A443" s="33" t="s">
        <v>327</v>
      </c>
      <c r="B443" s="33" t="s">
        <v>17</v>
      </c>
      <c r="C443" s="33" t="s">
        <v>168</v>
      </c>
      <c r="D443" s="33" t="s">
        <v>169</v>
      </c>
      <c r="E443" s="33" t="s">
        <v>1504</v>
      </c>
      <c r="F443" s="53">
        <v>45880</v>
      </c>
      <c r="G443" s="33">
        <v>125</v>
      </c>
      <c r="H443" s="53">
        <v>46059</v>
      </c>
      <c r="I443" s="33" t="s">
        <v>21</v>
      </c>
      <c r="J443" s="33" t="s">
        <v>334</v>
      </c>
      <c r="K443" s="33" t="s">
        <v>334</v>
      </c>
      <c r="L443" s="33" t="s">
        <v>330</v>
      </c>
      <c r="M443" s="33"/>
    </row>
    <row r="444" spans="1:13" x14ac:dyDescent="0.35">
      <c r="A444" s="33" t="s">
        <v>327</v>
      </c>
      <c r="B444" s="33" t="s">
        <v>17</v>
      </c>
      <c r="C444" s="33" t="s">
        <v>1505</v>
      </c>
      <c r="D444" s="33" t="s">
        <v>1506</v>
      </c>
      <c r="E444" s="33" t="s">
        <v>1507</v>
      </c>
      <c r="F444" s="53">
        <v>45880</v>
      </c>
      <c r="G444" s="33">
        <v>125</v>
      </c>
      <c r="H444" s="53">
        <v>46059</v>
      </c>
      <c r="I444" s="33" t="s">
        <v>21</v>
      </c>
      <c r="J444" s="33" t="s">
        <v>338</v>
      </c>
      <c r="K444" s="33" t="s">
        <v>338</v>
      </c>
      <c r="L444" s="33" t="s">
        <v>330</v>
      </c>
      <c r="M444" s="33"/>
    </row>
    <row r="445" spans="1:13" x14ac:dyDescent="0.35">
      <c r="A445" s="33" t="s">
        <v>327</v>
      </c>
      <c r="B445" s="33" t="s">
        <v>17</v>
      </c>
      <c r="C445" s="33" t="s">
        <v>1184</v>
      </c>
      <c r="D445" s="33" t="s">
        <v>1185</v>
      </c>
      <c r="E445" s="33" t="s">
        <v>1508</v>
      </c>
      <c r="F445" s="53">
        <v>45880</v>
      </c>
      <c r="G445" s="33">
        <v>125</v>
      </c>
      <c r="H445" s="53">
        <v>46059</v>
      </c>
      <c r="I445" s="33" t="s">
        <v>21</v>
      </c>
      <c r="J445" s="33" t="s">
        <v>339</v>
      </c>
      <c r="K445" s="33" t="s">
        <v>338</v>
      </c>
      <c r="L445" s="33" t="s">
        <v>330</v>
      </c>
      <c r="M445" s="33"/>
    </row>
    <row r="446" spans="1:13" x14ac:dyDescent="0.35">
      <c r="A446" s="33" t="s">
        <v>327</v>
      </c>
      <c r="B446" s="33" t="s">
        <v>17</v>
      </c>
      <c r="C446" s="33" t="s">
        <v>1509</v>
      </c>
      <c r="D446" s="33" t="s">
        <v>1510</v>
      </c>
      <c r="E446" s="33" t="s">
        <v>1511</v>
      </c>
      <c r="F446" s="53">
        <v>45880</v>
      </c>
      <c r="G446" s="33">
        <v>125</v>
      </c>
      <c r="H446" s="53">
        <v>46059</v>
      </c>
      <c r="I446" s="33" t="s">
        <v>21</v>
      </c>
      <c r="J446" s="33" t="s">
        <v>328</v>
      </c>
      <c r="K446" s="33" t="s">
        <v>329</v>
      </c>
      <c r="L446" s="33" t="s">
        <v>330</v>
      </c>
      <c r="M446" s="33"/>
    </row>
    <row r="447" spans="1:13" x14ac:dyDescent="0.35">
      <c r="A447" s="33" t="s">
        <v>327</v>
      </c>
      <c r="B447" s="33" t="s">
        <v>17</v>
      </c>
      <c r="C447" s="33" t="s">
        <v>1512</v>
      </c>
      <c r="D447" s="33" t="s">
        <v>1513</v>
      </c>
      <c r="E447" s="33" t="s">
        <v>1514</v>
      </c>
      <c r="F447" s="53">
        <v>45881</v>
      </c>
      <c r="G447" s="33">
        <v>125</v>
      </c>
      <c r="H447" s="53">
        <v>46062</v>
      </c>
      <c r="I447" s="33" t="s">
        <v>21</v>
      </c>
      <c r="J447" s="33" t="s">
        <v>328</v>
      </c>
      <c r="K447" s="33" t="s">
        <v>329</v>
      </c>
      <c r="L447" s="33" t="s">
        <v>330</v>
      </c>
      <c r="M447" s="33"/>
    </row>
    <row r="448" spans="1:13" x14ac:dyDescent="0.35">
      <c r="A448" s="33" t="s">
        <v>327</v>
      </c>
      <c r="B448" s="33" t="s">
        <v>17</v>
      </c>
      <c r="C448" s="33" t="s">
        <v>38</v>
      </c>
      <c r="D448" s="33" t="s">
        <v>39</v>
      </c>
      <c r="E448" s="33" t="s">
        <v>1515</v>
      </c>
      <c r="F448" s="53">
        <v>45881</v>
      </c>
      <c r="G448" s="33">
        <v>125</v>
      </c>
      <c r="H448" s="53">
        <v>46062</v>
      </c>
      <c r="I448" s="33" t="s">
        <v>21</v>
      </c>
      <c r="J448" s="33" t="s">
        <v>341</v>
      </c>
      <c r="K448" s="33" t="s">
        <v>329</v>
      </c>
      <c r="L448" s="33" t="s">
        <v>330</v>
      </c>
      <c r="M448" s="33"/>
    </row>
    <row r="449" spans="1:13" x14ac:dyDescent="0.35">
      <c r="A449" s="33" t="s">
        <v>327</v>
      </c>
      <c r="B449" s="33" t="s">
        <v>17</v>
      </c>
      <c r="C449" s="33" t="s">
        <v>1516</v>
      </c>
      <c r="D449" s="33" t="s">
        <v>1517</v>
      </c>
      <c r="E449" s="33" t="s">
        <v>1518</v>
      </c>
      <c r="F449" s="53">
        <v>45881</v>
      </c>
      <c r="G449" s="33">
        <v>125</v>
      </c>
      <c r="H449" s="53">
        <v>46062</v>
      </c>
      <c r="I449" s="33" t="s">
        <v>21</v>
      </c>
      <c r="J449" s="33" t="s">
        <v>339</v>
      </c>
      <c r="K449" s="33" t="s">
        <v>338</v>
      </c>
      <c r="L449" s="33" t="s">
        <v>330</v>
      </c>
      <c r="M449" s="33"/>
    </row>
    <row r="450" spans="1:13" x14ac:dyDescent="0.35">
      <c r="A450" s="33" t="s">
        <v>327</v>
      </c>
      <c r="B450" s="33" t="s">
        <v>17</v>
      </c>
      <c r="C450" s="33" t="s">
        <v>1519</v>
      </c>
      <c r="D450" s="33" t="s">
        <v>1520</v>
      </c>
      <c r="E450" s="33" t="s">
        <v>1521</v>
      </c>
      <c r="F450" s="53">
        <v>45881</v>
      </c>
      <c r="G450" s="33">
        <v>125</v>
      </c>
      <c r="H450" s="53">
        <v>46062</v>
      </c>
      <c r="I450" s="33" t="s">
        <v>21</v>
      </c>
      <c r="J450" s="33" t="s">
        <v>333</v>
      </c>
      <c r="K450" s="33" t="s">
        <v>338</v>
      </c>
      <c r="L450" s="33" t="s">
        <v>330</v>
      </c>
      <c r="M450" s="33"/>
    </row>
    <row r="451" spans="1:13" x14ac:dyDescent="0.35">
      <c r="A451" s="33" t="s">
        <v>327</v>
      </c>
      <c r="B451" s="33" t="s">
        <v>17</v>
      </c>
      <c r="C451" s="33" t="s">
        <v>1522</v>
      </c>
      <c r="D451" s="33" t="s">
        <v>1523</v>
      </c>
      <c r="E451" s="33" t="s">
        <v>1524</v>
      </c>
      <c r="F451" s="53">
        <v>45882</v>
      </c>
      <c r="G451" s="33">
        <v>125</v>
      </c>
      <c r="H451" s="53">
        <v>46063</v>
      </c>
      <c r="I451" s="33" t="s">
        <v>21</v>
      </c>
      <c r="J451" s="33" t="s">
        <v>341</v>
      </c>
      <c r="K451" s="33" t="s">
        <v>329</v>
      </c>
      <c r="L451" s="33" t="s">
        <v>330</v>
      </c>
      <c r="M451" s="33"/>
    </row>
    <row r="452" spans="1:13" x14ac:dyDescent="0.35">
      <c r="A452" s="33" t="s">
        <v>327</v>
      </c>
      <c r="B452" s="33" t="s">
        <v>17</v>
      </c>
      <c r="C452" s="33" t="s">
        <v>38</v>
      </c>
      <c r="D452" s="33" t="s">
        <v>39</v>
      </c>
      <c r="E452" s="33" t="s">
        <v>1525</v>
      </c>
      <c r="F452" s="53">
        <v>45882</v>
      </c>
      <c r="G452" s="33">
        <v>125</v>
      </c>
      <c r="H452" s="53">
        <v>46063</v>
      </c>
      <c r="I452" s="33" t="s">
        <v>21</v>
      </c>
      <c r="J452" s="33" t="s">
        <v>340</v>
      </c>
      <c r="K452" s="33" t="s">
        <v>329</v>
      </c>
      <c r="L452" s="33" t="s">
        <v>330</v>
      </c>
      <c r="M452" s="33"/>
    </row>
    <row r="453" spans="1:13" x14ac:dyDescent="0.35">
      <c r="A453" s="33" t="s">
        <v>327</v>
      </c>
      <c r="B453" s="33" t="s">
        <v>17</v>
      </c>
      <c r="C453" s="33" t="s">
        <v>1526</v>
      </c>
      <c r="D453" s="33" t="s">
        <v>1527</v>
      </c>
      <c r="E453" s="33" t="s">
        <v>1528</v>
      </c>
      <c r="F453" s="53">
        <v>45882</v>
      </c>
      <c r="G453" s="33">
        <v>125</v>
      </c>
      <c r="H453" s="53">
        <v>46063</v>
      </c>
      <c r="I453" s="33" t="s">
        <v>21</v>
      </c>
      <c r="J453" s="33" t="s">
        <v>341</v>
      </c>
      <c r="K453" s="33" t="s">
        <v>329</v>
      </c>
      <c r="L453" s="33" t="s">
        <v>330</v>
      </c>
      <c r="M453" s="33"/>
    </row>
    <row r="454" spans="1:13" x14ac:dyDescent="0.35">
      <c r="A454" s="33" t="s">
        <v>327</v>
      </c>
      <c r="B454" s="33" t="s">
        <v>17</v>
      </c>
      <c r="C454" s="33" t="s">
        <v>1529</v>
      </c>
      <c r="D454" s="33" t="s">
        <v>1530</v>
      </c>
      <c r="E454" s="33" t="s">
        <v>1531</v>
      </c>
      <c r="F454" s="53">
        <v>45882</v>
      </c>
      <c r="G454" s="33">
        <v>125</v>
      </c>
      <c r="H454" s="53">
        <v>46063</v>
      </c>
      <c r="I454" s="33" t="s">
        <v>21</v>
      </c>
      <c r="J454" s="33" t="s">
        <v>340</v>
      </c>
      <c r="K454" s="33" t="s">
        <v>329</v>
      </c>
      <c r="L454" s="33" t="s">
        <v>330</v>
      </c>
      <c r="M454" s="33"/>
    </row>
    <row r="455" spans="1:13" x14ac:dyDescent="0.35">
      <c r="A455" s="33" t="s">
        <v>327</v>
      </c>
      <c r="B455" s="33" t="s">
        <v>17</v>
      </c>
      <c r="C455" s="33" t="s">
        <v>1532</v>
      </c>
      <c r="D455" s="33" t="s">
        <v>1533</v>
      </c>
      <c r="E455" s="33" t="s">
        <v>1534</v>
      </c>
      <c r="F455" s="53">
        <v>45882</v>
      </c>
      <c r="G455" s="33">
        <v>125</v>
      </c>
      <c r="H455" s="53">
        <v>46063</v>
      </c>
      <c r="I455" s="33" t="s">
        <v>21</v>
      </c>
      <c r="J455" s="33" t="s">
        <v>341</v>
      </c>
      <c r="K455" s="33" t="s">
        <v>329</v>
      </c>
      <c r="L455" s="33" t="s">
        <v>330</v>
      </c>
      <c r="M455" s="33"/>
    </row>
    <row r="456" spans="1:13" x14ac:dyDescent="0.35">
      <c r="A456" s="33" t="s">
        <v>327</v>
      </c>
      <c r="B456" s="33" t="s">
        <v>17</v>
      </c>
      <c r="C456" s="33" t="s">
        <v>1535</v>
      </c>
      <c r="D456" s="33" t="s">
        <v>1536</v>
      </c>
      <c r="E456" s="33" t="s">
        <v>1537</v>
      </c>
      <c r="F456" s="53">
        <v>45882</v>
      </c>
      <c r="G456" s="33">
        <v>125</v>
      </c>
      <c r="H456" s="53">
        <v>46063</v>
      </c>
      <c r="I456" s="33" t="s">
        <v>21</v>
      </c>
      <c r="J456" s="33" t="s">
        <v>328</v>
      </c>
      <c r="K456" s="33" t="s">
        <v>329</v>
      </c>
      <c r="L456" s="33" t="s">
        <v>330</v>
      </c>
      <c r="M456" s="33"/>
    </row>
    <row r="457" spans="1:13" x14ac:dyDescent="0.35">
      <c r="A457" s="33" t="s">
        <v>327</v>
      </c>
      <c r="B457" s="33" t="s">
        <v>17</v>
      </c>
      <c r="C457" s="33" t="s">
        <v>1535</v>
      </c>
      <c r="D457" s="33" t="s">
        <v>1536</v>
      </c>
      <c r="E457" s="33" t="s">
        <v>1538</v>
      </c>
      <c r="F457" s="53">
        <v>45882</v>
      </c>
      <c r="G457" s="33">
        <v>125</v>
      </c>
      <c r="H457" s="53">
        <v>46063</v>
      </c>
      <c r="I457" s="33" t="s">
        <v>21</v>
      </c>
      <c r="J457" s="33" t="s">
        <v>328</v>
      </c>
      <c r="K457" s="33" t="s">
        <v>329</v>
      </c>
      <c r="L457" s="33" t="s">
        <v>330</v>
      </c>
      <c r="M457" s="33"/>
    </row>
    <row r="458" spans="1:13" x14ac:dyDescent="0.35">
      <c r="A458" s="33" t="s">
        <v>327</v>
      </c>
      <c r="B458" s="33" t="s">
        <v>17</v>
      </c>
      <c r="C458" s="33" t="s">
        <v>1539</v>
      </c>
      <c r="D458" s="33" t="s">
        <v>1540</v>
      </c>
      <c r="E458" s="33" t="s">
        <v>1541</v>
      </c>
      <c r="F458" s="53">
        <v>45882</v>
      </c>
      <c r="G458" s="33">
        <v>125</v>
      </c>
      <c r="H458" s="53">
        <v>46063</v>
      </c>
      <c r="I458" s="33" t="s">
        <v>21</v>
      </c>
      <c r="J458" s="33" t="s">
        <v>331</v>
      </c>
      <c r="K458" s="33" t="s">
        <v>329</v>
      </c>
      <c r="L458" s="33" t="s">
        <v>330</v>
      </c>
      <c r="M458" s="33"/>
    </row>
    <row r="459" spans="1:13" x14ac:dyDescent="0.35">
      <c r="A459" s="33" t="s">
        <v>327</v>
      </c>
      <c r="B459" s="33" t="s">
        <v>17</v>
      </c>
      <c r="C459" s="33" t="s">
        <v>1542</v>
      </c>
      <c r="D459" s="33" t="s">
        <v>1543</v>
      </c>
      <c r="E459" s="33" t="s">
        <v>1544</v>
      </c>
      <c r="F459" s="53">
        <v>45883</v>
      </c>
      <c r="G459" s="33">
        <v>125</v>
      </c>
      <c r="H459" s="53">
        <v>46064</v>
      </c>
      <c r="I459" s="33" t="s">
        <v>21</v>
      </c>
      <c r="J459" s="33" t="s">
        <v>340</v>
      </c>
      <c r="K459" s="33" t="s">
        <v>329</v>
      </c>
      <c r="L459" s="33" t="s">
        <v>330</v>
      </c>
      <c r="M459" s="33"/>
    </row>
    <row r="460" spans="1:13" x14ac:dyDescent="0.35">
      <c r="A460" s="33" t="s">
        <v>327</v>
      </c>
      <c r="B460" s="33" t="s">
        <v>17</v>
      </c>
      <c r="C460" s="33" t="s">
        <v>1545</v>
      </c>
      <c r="D460" s="33" t="s">
        <v>1546</v>
      </c>
      <c r="E460" s="33" t="s">
        <v>1547</v>
      </c>
      <c r="F460" s="53">
        <v>45884</v>
      </c>
      <c r="G460" s="33">
        <v>125</v>
      </c>
      <c r="H460" s="53">
        <v>46065</v>
      </c>
      <c r="I460" s="33" t="s">
        <v>21</v>
      </c>
      <c r="J460" s="33" t="s">
        <v>340</v>
      </c>
      <c r="K460" s="33" t="s">
        <v>329</v>
      </c>
      <c r="L460" s="33" t="s">
        <v>330</v>
      </c>
      <c r="M460" s="33"/>
    </row>
    <row r="461" spans="1:13" x14ac:dyDescent="0.35">
      <c r="A461" s="33" t="s">
        <v>327</v>
      </c>
      <c r="B461" s="33" t="s">
        <v>17</v>
      </c>
      <c r="C461" s="33" t="s">
        <v>1548</v>
      </c>
      <c r="D461" s="33" t="s">
        <v>1549</v>
      </c>
      <c r="E461" s="33" t="s">
        <v>1550</v>
      </c>
      <c r="F461" s="53">
        <v>45884</v>
      </c>
      <c r="G461" s="33">
        <v>125</v>
      </c>
      <c r="H461" s="53">
        <v>46065</v>
      </c>
      <c r="I461" s="33" t="s">
        <v>21</v>
      </c>
      <c r="J461" s="33" t="s">
        <v>331</v>
      </c>
      <c r="K461" s="33" t="s">
        <v>329</v>
      </c>
      <c r="L461" s="33" t="s">
        <v>330</v>
      </c>
      <c r="M461" s="33"/>
    </row>
    <row r="462" spans="1:13" x14ac:dyDescent="0.35">
      <c r="A462" s="33" t="s">
        <v>327</v>
      </c>
      <c r="B462" s="33" t="s">
        <v>17</v>
      </c>
      <c r="C462" s="33" t="s">
        <v>1551</v>
      </c>
      <c r="D462" s="33" t="s">
        <v>1552</v>
      </c>
      <c r="E462" s="33" t="s">
        <v>1553</v>
      </c>
      <c r="F462" s="53">
        <v>45885</v>
      </c>
      <c r="G462" s="33">
        <v>125</v>
      </c>
      <c r="H462" s="53">
        <v>46065</v>
      </c>
      <c r="I462" s="33" t="s">
        <v>21</v>
      </c>
      <c r="J462" s="33" t="s">
        <v>345</v>
      </c>
      <c r="K462" s="33" t="s">
        <v>338</v>
      </c>
      <c r="L462" s="33" t="s">
        <v>330</v>
      </c>
      <c r="M462" s="33"/>
    </row>
    <row r="463" spans="1:13" x14ac:dyDescent="0.35">
      <c r="A463" s="33" t="s">
        <v>327</v>
      </c>
      <c r="B463" s="33" t="s">
        <v>17</v>
      </c>
      <c r="C463" s="33" t="s">
        <v>246</v>
      </c>
      <c r="D463" s="33" t="s">
        <v>247</v>
      </c>
      <c r="E463" s="33" t="s">
        <v>1554</v>
      </c>
      <c r="F463" s="53">
        <v>45887</v>
      </c>
      <c r="G463" s="33">
        <v>125</v>
      </c>
      <c r="H463" s="53">
        <v>46066</v>
      </c>
      <c r="I463" s="33" t="s">
        <v>21</v>
      </c>
      <c r="J463" s="33" t="s">
        <v>341</v>
      </c>
      <c r="K463" s="33" t="s">
        <v>329</v>
      </c>
      <c r="L463" s="33" t="s">
        <v>330</v>
      </c>
      <c r="M463" s="33"/>
    </row>
    <row r="464" spans="1:13" x14ac:dyDescent="0.35">
      <c r="A464" s="33" t="s">
        <v>327</v>
      </c>
      <c r="B464" s="33" t="s">
        <v>17</v>
      </c>
      <c r="C464" s="33" t="s">
        <v>38</v>
      </c>
      <c r="D464" s="33" t="s">
        <v>39</v>
      </c>
      <c r="E464" s="33" t="s">
        <v>1555</v>
      </c>
      <c r="F464" s="53">
        <v>45887</v>
      </c>
      <c r="G464" s="33">
        <v>125</v>
      </c>
      <c r="H464" s="53">
        <v>46066</v>
      </c>
      <c r="I464" s="33" t="s">
        <v>21</v>
      </c>
      <c r="J464" s="33" t="s">
        <v>340</v>
      </c>
      <c r="K464" s="33" t="s">
        <v>329</v>
      </c>
      <c r="L464" s="33" t="s">
        <v>330</v>
      </c>
      <c r="M464" s="33"/>
    </row>
    <row r="465" spans="1:13" x14ac:dyDescent="0.35">
      <c r="A465" s="50"/>
      <c r="F465" s="51"/>
      <c r="H465" s="51"/>
    </row>
    <row r="466" spans="1:13" x14ac:dyDescent="0.35">
      <c r="A466" s="42"/>
      <c r="B466" s="38"/>
      <c r="C466" s="38"/>
      <c r="D466" s="38"/>
      <c r="E466" s="38"/>
      <c r="F466" s="39"/>
      <c r="G466" s="38"/>
      <c r="H466" s="39"/>
      <c r="I466" s="38"/>
      <c r="J466" s="38"/>
      <c r="K466" s="38"/>
      <c r="L466" s="38"/>
    </row>
    <row r="467" spans="1:13" x14ac:dyDescent="0.35">
      <c r="A467" s="42"/>
      <c r="B467" s="38"/>
      <c r="C467" s="38"/>
      <c r="D467" s="38"/>
      <c r="E467" s="38"/>
      <c r="F467" s="39"/>
      <c r="G467" s="38"/>
      <c r="H467" s="39"/>
      <c r="I467" s="38"/>
      <c r="J467" s="38"/>
      <c r="K467" s="38"/>
      <c r="L467" s="38"/>
    </row>
    <row r="468" spans="1:13" x14ac:dyDescent="0.35">
      <c r="A468" s="42"/>
      <c r="B468" s="38"/>
      <c r="C468" s="38"/>
      <c r="D468" s="38"/>
      <c r="E468" s="38"/>
      <c r="F468" s="39"/>
      <c r="G468" s="38"/>
      <c r="H468" s="39"/>
      <c r="I468" s="38"/>
      <c r="J468" s="38"/>
      <c r="K468" s="38"/>
      <c r="L468" s="38"/>
    </row>
    <row r="469" spans="1:13" x14ac:dyDescent="0.35">
      <c r="A469" s="44"/>
      <c r="B469" s="40"/>
      <c r="C469" s="40"/>
      <c r="D469" s="40"/>
      <c r="E469" s="40"/>
      <c r="F469" s="41"/>
      <c r="G469" s="40"/>
      <c r="H469" s="41"/>
      <c r="I469" s="40"/>
      <c r="J469" s="40"/>
      <c r="K469" s="40"/>
      <c r="L469" s="40"/>
    </row>
    <row r="470" spans="1:13" x14ac:dyDescent="0.35">
      <c r="A470" s="38"/>
      <c r="B470" s="38"/>
      <c r="C470" s="38"/>
      <c r="D470" s="38"/>
      <c r="E470" s="38"/>
      <c r="F470" s="39"/>
      <c r="G470" s="38"/>
      <c r="H470" s="39"/>
      <c r="I470" s="38"/>
      <c r="J470" s="38"/>
      <c r="K470" s="38"/>
      <c r="L470" s="38"/>
      <c r="M470" s="39"/>
    </row>
    <row r="471" spans="1:13" x14ac:dyDescent="0.35">
      <c r="A471" s="38"/>
      <c r="B471" s="38"/>
      <c r="C471" s="38"/>
      <c r="D471" s="38"/>
      <c r="E471" s="38"/>
      <c r="F471" s="39"/>
      <c r="G471" s="38"/>
      <c r="H471" s="39"/>
      <c r="I471" s="38"/>
      <c r="J471" s="38"/>
      <c r="K471" s="38"/>
      <c r="L471" s="38"/>
      <c r="M471" s="39"/>
    </row>
    <row r="472" spans="1:13" x14ac:dyDescent="0.35">
      <c r="A472" s="38"/>
      <c r="B472" s="38"/>
      <c r="C472" s="38"/>
      <c r="D472" s="38"/>
      <c r="E472" s="38"/>
      <c r="F472" s="39"/>
      <c r="G472" s="38"/>
      <c r="H472" s="39"/>
      <c r="I472" s="38"/>
      <c r="J472" s="38"/>
      <c r="K472" s="38"/>
      <c r="L472" s="38"/>
      <c r="M472" s="39"/>
    </row>
    <row r="473" spans="1:13" x14ac:dyDescent="0.35">
      <c r="A473" s="38"/>
      <c r="B473" s="38"/>
      <c r="C473" s="38"/>
      <c r="D473" s="38"/>
      <c r="E473" s="38"/>
      <c r="F473" s="39"/>
      <c r="G473" s="38"/>
      <c r="H473" s="39"/>
      <c r="I473" s="38"/>
      <c r="J473" s="38"/>
      <c r="K473" s="38"/>
      <c r="L473" s="38"/>
      <c r="M473" s="39"/>
    </row>
    <row r="474" spans="1:13" x14ac:dyDescent="0.35">
      <c r="A474" s="38"/>
      <c r="B474" s="38"/>
      <c r="C474" s="38"/>
      <c r="D474" s="38"/>
      <c r="E474" s="38"/>
      <c r="F474" s="39"/>
      <c r="G474" s="38"/>
      <c r="H474" s="39"/>
      <c r="I474" s="38"/>
      <c r="J474" s="38"/>
      <c r="K474" s="38"/>
      <c r="L474" s="38"/>
      <c r="M474" s="39"/>
    </row>
    <row r="475" spans="1:13" x14ac:dyDescent="0.35">
      <c r="A475" s="38"/>
      <c r="B475" s="38"/>
      <c r="C475" s="38"/>
      <c r="D475" s="38"/>
      <c r="E475" s="38"/>
      <c r="F475" s="39"/>
      <c r="G475" s="38"/>
      <c r="H475" s="39"/>
      <c r="I475" s="38"/>
      <c r="J475" s="38"/>
      <c r="K475" s="38"/>
      <c r="L475" s="38"/>
      <c r="M475" s="39"/>
    </row>
    <row r="476" spans="1:13" x14ac:dyDescent="0.35">
      <c r="A476" s="38"/>
      <c r="B476" s="38"/>
      <c r="C476" s="38"/>
      <c r="D476" s="38"/>
      <c r="E476" s="38"/>
      <c r="F476" s="39"/>
      <c r="G476" s="38"/>
      <c r="H476" s="39"/>
      <c r="I476" s="38"/>
      <c r="J476" s="38"/>
      <c r="K476" s="38"/>
      <c r="L476" s="38"/>
      <c r="M476" s="39"/>
    </row>
    <row r="477" spans="1:13" x14ac:dyDescent="0.35">
      <c r="A477" s="38"/>
      <c r="B477" s="38"/>
      <c r="C477" s="38"/>
      <c r="D477" s="38"/>
      <c r="E477" s="38"/>
      <c r="F477" s="39"/>
      <c r="G477" s="38"/>
      <c r="H477" s="39"/>
      <c r="I477" s="38"/>
      <c r="J477" s="38"/>
      <c r="K477" s="38"/>
      <c r="L477" s="38"/>
      <c r="M477" s="39"/>
    </row>
    <row r="478" spans="1:13" x14ac:dyDescent="0.35">
      <c r="A478" s="38"/>
      <c r="B478" s="38"/>
      <c r="C478" s="38"/>
      <c r="D478" s="38"/>
      <c r="E478" s="38"/>
      <c r="F478" s="39"/>
      <c r="G478" s="38"/>
      <c r="H478" s="39"/>
      <c r="I478" s="38"/>
      <c r="J478" s="38"/>
      <c r="K478" s="38"/>
      <c r="L478" s="38"/>
      <c r="M478" s="39"/>
    </row>
    <row r="479" spans="1:13" x14ac:dyDescent="0.35">
      <c r="A479" s="38"/>
      <c r="B479" s="38"/>
      <c r="C479" s="38"/>
      <c r="D479" s="38"/>
      <c r="E479" s="38"/>
      <c r="F479" s="39"/>
      <c r="G479" s="38"/>
      <c r="H479" s="39"/>
      <c r="I479" s="38"/>
      <c r="J479" s="38"/>
      <c r="K479" s="38"/>
      <c r="L479" s="38"/>
      <c r="M479" s="39"/>
    </row>
    <row r="480" spans="1:13" x14ac:dyDescent="0.35">
      <c r="A480" s="38"/>
      <c r="B480" s="38"/>
      <c r="C480" s="38"/>
      <c r="D480" s="38"/>
      <c r="E480" s="38"/>
      <c r="F480" s="39"/>
      <c r="G480" s="38"/>
      <c r="H480" s="39"/>
      <c r="I480" s="38"/>
      <c r="J480" s="38"/>
      <c r="K480" s="38"/>
      <c r="L480" s="38"/>
      <c r="M480" s="39"/>
    </row>
    <row r="481" spans="1:13" x14ac:dyDescent="0.35">
      <c r="A481" s="38"/>
      <c r="B481" s="38"/>
      <c r="C481" s="38"/>
      <c r="D481" s="38"/>
      <c r="E481" s="38"/>
      <c r="F481" s="39"/>
      <c r="G481" s="38"/>
      <c r="H481" s="39"/>
      <c r="I481" s="38"/>
      <c r="J481" s="38"/>
      <c r="K481" s="38"/>
      <c r="L481" s="38"/>
      <c r="M481" s="39"/>
    </row>
    <row r="482" spans="1:13" x14ac:dyDescent="0.35">
      <c r="A482" s="38"/>
      <c r="B482" s="38"/>
      <c r="C482" s="38"/>
      <c r="D482" s="38"/>
      <c r="E482" s="38"/>
      <c r="F482" s="39"/>
      <c r="G482" s="38"/>
      <c r="H482" s="39"/>
      <c r="I482" s="38"/>
      <c r="J482" s="38"/>
      <c r="K482" s="38"/>
      <c r="L482" s="38"/>
      <c r="M482" s="39"/>
    </row>
    <row r="483" spans="1:13" x14ac:dyDescent="0.35">
      <c r="A483" s="38"/>
      <c r="B483" s="38"/>
      <c r="C483" s="38"/>
      <c r="D483" s="38"/>
      <c r="E483" s="38"/>
      <c r="F483" s="39"/>
      <c r="G483" s="38"/>
      <c r="H483" s="39"/>
      <c r="I483" s="38"/>
      <c r="J483" s="38"/>
      <c r="K483" s="38"/>
      <c r="L483" s="38"/>
      <c r="M483" s="39"/>
    </row>
    <row r="484" spans="1:13" x14ac:dyDescent="0.35">
      <c r="A484" s="38"/>
      <c r="B484" s="38"/>
      <c r="C484" s="38"/>
      <c r="D484" s="38"/>
      <c r="E484" s="38"/>
      <c r="F484" s="39"/>
      <c r="G484" s="38"/>
      <c r="H484" s="39"/>
      <c r="I484" s="38"/>
      <c r="J484" s="38"/>
      <c r="K484" s="38"/>
      <c r="L484" s="38"/>
      <c r="M484" s="39"/>
    </row>
    <row r="485" spans="1:13" x14ac:dyDescent="0.35">
      <c r="A485" s="38"/>
      <c r="B485" s="38"/>
      <c r="C485" s="38"/>
      <c r="D485" s="38"/>
      <c r="E485" s="38"/>
      <c r="F485" s="39"/>
      <c r="G485" s="38"/>
      <c r="H485" s="39"/>
      <c r="I485" s="38"/>
      <c r="J485" s="38"/>
      <c r="K485" s="38"/>
      <c r="L485" s="38"/>
      <c r="M485" s="39"/>
    </row>
    <row r="486" spans="1:13" x14ac:dyDescent="0.35">
      <c r="A486" s="38"/>
      <c r="B486" s="38"/>
      <c r="C486" s="38"/>
      <c r="D486" s="38"/>
      <c r="E486" s="38"/>
      <c r="F486" s="39"/>
      <c r="G486" s="38"/>
      <c r="H486" s="39"/>
      <c r="I486" s="38"/>
      <c r="J486" s="38"/>
      <c r="K486" s="38"/>
      <c r="L486" s="38"/>
      <c r="M486" s="39"/>
    </row>
    <row r="487" spans="1:13" x14ac:dyDescent="0.35">
      <c r="A487" s="38"/>
      <c r="B487" s="38"/>
      <c r="C487" s="38"/>
      <c r="D487" s="38"/>
      <c r="E487" s="38"/>
      <c r="F487" s="39"/>
      <c r="G487" s="38"/>
      <c r="H487" s="39"/>
      <c r="I487" s="38"/>
      <c r="J487" s="38"/>
      <c r="K487" s="38"/>
      <c r="L487" s="38"/>
      <c r="M487" s="39"/>
    </row>
    <row r="488" spans="1:13" x14ac:dyDescent="0.35">
      <c r="A488" s="38"/>
      <c r="B488" s="38"/>
      <c r="C488" s="38"/>
      <c r="D488" s="38"/>
      <c r="E488" s="38"/>
      <c r="F488" s="39"/>
      <c r="G488" s="38"/>
      <c r="H488" s="39"/>
      <c r="I488" s="38"/>
      <c r="J488" s="38"/>
      <c r="K488" s="38"/>
      <c r="L488" s="38"/>
      <c r="M488" s="39"/>
    </row>
    <row r="489" spans="1:13" x14ac:dyDescent="0.35">
      <c r="A489" s="38"/>
      <c r="B489" s="38"/>
      <c r="C489" s="38"/>
      <c r="D489" s="38"/>
      <c r="E489" s="38"/>
      <c r="F489" s="39"/>
      <c r="G489" s="38"/>
      <c r="H489" s="39"/>
      <c r="I489" s="38"/>
      <c r="J489" s="38"/>
      <c r="K489" s="38"/>
      <c r="L489" s="38"/>
      <c r="M489" s="39"/>
    </row>
    <row r="490" spans="1:13" x14ac:dyDescent="0.35">
      <c r="A490" s="38"/>
      <c r="B490" s="38"/>
      <c r="C490" s="38"/>
      <c r="D490" s="38"/>
      <c r="E490" s="38"/>
      <c r="F490" s="39"/>
      <c r="G490" s="38"/>
      <c r="H490" s="39"/>
      <c r="I490" s="38"/>
      <c r="J490" s="38"/>
      <c r="K490" s="38"/>
      <c r="L490" s="38"/>
      <c r="M490" s="39"/>
    </row>
    <row r="491" spans="1:13" x14ac:dyDescent="0.35">
      <c r="A491" s="38"/>
      <c r="B491" s="38"/>
      <c r="C491" s="38"/>
      <c r="D491" s="38"/>
      <c r="E491" s="38"/>
      <c r="F491" s="39"/>
      <c r="G491" s="38"/>
      <c r="H491" s="39"/>
      <c r="I491" s="38"/>
      <c r="J491" s="38"/>
      <c r="K491" s="38"/>
      <c r="L491" s="38"/>
      <c r="M491" s="39"/>
    </row>
    <row r="492" spans="1:13" x14ac:dyDescent="0.35">
      <c r="A492" s="38"/>
      <c r="B492" s="38"/>
      <c r="C492" s="38"/>
      <c r="D492" s="38"/>
      <c r="E492" s="38"/>
      <c r="F492" s="39"/>
      <c r="G492" s="38"/>
      <c r="H492" s="39"/>
      <c r="I492" s="38"/>
      <c r="J492" s="38"/>
      <c r="K492" s="38"/>
      <c r="L492" s="38"/>
      <c r="M492" s="39"/>
    </row>
    <row r="493" spans="1:13" x14ac:dyDescent="0.35">
      <c r="A493" s="38"/>
      <c r="B493" s="38"/>
      <c r="C493" s="38"/>
      <c r="D493" s="38"/>
      <c r="E493" s="38"/>
      <c r="F493" s="39"/>
      <c r="G493" s="38"/>
      <c r="H493" s="39"/>
      <c r="I493" s="38"/>
      <c r="J493" s="38"/>
      <c r="K493" s="38"/>
      <c r="L493" s="38"/>
      <c r="M493" s="39"/>
    </row>
    <row r="494" spans="1:13" x14ac:dyDescent="0.35">
      <c r="A494" s="38"/>
      <c r="B494" s="38"/>
      <c r="C494" s="38"/>
      <c r="D494" s="38"/>
      <c r="E494" s="38"/>
      <c r="F494" s="39"/>
      <c r="G494" s="38"/>
      <c r="H494" s="39"/>
      <c r="I494" s="38"/>
      <c r="J494" s="38"/>
      <c r="K494" s="38"/>
      <c r="L494" s="38"/>
      <c r="M494" s="39"/>
    </row>
    <row r="495" spans="1:13" x14ac:dyDescent="0.35">
      <c r="A495" s="38"/>
      <c r="B495" s="38"/>
      <c r="C495" s="38"/>
      <c r="D495" s="38"/>
      <c r="E495" s="38"/>
      <c r="F495" s="39"/>
      <c r="G495" s="38"/>
      <c r="H495" s="39"/>
      <c r="I495" s="38"/>
      <c r="J495" s="38"/>
      <c r="K495" s="38"/>
      <c r="L495" s="38"/>
      <c r="M495" s="39"/>
    </row>
    <row r="496" spans="1:13" x14ac:dyDescent="0.35">
      <c r="A496" s="38"/>
      <c r="B496" s="38"/>
      <c r="C496" s="38"/>
      <c r="D496" s="38"/>
      <c r="E496" s="38"/>
      <c r="F496" s="39"/>
      <c r="G496" s="38"/>
      <c r="H496" s="39"/>
      <c r="I496" s="38"/>
      <c r="J496" s="38"/>
      <c r="K496" s="38"/>
      <c r="L496" s="38"/>
      <c r="M496" s="39"/>
    </row>
    <row r="497" spans="1:13" x14ac:dyDescent="0.35">
      <c r="A497" s="38"/>
      <c r="B497" s="38"/>
      <c r="C497" s="38"/>
      <c r="D497" s="38"/>
      <c r="E497" s="38"/>
      <c r="F497" s="39"/>
      <c r="G497" s="38"/>
      <c r="H497" s="39"/>
      <c r="I497" s="38"/>
      <c r="J497" s="38"/>
      <c r="K497" s="38"/>
      <c r="L497" s="38"/>
      <c r="M497" s="39"/>
    </row>
    <row r="498" spans="1:13" x14ac:dyDescent="0.35">
      <c r="A498" s="38"/>
      <c r="B498" s="38"/>
      <c r="C498" s="38"/>
      <c r="D498" s="38"/>
      <c r="E498" s="38"/>
      <c r="F498" s="39"/>
      <c r="G498" s="38"/>
      <c r="H498" s="39"/>
      <c r="I498" s="38"/>
      <c r="J498" s="38"/>
      <c r="K498" s="38"/>
      <c r="L498" s="38"/>
      <c r="M498" s="39"/>
    </row>
    <row r="499" spans="1:13" x14ac:dyDescent="0.35">
      <c r="A499" s="38"/>
      <c r="B499" s="38"/>
      <c r="C499" s="38"/>
      <c r="D499" s="38"/>
      <c r="E499" s="38"/>
      <c r="F499" s="39"/>
      <c r="G499" s="38"/>
      <c r="H499" s="39"/>
      <c r="I499" s="38"/>
      <c r="J499" s="38"/>
      <c r="K499" s="38"/>
      <c r="L499" s="38"/>
      <c r="M499" s="39"/>
    </row>
    <row r="500" spans="1:13" x14ac:dyDescent="0.35">
      <c r="A500" s="38"/>
      <c r="B500" s="38"/>
      <c r="C500" s="38"/>
      <c r="D500" s="38"/>
      <c r="E500" s="38"/>
      <c r="F500" s="39"/>
      <c r="G500" s="38"/>
      <c r="H500" s="39"/>
      <c r="I500" s="38"/>
      <c r="J500" s="38"/>
      <c r="K500" s="38"/>
      <c r="L500" s="38"/>
      <c r="M500" s="39"/>
    </row>
    <row r="501" spans="1:13" x14ac:dyDescent="0.35">
      <c r="A501" s="38"/>
      <c r="B501" s="38"/>
      <c r="C501" s="38"/>
      <c r="D501" s="38"/>
      <c r="E501" s="38"/>
      <c r="F501" s="39"/>
      <c r="G501" s="38"/>
      <c r="H501" s="39"/>
      <c r="I501" s="38"/>
      <c r="J501" s="38"/>
      <c r="K501" s="38"/>
      <c r="L501" s="38"/>
      <c r="M501" s="39"/>
    </row>
    <row r="502" spans="1:13" x14ac:dyDescent="0.35">
      <c r="A502" s="38"/>
      <c r="B502" s="38"/>
      <c r="C502" s="38"/>
      <c r="D502" s="38"/>
      <c r="E502" s="38"/>
      <c r="F502" s="39"/>
      <c r="G502" s="38"/>
      <c r="H502" s="39"/>
      <c r="I502" s="38"/>
      <c r="J502" s="38"/>
      <c r="K502" s="38"/>
      <c r="L502" s="38"/>
      <c r="M502" s="39"/>
    </row>
    <row r="503" spans="1:13" x14ac:dyDescent="0.35">
      <c r="A503" s="38"/>
      <c r="B503" s="38"/>
      <c r="C503" s="38"/>
      <c r="D503" s="38"/>
      <c r="E503" s="38"/>
      <c r="F503" s="39"/>
      <c r="G503" s="38"/>
      <c r="H503" s="39"/>
      <c r="I503" s="38"/>
      <c r="J503" s="38"/>
      <c r="K503" s="38"/>
      <c r="L503" s="38"/>
      <c r="M503" s="39"/>
    </row>
    <row r="504" spans="1:13" x14ac:dyDescent="0.35">
      <c r="A504" s="38"/>
      <c r="B504" s="38"/>
      <c r="C504" s="38"/>
      <c r="D504" s="38"/>
      <c r="E504" s="38"/>
      <c r="F504" s="39"/>
      <c r="G504" s="38"/>
      <c r="H504" s="39"/>
      <c r="I504" s="38"/>
      <c r="J504" s="38"/>
      <c r="K504" s="38"/>
      <c r="L504" s="38"/>
      <c r="M504" s="39"/>
    </row>
    <row r="505" spans="1:13" x14ac:dyDescent="0.35">
      <c r="A505" s="38"/>
      <c r="B505" s="38"/>
      <c r="C505" s="38"/>
      <c r="D505" s="38"/>
      <c r="E505" s="38"/>
      <c r="F505" s="39"/>
      <c r="G505" s="38"/>
      <c r="H505" s="39"/>
      <c r="I505" s="38"/>
      <c r="J505" s="38"/>
      <c r="K505" s="38"/>
      <c r="L505" s="38"/>
      <c r="M505" s="39"/>
    </row>
    <row r="506" spans="1:13" x14ac:dyDescent="0.35">
      <c r="A506" s="38"/>
      <c r="B506" s="38"/>
      <c r="C506" s="38"/>
      <c r="D506" s="38"/>
      <c r="E506" s="38"/>
      <c r="F506" s="39"/>
      <c r="G506" s="38"/>
      <c r="H506" s="39"/>
      <c r="I506" s="38"/>
      <c r="J506" s="38"/>
      <c r="K506" s="38"/>
      <c r="L506" s="38"/>
      <c r="M506" s="39"/>
    </row>
    <row r="507" spans="1:13" x14ac:dyDescent="0.35">
      <c r="A507" s="38"/>
      <c r="B507" s="38"/>
      <c r="C507" s="38"/>
      <c r="D507" s="38"/>
      <c r="E507" s="38"/>
      <c r="F507" s="39"/>
      <c r="G507" s="38"/>
      <c r="H507" s="39"/>
      <c r="I507" s="38"/>
      <c r="J507" s="38"/>
      <c r="K507" s="38"/>
      <c r="L507" s="38"/>
      <c r="M507" s="39"/>
    </row>
    <row r="508" spans="1:13" x14ac:dyDescent="0.35">
      <c r="A508" s="38"/>
      <c r="B508" s="38"/>
      <c r="C508" s="38"/>
      <c r="D508" s="38"/>
      <c r="E508" s="38"/>
      <c r="F508" s="39"/>
      <c r="G508" s="38"/>
      <c r="H508" s="39"/>
      <c r="I508" s="38"/>
      <c r="J508" s="38"/>
      <c r="K508" s="38"/>
      <c r="L508" s="38"/>
      <c r="M508" s="39"/>
    </row>
    <row r="509" spans="1:13" x14ac:dyDescent="0.35">
      <c r="A509" s="38"/>
      <c r="B509" s="38"/>
      <c r="C509" s="38"/>
      <c r="D509" s="38"/>
      <c r="E509" s="38"/>
      <c r="F509" s="39"/>
      <c r="G509" s="38"/>
      <c r="H509" s="39"/>
      <c r="I509" s="38"/>
      <c r="J509" s="38"/>
      <c r="K509" s="38"/>
      <c r="L509" s="38"/>
      <c r="M509" s="39"/>
    </row>
    <row r="510" spans="1:13" x14ac:dyDescent="0.35">
      <c r="A510" s="38"/>
      <c r="B510" s="38"/>
      <c r="C510" s="38"/>
      <c r="D510" s="38"/>
      <c r="E510" s="38"/>
      <c r="F510" s="39"/>
      <c r="G510" s="38"/>
      <c r="H510" s="39"/>
      <c r="I510" s="38"/>
      <c r="J510" s="38"/>
      <c r="K510" s="38"/>
      <c r="L510" s="38"/>
      <c r="M510" s="39"/>
    </row>
    <row r="511" spans="1:13" x14ac:dyDescent="0.35">
      <c r="A511" s="38"/>
      <c r="B511" s="38"/>
      <c r="C511" s="38"/>
      <c r="D511" s="38"/>
      <c r="E511" s="38"/>
      <c r="F511" s="39"/>
      <c r="G511" s="38"/>
      <c r="H511" s="39"/>
      <c r="I511" s="38"/>
      <c r="J511" s="38"/>
      <c r="K511" s="38"/>
      <c r="L511" s="38"/>
      <c r="M511" s="39"/>
    </row>
    <row r="512" spans="1:13" x14ac:dyDescent="0.35">
      <c r="A512" s="38"/>
      <c r="B512" s="38"/>
      <c r="C512" s="38"/>
      <c r="D512" s="38"/>
      <c r="E512" s="38"/>
      <c r="F512" s="39"/>
      <c r="G512" s="38"/>
      <c r="H512" s="39"/>
      <c r="I512" s="38"/>
      <c r="J512" s="38"/>
      <c r="K512" s="38"/>
      <c r="L512" s="38"/>
      <c r="M512" s="39"/>
    </row>
    <row r="513" spans="1:13" x14ac:dyDescent="0.35">
      <c r="A513" s="38"/>
      <c r="B513" s="38"/>
      <c r="C513" s="38"/>
      <c r="D513" s="38"/>
      <c r="E513" s="38"/>
      <c r="F513" s="39"/>
      <c r="G513" s="38"/>
      <c r="H513" s="39"/>
      <c r="I513" s="38"/>
      <c r="J513" s="38"/>
      <c r="K513" s="38"/>
      <c r="L513" s="38"/>
      <c r="M513" s="39"/>
    </row>
    <row r="514" spans="1:13" x14ac:dyDescent="0.35">
      <c r="A514" s="38"/>
      <c r="B514" s="38"/>
      <c r="C514" s="38"/>
      <c r="D514" s="38"/>
      <c r="E514" s="38"/>
      <c r="F514" s="39"/>
      <c r="G514" s="38"/>
      <c r="H514" s="39"/>
      <c r="I514" s="38"/>
      <c r="J514" s="38"/>
      <c r="K514" s="38"/>
      <c r="L514" s="38"/>
      <c r="M514" s="39"/>
    </row>
    <row r="515" spans="1:13" x14ac:dyDescent="0.35">
      <c r="A515" s="38"/>
      <c r="B515" s="38"/>
      <c r="C515" s="38"/>
      <c r="D515" s="38"/>
      <c r="E515" s="38"/>
      <c r="F515" s="39"/>
      <c r="G515" s="38"/>
      <c r="H515" s="39"/>
      <c r="I515" s="38"/>
      <c r="J515" s="38"/>
      <c r="K515" s="38"/>
      <c r="L515" s="38"/>
      <c r="M515" s="39"/>
    </row>
    <row r="516" spans="1:13" x14ac:dyDescent="0.35">
      <c r="A516" s="38"/>
      <c r="B516" s="38"/>
      <c r="C516" s="38"/>
      <c r="D516" s="38"/>
      <c r="E516" s="38"/>
      <c r="F516" s="39"/>
      <c r="G516" s="38"/>
      <c r="H516" s="39"/>
      <c r="I516" s="38"/>
      <c r="J516" s="38"/>
      <c r="K516" s="38"/>
      <c r="L516" s="38"/>
      <c r="M516" s="39"/>
    </row>
    <row r="517" spans="1:13" x14ac:dyDescent="0.35">
      <c r="A517" s="38"/>
      <c r="B517" s="38"/>
      <c r="C517" s="38"/>
      <c r="D517" s="38"/>
      <c r="E517" s="38"/>
      <c r="F517" s="39"/>
      <c r="G517" s="38"/>
      <c r="H517" s="39"/>
      <c r="I517" s="38"/>
      <c r="J517" s="38"/>
      <c r="K517" s="38"/>
      <c r="L517" s="38"/>
      <c r="M517" s="39"/>
    </row>
    <row r="518" spans="1:13" x14ac:dyDescent="0.35">
      <c r="A518" s="38"/>
      <c r="B518" s="38"/>
      <c r="C518" s="38"/>
      <c r="D518" s="38"/>
      <c r="E518" s="38"/>
      <c r="F518" s="39"/>
      <c r="G518" s="38"/>
      <c r="H518" s="39"/>
      <c r="I518" s="38"/>
      <c r="J518" s="38"/>
      <c r="K518" s="38"/>
      <c r="L518" s="38"/>
      <c r="M518" s="39"/>
    </row>
    <row r="519" spans="1:13" x14ac:dyDescent="0.35">
      <c r="A519" s="40"/>
      <c r="B519" s="40"/>
      <c r="C519" s="40"/>
      <c r="D519" s="40"/>
      <c r="E519" s="40"/>
      <c r="F519" s="41"/>
      <c r="G519" s="40"/>
      <c r="H519" s="41"/>
      <c r="I519" s="40"/>
      <c r="J519" s="40"/>
      <c r="K519" s="40"/>
      <c r="L519" s="40"/>
      <c r="M519" s="41"/>
    </row>
  </sheetData>
  <autoFilter ref="A1:M469" xr:uid="{CB1048BF-865E-45A3-BB6E-4F8901F993E1}"/>
  <sortState xmlns:xlrd2="http://schemas.microsoft.com/office/spreadsheetml/2017/richdata2" ref="A2:M519">
    <sortCondition ref="F1:F5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FA1D-0F7B-4E25-93AA-D5F863AA2345}">
  <dimension ref="B2:K20"/>
  <sheetViews>
    <sheetView topLeftCell="A14" workbookViewId="0">
      <selection activeCell="K20" sqref="K20"/>
    </sheetView>
  </sheetViews>
  <sheetFormatPr baseColWidth="10" defaultColWidth="11.453125" defaultRowHeight="14.5" x14ac:dyDescent="0.35"/>
  <cols>
    <col min="2" max="2" width="22.453125" customWidth="1"/>
    <col min="3" max="3" width="38.08984375" style="2" customWidth="1"/>
    <col min="5" max="5" width="19.6328125" bestFit="1" customWidth="1"/>
    <col min="6" max="6" width="14.453125" hidden="1" customWidth="1"/>
    <col min="7" max="8" width="0" hidden="1" customWidth="1"/>
    <col min="9" max="9" width="12.81640625" hidden="1" customWidth="1"/>
    <col min="10" max="10" width="0" hidden="1" customWidth="1"/>
    <col min="11" max="11" width="53.453125" customWidth="1"/>
  </cols>
  <sheetData>
    <row r="2" spans="2:11" x14ac:dyDescent="0.35">
      <c r="B2" s="12" t="s">
        <v>1303</v>
      </c>
    </row>
    <row r="4" spans="2:11" ht="30.5" customHeight="1" x14ac:dyDescent="0.35">
      <c r="D4" s="54" t="s">
        <v>45</v>
      </c>
      <c r="E4" s="55"/>
      <c r="F4" s="55"/>
      <c r="G4" s="55"/>
      <c r="H4" s="55"/>
      <c r="I4" s="55"/>
      <c r="J4" s="55"/>
    </row>
    <row r="5" spans="2:11" ht="43.5" x14ac:dyDescent="0.35">
      <c r="B5" s="13" t="s">
        <v>46</v>
      </c>
      <c r="C5" s="14" t="s">
        <v>47</v>
      </c>
      <c r="D5" s="15" t="s">
        <v>48</v>
      </c>
      <c r="E5" s="15" t="s">
        <v>49</v>
      </c>
      <c r="F5" s="15" t="s">
        <v>48</v>
      </c>
      <c r="G5" s="15" t="s">
        <v>48</v>
      </c>
      <c r="H5" s="16" t="s">
        <v>49</v>
      </c>
      <c r="I5" s="16" t="s">
        <v>50</v>
      </c>
      <c r="J5" s="15" t="s">
        <v>51</v>
      </c>
    </row>
    <row r="6" spans="2:11" x14ac:dyDescent="0.35">
      <c r="B6" s="17" t="s">
        <v>52</v>
      </c>
      <c r="C6" s="18" t="s">
        <v>338</v>
      </c>
      <c r="D6" s="16">
        <f>+E6</f>
        <v>5</v>
      </c>
      <c r="E6" s="16">
        <f>COUNTIF('Producción Reclamo'!J:J,C6)</f>
        <v>5</v>
      </c>
      <c r="F6" s="19"/>
      <c r="G6" s="19"/>
      <c r="H6" s="16"/>
      <c r="I6" s="16">
        <f t="shared" ref="I6:I9" si="0">E6+H6</f>
        <v>5</v>
      </c>
      <c r="J6" s="10">
        <f t="shared" ref="J6:J9" si="1">D6+F6+G6</f>
        <v>5</v>
      </c>
    </row>
    <row r="7" spans="2:11" x14ac:dyDescent="0.35">
      <c r="B7" s="17" t="s">
        <v>53</v>
      </c>
      <c r="C7" s="18" t="s">
        <v>333</v>
      </c>
      <c r="D7" s="16">
        <f>+E7+SUMIF('Producción Reclamo'!E1:E1,"=C6")</f>
        <v>5</v>
      </c>
      <c r="E7" s="16">
        <f>COUNTIF('Producción Reclamo'!J:J,C7)</f>
        <v>5</v>
      </c>
      <c r="F7" s="20"/>
      <c r="G7" s="20"/>
      <c r="H7" s="16"/>
      <c r="I7" s="16">
        <f t="shared" si="0"/>
        <v>5</v>
      </c>
      <c r="J7" s="10">
        <f t="shared" si="1"/>
        <v>5</v>
      </c>
      <c r="K7" s="12"/>
    </row>
    <row r="8" spans="2:11" x14ac:dyDescent="0.35">
      <c r="B8" s="17" t="s">
        <v>54</v>
      </c>
      <c r="C8" s="18" t="s">
        <v>343</v>
      </c>
      <c r="D8" s="16">
        <f>+E8</f>
        <v>10</v>
      </c>
      <c r="E8" s="16">
        <f>COUNTIF('Producción Reclamo'!J:J,C8)</f>
        <v>10</v>
      </c>
      <c r="F8" s="20"/>
      <c r="G8" s="20"/>
      <c r="H8" s="16"/>
      <c r="I8" s="16">
        <f t="shared" si="0"/>
        <v>10</v>
      </c>
      <c r="J8" s="10">
        <f t="shared" si="1"/>
        <v>10</v>
      </c>
    </row>
    <row r="9" spans="2:11" x14ac:dyDescent="0.35">
      <c r="B9" s="17" t="s">
        <v>55</v>
      </c>
      <c r="C9" s="18" t="s">
        <v>336</v>
      </c>
      <c r="D9" s="16">
        <f t="shared" ref="D9:D17" si="2">+E9</f>
        <v>9</v>
      </c>
      <c r="E9" s="16">
        <f>COUNTIF('Producción Reclamo'!J:J,C9)</f>
        <v>9</v>
      </c>
      <c r="F9" s="20"/>
      <c r="G9" s="20"/>
      <c r="H9" s="16"/>
      <c r="I9" s="16">
        <f t="shared" si="0"/>
        <v>9</v>
      </c>
      <c r="J9" s="10">
        <f t="shared" si="1"/>
        <v>9</v>
      </c>
    </row>
    <row r="10" spans="2:11" x14ac:dyDescent="0.35">
      <c r="B10" s="45" t="s">
        <v>56</v>
      </c>
      <c r="C10" s="46" t="s">
        <v>345</v>
      </c>
      <c r="D10" s="16">
        <f t="shared" si="2"/>
        <v>9</v>
      </c>
      <c r="E10" s="16">
        <f>COUNTIF('Producción Reclamo'!J:J,C10)</f>
        <v>9</v>
      </c>
      <c r="F10" s="20"/>
      <c r="G10" s="20"/>
      <c r="H10" s="16"/>
      <c r="I10" s="16">
        <f>E10+H10</f>
        <v>9</v>
      </c>
      <c r="J10" s="10">
        <f>D10+F10+G10</f>
        <v>9</v>
      </c>
    </row>
    <row r="11" spans="2:11" x14ac:dyDescent="0.35">
      <c r="B11" s="49" t="s">
        <v>57</v>
      </c>
      <c r="C11" s="18" t="s">
        <v>339</v>
      </c>
      <c r="D11" s="16">
        <f t="shared" si="2"/>
        <v>10</v>
      </c>
      <c r="E11" s="16">
        <f>COUNTIF('Producción Reclamo'!J:J,C11)</f>
        <v>10</v>
      </c>
      <c r="F11" s="21"/>
      <c r="G11" s="21"/>
      <c r="H11" s="22"/>
      <c r="I11" s="22" t="e">
        <f>#REF!+H11</f>
        <v>#REF!</v>
      </c>
      <c r="J11" s="23">
        <f>E11+F11+G11</f>
        <v>10</v>
      </c>
    </row>
    <row r="12" spans="2:11" x14ac:dyDescent="0.35">
      <c r="B12" s="47" t="s">
        <v>58</v>
      </c>
      <c r="C12" s="48" t="s">
        <v>342</v>
      </c>
      <c r="D12" s="16">
        <f t="shared" si="2"/>
        <v>8</v>
      </c>
      <c r="E12" s="16">
        <f>COUNTIF('Producción Reclamo'!J:J,C12)</f>
        <v>8</v>
      </c>
      <c r="F12" s="22"/>
      <c r="G12" s="22"/>
      <c r="H12" s="22"/>
      <c r="I12" s="22"/>
      <c r="J12" s="22">
        <f>E12+F12+G12</f>
        <v>8</v>
      </c>
      <c r="K12" s="12"/>
    </row>
    <row r="13" spans="2:11" x14ac:dyDescent="0.35">
      <c r="B13" s="24" t="s">
        <v>59</v>
      </c>
      <c r="C13" s="25" t="s">
        <v>332</v>
      </c>
      <c r="D13" s="16">
        <f t="shared" si="2"/>
        <v>6</v>
      </c>
      <c r="E13" s="16">
        <f>COUNTIF('Producción Reclamo'!J:J,C13)</f>
        <v>6</v>
      </c>
      <c r="F13" s="22"/>
      <c r="G13" s="22"/>
      <c r="H13" s="22"/>
      <c r="I13" s="22"/>
      <c r="J13" s="22"/>
    </row>
    <row r="14" spans="2:11" x14ac:dyDescent="0.35">
      <c r="B14" s="24" t="s">
        <v>60</v>
      </c>
      <c r="C14" s="25" t="s">
        <v>328</v>
      </c>
      <c r="D14" s="16">
        <f t="shared" si="2"/>
        <v>15</v>
      </c>
      <c r="E14" s="16">
        <f>COUNTIF('Producción Reclamo'!J:J,C14)</f>
        <v>15</v>
      </c>
      <c r="F14" s="22"/>
      <c r="G14" s="22"/>
      <c r="H14" s="22"/>
      <c r="I14" s="22"/>
      <c r="J14" s="22"/>
    </row>
    <row r="15" spans="2:11" x14ac:dyDescent="0.35">
      <c r="B15" s="24" t="s">
        <v>61</v>
      </c>
      <c r="C15" s="25" t="s">
        <v>340</v>
      </c>
      <c r="D15" s="16">
        <f t="shared" si="2"/>
        <v>9</v>
      </c>
      <c r="E15" s="16">
        <f>COUNTIF('Producción Reclamo'!J:J,C15)</f>
        <v>9</v>
      </c>
      <c r="F15" s="22"/>
      <c r="G15" s="22"/>
      <c r="H15" s="22"/>
      <c r="I15" s="22"/>
      <c r="J15" s="22"/>
    </row>
    <row r="16" spans="2:11" x14ac:dyDescent="0.35">
      <c r="B16" s="24" t="s">
        <v>62</v>
      </c>
      <c r="C16" s="25" t="s">
        <v>341</v>
      </c>
      <c r="D16" s="16">
        <f t="shared" si="2"/>
        <v>10</v>
      </c>
      <c r="E16" s="16">
        <f>COUNTIF('Producción Reclamo'!J:J,C16)</f>
        <v>10</v>
      </c>
      <c r="F16" s="22"/>
      <c r="G16" s="22"/>
      <c r="H16" s="22"/>
      <c r="I16" s="22"/>
      <c r="J16" s="22"/>
    </row>
    <row r="17" spans="2:11" ht="15" thickBot="1" x14ac:dyDescent="0.4">
      <c r="B17" s="17" t="s">
        <v>63</v>
      </c>
      <c r="C17" s="18" t="s">
        <v>331</v>
      </c>
      <c r="D17" s="16">
        <f t="shared" si="2"/>
        <v>4</v>
      </c>
      <c r="E17" s="16">
        <f>COUNTIF('Producción Reclamo'!J:J,C17)</f>
        <v>4</v>
      </c>
      <c r="F17" s="22"/>
      <c r="G17" s="22"/>
      <c r="H17" s="22"/>
      <c r="I17" s="22"/>
      <c r="J17" s="22"/>
      <c r="K17" s="12"/>
    </row>
    <row r="18" spans="2:11" ht="15" thickBot="1" x14ac:dyDescent="0.4">
      <c r="B18" s="26"/>
      <c r="C18" s="27" t="s">
        <v>64</v>
      </c>
      <c r="D18" s="27">
        <f>SUM(D6:D17)</f>
        <v>100</v>
      </c>
      <c r="E18" s="27">
        <f>SUM(E6:E17)</f>
        <v>100</v>
      </c>
      <c r="F18" s="27">
        <f t="shared" ref="F18:J18" si="3">SUM(F6:F17)</f>
        <v>0</v>
      </c>
      <c r="G18" s="27">
        <f t="shared" si="3"/>
        <v>0</v>
      </c>
      <c r="H18" s="27">
        <f t="shared" si="3"/>
        <v>0</v>
      </c>
      <c r="I18" s="27" t="e">
        <f t="shared" si="3"/>
        <v>#REF!</v>
      </c>
      <c r="J18" s="27">
        <f t="shared" si="3"/>
        <v>56</v>
      </c>
    </row>
    <row r="20" spans="2:11" ht="105.5" customHeight="1" x14ac:dyDescent="0.35">
      <c r="B20" s="56" t="s">
        <v>138</v>
      </c>
      <c r="C20" s="56"/>
      <c r="D20" s="56"/>
      <c r="E20" s="56"/>
    </row>
  </sheetData>
  <mergeCells count="2">
    <mergeCell ref="D4:J4"/>
    <mergeCell ref="B20:E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1CB5D-4B63-4576-83B7-18799D419690}">
  <dimension ref="A1:B7"/>
  <sheetViews>
    <sheetView workbookViewId="0">
      <selection activeCell="B3" sqref="B3"/>
    </sheetView>
  </sheetViews>
  <sheetFormatPr baseColWidth="10" defaultRowHeight="14.5" x14ac:dyDescent="0.35"/>
  <cols>
    <col min="1" max="1" width="16.54296875" bestFit="1" customWidth="1"/>
    <col min="2" max="2" width="29.36328125" bestFit="1" customWidth="1"/>
  </cols>
  <sheetData>
    <row r="1" spans="1:2" x14ac:dyDescent="0.35">
      <c r="A1" t="s">
        <v>1302</v>
      </c>
    </row>
    <row r="3" spans="1:2" x14ac:dyDescent="0.35">
      <c r="A3" s="11" t="s">
        <v>6</v>
      </c>
      <c r="B3" t="s">
        <v>137</v>
      </c>
    </row>
    <row r="4" spans="1:2" x14ac:dyDescent="0.35">
      <c r="A4" s="2" t="s">
        <v>344</v>
      </c>
      <c r="B4">
        <v>3</v>
      </c>
    </row>
    <row r="5" spans="1:2" x14ac:dyDescent="0.35">
      <c r="A5" s="2" t="s">
        <v>78</v>
      </c>
      <c r="B5">
        <v>83</v>
      </c>
    </row>
    <row r="6" spans="1:2" x14ac:dyDescent="0.35">
      <c r="A6" s="2" t="s">
        <v>337</v>
      </c>
      <c r="B6">
        <v>14</v>
      </c>
    </row>
    <row r="7" spans="1:2" x14ac:dyDescent="0.35">
      <c r="A7" s="2" t="s">
        <v>5</v>
      </c>
      <c r="B7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F15D-3E61-433E-A934-13AB2E4C1463}">
  <sheetPr filterMode="1">
    <pageSetUpPr fitToPage="1"/>
  </sheetPr>
  <dimension ref="A1:P147"/>
  <sheetViews>
    <sheetView topLeftCell="D1" workbookViewId="0">
      <selection activeCell="J2" sqref="J2:J76"/>
    </sheetView>
  </sheetViews>
  <sheetFormatPr baseColWidth="10" defaultColWidth="11.453125" defaultRowHeight="14.5" x14ac:dyDescent="0.35"/>
  <cols>
    <col min="1" max="1" width="7.453125" customWidth="1"/>
    <col min="2" max="2" width="10" customWidth="1"/>
    <col min="3" max="3" width="16.453125" style="31" customWidth="1"/>
    <col min="4" max="4" width="38.54296875" customWidth="1"/>
    <col min="5" max="5" width="17.1796875" customWidth="1"/>
    <col min="6" max="6" width="15.1796875" style="4" customWidth="1"/>
    <col min="7" max="7" width="11.08984375" style="3" customWidth="1"/>
    <col min="8" max="8" width="19.54296875" customWidth="1"/>
    <col min="9" max="9" width="8.90625" customWidth="1"/>
    <col min="10" max="10" width="31.1796875" customWidth="1"/>
    <col min="11" max="11" width="22.08984375" style="1" customWidth="1"/>
    <col min="12" max="13" width="16.81640625" style="2" customWidth="1"/>
    <col min="14" max="14" width="15.08984375" style="37" customWidth="1"/>
    <col min="15" max="15" width="16.54296875" style="36" customWidth="1"/>
    <col min="16" max="16" width="20.36328125" style="35" customWidth="1"/>
  </cols>
  <sheetData>
    <row r="1" spans="1:16" ht="43.5" x14ac:dyDescent="0.35">
      <c r="A1" s="5" t="s">
        <v>7</v>
      </c>
      <c r="B1" s="6" t="s">
        <v>8</v>
      </c>
      <c r="C1" s="30" t="s">
        <v>9</v>
      </c>
      <c r="D1" s="6" t="s">
        <v>10</v>
      </c>
      <c r="E1" s="6" t="s">
        <v>11</v>
      </c>
      <c r="F1" s="9" t="s">
        <v>12</v>
      </c>
      <c r="G1" s="32" t="s">
        <v>149</v>
      </c>
      <c r="H1" s="7" t="s">
        <v>13</v>
      </c>
      <c r="I1" s="6" t="s">
        <v>65</v>
      </c>
      <c r="J1" s="6" t="s">
        <v>66</v>
      </c>
      <c r="K1" s="6" t="s">
        <v>67</v>
      </c>
      <c r="L1" s="5" t="s">
        <v>68</v>
      </c>
      <c r="M1" s="8" t="s">
        <v>69</v>
      </c>
      <c r="N1" s="30" t="s">
        <v>70</v>
      </c>
      <c r="O1" s="34" t="s">
        <v>71</v>
      </c>
      <c r="P1" s="34" t="s">
        <v>72</v>
      </c>
    </row>
    <row r="2" spans="1:16" x14ac:dyDescent="0.35">
      <c r="A2" s="33" t="s">
        <v>327</v>
      </c>
      <c r="B2" s="33" t="s">
        <v>17</v>
      </c>
      <c r="C2" s="33" t="s">
        <v>511</v>
      </c>
      <c r="D2" s="33" t="s">
        <v>512</v>
      </c>
      <c r="E2" s="33" t="s">
        <v>513</v>
      </c>
      <c r="F2" s="53">
        <v>45769</v>
      </c>
      <c r="G2" s="33">
        <v>125</v>
      </c>
      <c r="H2" s="53">
        <v>45952</v>
      </c>
      <c r="I2" s="53" t="str">
        <f>IF(H2&lt;O2,"SI","NO")</f>
        <v>NO</v>
      </c>
      <c r="J2" s="33" t="s">
        <v>333</v>
      </c>
      <c r="K2" s="33" t="s">
        <v>338</v>
      </c>
      <c r="L2" s="33" t="s">
        <v>330</v>
      </c>
      <c r="M2" s="33" t="s">
        <v>1198</v>
      </c>
      <c r="N2" s="33" t="s">
        <v>78</v>
      </c>
      <c r="O2" s="53">
        <v>45890</v>
      </c>
      <c r="P2" s="53">
        <v>45890</v>
      </c>
    </row>
    <row r="3" spans="1:16" x14ac:dyDescent="0.35">
      <c r="A3" s="33" t="s">
        <v>327</v>
      </c>
      <c r="B3" s="33" t="s">
        <v>17</v>
      </c>
      <c r="C3" s="33" t="s">
        <v>511</v>
      </c>
      <c r="D3" s="33" t="s">
        <v>512</v>
      </c>
      <c r="E3" s="33" t="s">
        <v>529</v>
      </c>
      <c r="F3" s="53">
        <v>45770</v>
      </c>
      <c r="G3" s="33">
        <v>125</v>
      </c>
      <c r="H3" s="53">
        <v>45953</v>
      </c>
      <c r="I3" s="53" t="str">
        <f t="shared" ref="I3:I66" si="0">IF(H3&lt;O3,"SI","NO")</f>
        <v>NO</v>
      </c>
      <c r="J3" s="33" t="s">
        <v>333</v>
      </c>
      <c r="K3" s="33" t="s">
        <v>338</v>
      </c>
      <c r="L3" s="33" t="s">
        <v>330</v>
      </c>
      <c r="M3" s="33" t="s">
        <v>1199</v>
      </c>
      <c r="N3" s="33" t="s">
        <v>78</v>
      </c>
      <c r="O3" s="53">
        <v>45895</v>
      </c>
      <c r="P3" s="53">
        <v>45895</v>
      </c>
    </row>
    <row r="4" spans="1:16" x14ac:dyDescent="0.35">
      <c r="A4" s="33" t="s">
        <v>327</v>
      </c>
      <c r="B4" s="33" t="s">
        <v>17</v>
      </c>
      <c r="C4" s="33" t="s">
        <v>530</v>
      </c>
      <c r="D4" s="33" t="s">
        <v>531</v>
      </c>
      <c r="E4" s="33" t="s">
        <v>532</v>
      </c>
      <c r="F4" s="53">
        <v>45770</v>
      </c>
      <c r="G4" s="33">
        <v>125</v>
      </c>
      <c r="H4" s="53">
        <v>45953</v>
      </c>
      <c r="I4" s="53" t="str">
        <f t="shared" si="0"/>
        <v>NO</v>
      </c>
      <c r="J4" s="33" t="s">
        <v>333</v>
      </c>
      <c r="K4" s="33" t="s">
        <v>338</v>
      </c>
      <c r="L4" s="33" t="s">
        <v>330</v>
      </c>
      <c r="M4" s="33" t="s">
        <v>1200</v>
      </c>
      <c r="N4" s="33" t="s">
        <v>78</v>
      </c>
      <c r="O4" s="53">
        <v>45897</v>
      </c>
      <c r="P4" s="53">
        <v>45897</v>
      </c>
    </row>
    <row r="5" spans="1:16" x14ac:dyDescent="0.35">
      <c r="A5" s="33" t="s">
        <v>327</v>
      </c>
      <c r="B5" s="33" t="s">
        <v>17</v>
      </c>
      <c r="C5" s="33" t="s">
        <v>530</v>
      </c>
      <c r="D5" s="33" t="s">
        <v>531</v>
      </c>
      <c r="E5" s="33" t="s">
        <v>533</v>
      </c>
      <c r="F5" s="53">
        <v>45770</v>
      </c>
      <c r="G5" s="33">
        <v>125</v>
      </c>
      <c r="H5" s="53">
        <v>45953</v>
      </c>
      <c r="I5" s="53" t="str">
        <f t="shared" si="0"/>
        <v>NO</v>
      </c>
      <c r="J5" s="33" t="s">
        <v>333</v>
      </c>
      <c r="K5" s="33" t="s">
        <v>338</v>
      </c>
      <c r="L5" s="33" t="s">
        <v>330</v>
      </c>
      <c r="M5" s="33" t="s">
        <v>1201</v>
      </c>
      <c r="N5" s="33" t="s">
        <v>78</v>
      </c>
      <c r="O5" s="53">
        <v>45895</v>
      </c>
      <c r="P5" s="53">
        <v>45895</v>
      </c>
    </row>
    <row r="6" spans="1:16" x14ac:dyDescent="0.35">
      <c r="A6" s="33" t="s">
        <v>327</v>
      </c>
      <c r="B6" s="33" t="s">
        <v>17</v>
      </c>
      <c r="C6" s="33" t="s">
        <v>142</v>
      </c>
      <c r="D6" s="33" t="s">
        <v>143</v>
      </c>
      <c r="E6" s="33" t="s">
        <v>612</v>
      </c>
      <c r="F6" s="53">
        <v>45785</v>
      </c>
      <c r="G6" s="33">
        <v>125</v>
      </c>
      <c r="H6" s="53">
        <v>45967</v>
      </c>
      <c r="I6" s="53" t="str">
        <f t="shared" si="0"/>
        <v>NO</v>
      </c>
      <c r="J6" s="33" t="s">
        <v>333</v>
      </c>
      <c r="K6" s="33" t="s">
        <v>338</v>
      </c>
      <c r="L6" s="33" t="s">
        <v>330</v>
      </c>
      <c r="M6" s="33" t="s">
        <v>1202</v>
      </c>
      <c r="N6" s="33" t="s">
        <v>78</v>
      </c>
      <c r="O6" s="53">
        <v>45898</v>
      </c>
      <c r="P6" s="53">
        <v>45898</v>
      </c>
    </row>
    <row r="7" spans="1:16" hidden="1" x14ac:dyDescent="0.35">
      <c r="A7" s="33" t="s">
        <v>327</v>
      </c>
      <c r="B7" s="33" t="s">
        <v>17</v>
      </c>
      <c r="C7" s="33" t="s">
        <v>292</v>
      </c>
      <c r="D7" s="33" t="s">
        <v>293</v>
      </c>
      <c r="E7" s="33" t="s">
        <v>294</v>
      </c>
      <c r="F7" s="53">
        <v>45730</v>
      </c>
      <c r="G7" s="33">
        <v>125</v>
      </c>
      <c r="H7" s="53">
        <v>45916</v>
      </c>
      <c r="I7" s="53" t="str">
        <f t="shared" si="0"/>
        <v>NO</v>
      </c>
      <c r="J7" s="33" t="s">
        <v>342</v>
      </c>
      <c r="K7" s="33" t="s">
        <v>329</v>
      </c>
      <c r="L7" s="33" t="s">
        <v>330</v>
      </c>
      <c r="M7" s="33" t="s">
        <v>1203</v>
      </c>
      <c r="N7" s="33" t="s">
        <v>78</v>
      </c>
      <c r="O7" s="53">
        <v>45882</v>
      </c>
      <c r="P7" s="53">
        <v>45882</v>
      </c>
    </row>
    <row r="8" spans="1:16" hidden="1" x14ac:dyDescent="0.35">
      <c r="A8" s="33" t="s">
        <v>327</v>
      </c>
      <c r="B8" s="33" t="s">
        <v>17</v>
      </c>
      <c r="C8" s="33" t="s">
        <v>292</v>
      </c>
      <c r="D8" s="33" t="s">
        <v>293</v>
      </c>
      <c r="E8" s="33" t="s">
        <v>381</v>
      </c>
      <c r="F8" s="53">
        <v>45736</v>
      </c>
      <c r="G8" s="33">
        <v>125</v>
      </c>
      <c r="H8" s="53">
        <v>45922</v>
      </c>
      <c r="I8" s="53" t="str">
        <f t="shared" si="0"/>
        <v>NO</v>
      </c>
      <c r="J8" s="33" t="s">
        <v>342</v>
      </c>
      <c r="K8" s="33" t="s">
        <v>329</v>
      </c>
      <c r="L8" s="33" t="s">
        <v>330</v>
      </c>
      <c r="M8" s="33" t="s">
        <v>1204</v>
      </c>
      <c r="N8" s="33" t="s">
        <v>78</v>
      </c>
      <c r="O8" s="53">
        <v>45882</v>
      </c>
      <c r="P8" s="53">
        <v>45882</v>
      </c>
    </row>
    <row r="9" spans="1:16" hidden="1" x14ac:dyDescent="0.35">
      <c r="A9" s="33" t="s">
        <v>327</v>
      </c>
      <c r="B9" s="33" t="s">
        <v>17</v>
      </c>
      <c r="C9" s="33" t="s">
        <v>292</v>
      </c>
      <c r="D9" s="33" t="s">
        <v>293</v>
      </c>
      <c r="E9" s="33" t="s">
        <v>382</v>
      </c>
      <c r="F9" s="53">
        <v>45736</v>
      </c>
      <c r="G9" s="33">
        <v>125</v>
      </c>
      <c r="H9" s="53">
        <v>45922</v>
      </c>
      <c r="I9" s="53" t="str">
        <f t="shared" si="0"/>
        <v>NO</v>
      </c>
      <c r="J9" s="33" t="s">
        <v>342</v>
      </c>
      <c r="K9" s="33" t="s">
        <v>329</v>
      </c>
      <c r="L9" s="33" t="s">
        <v>330</v>
      </c>
      <c r="M9" s="33" t="s">
        <v>1205</v>
      </c>
      <c r="N9" s="33" t="s">
        <v>78</v>
      </c>
      <c r="O9" s="53">
        <v>45882</v>
      </c>
      <c r="P9" s="53">
        <v>45882</v>
      </c>
    </row>
    <row r="10" spans="1:16" hidden="1" x14ac:dyDescent="0.35">
      <c r="A10" s="33" t="s">
        <v>335</v>
      </c>
      <c r="B10" s="33" t="s">
        <v>17</v>
      </c>
      <c r="C10" s="33" t="s">
        <v>764</v>
      </c>
      <c r="D10" s="33" t="s">
        <v>765</v>
      </c>
      <c r="E10" s="33" t="s">
        <v>766</v>
      </c>
      <c r="F10" s="53">
        <v>45796</v>
      </c>
      <c r="G10" s="33">
        <v>60</v>
      </c>
      <c r="H10" s="53">
        <v>45884</v>
      </c>
      <c r="I10" s="53" t="str">
        <f t="shared" si="0"/>
        <v>NO</v>
      </c>
      <c r="J10" s="33" t="s">
        <v>342</v>
      </c>
      <c r="K10" s="33" t="s">
        <v>329</v>
      </c>
      <c r="L10" s="33" t="s">
        <v>330</v>
      </c>
      <c r="M10" s="33" t="s">
        <v>1206</v>
      </c>
      <c r="N10" s="33" t="s">
        <v>78</v>
      </c>
      <c r="O10" s="53">
        <v>45883</v>
      </c>
      <c r="P10" s="53">
        <v>45883</v>
      </c>
    </row>
    <row r="11" spans="1:16" hidden="1" x14ac:dyDescent="0.35">
      <c r="A11" s="33" t="s">
        <v>327</v>
      </c>
      <c r="B11" s="33" t="s">
        <v>17</v>
      </c>
      <c r="C11" s="33" t="s">
        <v>132</v>
      </c>
      <c r="D11" s="33" t="s">
        <v>133</v>
      </c>
      <c r="E11" s="33" t="s">
        <v>181</v>
      </c>
      <c r="F11" s="53">
        <v>45697</v>
      </c>
      <c r="G11" s="33">
        <v>125</v>
      </c>
      <c r="H11" s="53">
        <v>45881</v>
      </c>
      <c r="I11" s="53" t="str">
        <f t="shared" si="0"/>
        <v>NO</v>
      </c>
      <c r="J11" s="33" t="s">
        <v>342</v>
      </c>
      <c r="K11" s="33" t="s">
        <v>329</v>
      </c>
      <c r="L11" s="33" t="s">
        <v>330</v>
      </c>
      <c r="M11" s="33" t="s">
        <v>1207</v>
      </c>
      <c r="N11" s="33" t="s">
        <v>78</v>
      </c>
      <c r="O11" s="53">
        <v>45877</v>
      </c>
      <c r="P11" s="53">
        <v>45877</v>
      </c>
    </row>
    <row r="12" spans="1:16" hidden="1" x14ac:dyDescent="0.35">
      <c r="A12" s="33" t="s">
        <v>327</v>
      </c>
      <c r="B12" s="33" t="s">
        <v>17</v>
      </c>
      <c r="C12" s="33" t="s">
        <v>357</v>
      </c>
      <c r="D12" s="33" t="s">
        <v>358</v>
      </c>
      <c r="E12" s="33" t="s">
        <v>359</v>
      </c>
      <c r="F12" s="53">
        <v>45699</v>
      </c>
      <c r="G12" s="33">
        <v>125</v>
      </c>
      <c r="H12" s="53">
        <v>45883</v>
      </c>
      <c r="I12" s="53" t="str">
        <f t="shared" si="0"/>
        <v>NO</v>
      </c>
      <c r="J12" s="33" t="s">
        <v>342</v>
      </c>
      <c r="K12" s="33" t="s">
        <v>329</v>
      </c>
      <c r="L12" s="33" t="s">
        <v>330</v>
      </c>
      <c r="M12" s="33" t="s">
        <v>1208</v>
      </c>
      <c r="N12" s="33" t="s">
        <v>78</v>
      </c>
      <c r="O12" s="53">
        <v>45883</v>
      </c>
      <c r="P12" s="53">
        <v>45883</v>
      </c>
    </row>
    <row r="13" spans="1:16" hidden="1" x14ac:dyDescent="0.35">
      <c r="A13" s="33" t="s">
        <v>327</v>
      </c>
      <c r="B13" s="33" t="s">
        <v>17</v>
      </c>
      <c r="C13" s="33" t="s">
        <v>191</v>
      </c>
      <c r="D13" s="33" t="s">
        <v>192</v>
      </c>
      <c r="E13" s="33" t="s">
        <v>193</v>
      </c>
      <c r="F13" s="53">
        <v>45699</v>
      </c>
      <c r="G13" s="33">
        <v>125</v>
      </c>
      <c r="H13" s="53">
        <v>45883</v>
      </c>
      <c r="I13" s="53" t="str">
        <f t="shared" si="0"/>
        <v>NO</v>
      </c>
      <c r="J13" s="33" t="s">
        <v>342</v>
      </c>
      <c r="K13" s="33" t="s">
        <v>329</v>
      </c>
      <c r="L13" s="33" t="s">
        <v>330</v>
      </c>
      <c r="M13" s="33" t="s">
        <v>1209</v>
      </c>
      <c r="N13" s="33" t="s">
        <v>337</v>
      </c>
      <c r="O13" s="53">
        <v>45883</v>
      </c>
      <c r="P13" s="53">
        <v>45883</v>
      </c>
    </row>
    <row r="14" spans="1:16" hidden="1" x14ac:dyDescent="0.35">
      <c r="A14" s="33" t="s">
        <v>327</v>
      </c>
      <c r="B14" s="33" t="s">
        <v>17</v>
      </c>
      <c r="C14" s="33" t="s">
        <v>212</v>
      </c>
      <c r="D14" s="33" t="s">
        <v>213</v>
      </c>
      <c r="E14" s="33" t="s">
        <v>214</v>
      </c>
      <c r="F14" s="53">
        <v>45705</v>
      </c>
      <c r="G14" s="33">
        <v>125</v>
      </c>
      <c r="H14" s="53">
        <v>45889</v>
      </c>
      <c r="I14" s="53" t="str">
        <f t="shared" si="0"/>
        <v>NO</v>
      </c>
      <c r="J14" s="33" t="s">
        <v>342</v>
      </c>
      <c r="K14" s="33" t="s">
        <v>329</v>
      </c>
      <c r="L14" s="33" t="s">
        <v>330</v>
      </c>
      <c r="M14" s="33" t="s">
        <v>1210</v>
      </c>
      <c r="N14" s="33" t="s">
        <v>78</v>
      </c>
      <c r="O14" s="53">
        <v>45888</v>
      </c>
      <c r="P14" s="53">
        <v>45888</v>
      </c>
    </row>
    <row r="15" spans="1:16" hidden="1" x14ac:dyDescent="0.35">
      <c r="A15" s="33" t="s">
        <v>327</v>
      </c>
      <c r="B15" s="33" t="s">
        <v>17</v>
      </c>
      <c r="C15" s="33" t="s">
        <v>267</v>
      </c>
      <c r="D15" s="33" t="s">
        <v>268</v>
      </c>
      <c r="E15" s="33" t="s">
        <v>269</v>
      </c>
      <c r="F15" s="53">
        <v>45722</v>
      </c>
      <c r="G15" s="33">
        <v>125</v>
      </c>
      <c r="H15" s="53">
        <v>45908</v>
      </c>
      <c r="I15" s="53" t="str">
        <f t="shared" si="0"/>
        <v>NO</v>
      </c>
      <c r="J15" s="33" t="s">
        <v>331</v>
      </c>
      <c r="K15" s="33" t="s">
        <v>329</v>
      </c>
      <c r="L15" s="33" t="s">
        <v>330</v>
      </c>
      <c r="M15" s="33" t="s">
        <v>1211</v>
      </c>
      <c r="N15" s="33" t="s">
        <v>78</v>
      </c>
      <c r="O15" s="53">
        <v>45898</v>
      </c>
      <c r="P15" s="53">
        <v>45898</v>
      </c>
    </row>
    <row r="16" spans="1:16" hidden="1" x14ac:dyDescent="0.35">
      <c r="A16" s="33" t="s">
        <v>327</v>
      </c>
      <c r="B16" s="33" t="s">
        <v>17</v>
      </c>
      <c r="C16" s="33" t="s">
        <v>176</v>
      </c>
      <c r="D16" s="33" t="s">
        <v>177</v>
      </c>
      <c r="E16" s="33" t="s">
        <v>178</v>
      </c>
      <c r="F16" s="53">
        <v>45693</v>
      </c>
      <c r="G16" s="33">
        <v>125</v>
      </c>
      <c r="H16" s="53">
        <v>45877</v>
      </c>
      <c r="I16" s="53" t="str">
        <f t="shared" si="0"/>
        <v>NO</v>
      </c>
      <c r="J16" s="33" t="s">
        <v>331</v>
      </c>
      <c r="K16" s="33" t="s">
        <v>329</v>
      </c>
      <c r="L16" s="33" t="s">
        <v>330</v>
      </c>
      <c r="M16" s="33" t="s">
        <v>1212</v>
      </c>
      <c r="N16" s="33" t="s">
        <v>78</v>
      </c>
      <c r="O16" s="53">
        <v>45873</v>
      </c>
      <c r="P16" s="53">
        <v>45873</v>
      </c>
    </row>
    <row r="17" spans="1:16" hidden="1" x14ac:dyDescent="0.35">
      <c r="A17" s="33" t="s">
        <v>327</v>
      </c>
      <c r="B17" s="33" t="s">
        <v>17</v>
      </c>
      <c r="C17" s="33" t="s">
        <v>284</v>
      </c>
      <c r="D17" s="33" t="s">
        <v>285</v>
      </c>
      <c r="E17" s="33" t="s">
        <v>288</v>
      </c>
      <c r="F17" s="53">
        <v>45728</v>
      </c>
      <c r="G17" s="33">
        <v>125</v>
      </c>
      <c r="H17" s="53">
        <v>45912</v>
      </c>
      <c r="I17" s="53" t="str">
        <f t="shared" si="0"/>
        <v>NO</v>
      </c>
      <c r="J17" s="33" t="s">
        <v>331</v>
      </c>
      <c r="K17" s="33" t="s">
        <v>329</v>
      </c>
      <c r="L17" s="33" t="s">
        <v>330</v>
      </c>
      <c r="M17" s="33" t="s">
        <v>1213</v>
      </c>
      <c r="N17" s="33" t="s">
        <v>344</v>
      </c>
      <c r="O17" s="53">
        <v>45896</v>
      </c>
      <c r="P17" s="53">
        <v>45896</v>
      </c>
    </row>
    <row r="18" spans="1:16" hidden="1" x14ac:dyDescent="0.35">
      <c r="A18" s="33" t="s">
        <v>327</v>
      </c>
      <c r="B18" s="33" t="s">
        <v>17</v>
      </c>
      <c r="C18" s="33" t="s">
        <v>284</v>
      </c>
      <c r="D18" s="33" t="s">
        <v>285</v>
      </c>
      <c r="E18" s="33" t="s">
        <v>286</v>
      </c>
      <c r="F18" s="53">
        <v>45728</v>
      </c>
      <c r="G18" s="33">
        <v>125</v>
      </c>
      <c r="H18" s="53">
        <v>45912</v>
      </c>
      <c r="I18" s="53" t="str">
        <f t="shared" si="0"/>
        <v>NO</v>
      </c>
      <c r="J18" s="33" t="s">
        <v>331</v>
      </c>
      <c r="K18" s="33" t="s">
        <v>329</v>
      </c>
      <c r="L18" s="33" t="s">
        <v>330</v>
      </c>
      <c r="M18" s="33" t="s">
        <v>1214</v>
      </c>
      <c r="N18" s="33" t="s">
        <v>344</v>
      </c>
      <c r="O18" s="53">
        <v>45896</v>
      </c>
      <c r="P18" s="53">
        <v>45896</v>
      </c>
    </row>
    <row r="19" spans="1:16" x14ac:dyDescent="0.35">
      <c r="A19" s="33" t="s">
        <v>327</v>
      </c>
      <c r="B19" s="33" t="s">
        <v>17</v>
      </c>
      <c r="C19" s="33" t="s">
        <v>492</v>
      </c>
      <c r="D19" s="33" t="s">
        <v>493</v>
      </c>
      <c r="E19" s="33" t="s">
        <v>494</v>
      </c>
      <c r="F19" s="53">
        <v>45768</v>
      </c>
      <c r="G19" s="33">
        <v>125</v>
      </c>
      <c r="H19" s="53">
        <v>45951</v>
      </c>
      <c r="I19" s="53" t="str">
        <f t="shared" si="0"/>
        <v>NO</v>
      </c>
      <c r="J19" s="33" t="s">
        <v>338</v>
      </c>
      <c r="K19" s="33" t="s">
        <v>338</v>
      </c>
      <c r="L19" s="33" t="s">
        <v>330</v>
      </c>
      <c r="M19" s="33" t="s">
        <v>1215</v>
      </c>
      <c r="N19" s="33" t="s">
        <v>337</v>
      </c>
      <c r="O19" s="53">
        <v>45897</v>
      </c>
      <c r="P19" s="53">
        <v>45897</v>
      </c>
    </row>
    <row r="20" spans="1:16" x14ac:dyDescent="0.35">
      <c r="A20" s="33" t="s">
        <v>327</v>
      </c>
      <c r="B20" s="33" t="s">
        <v>17</v>
      </c>
      <c r="C20" s="33" t="s">
        <v>492</v>
      </c>
      <c r="D20" s="33" t="s">
        <v>493</v>
      </c>
      <c r="E20" s="33" t="s">
        <v>1216</v>
      </c>
      <c r="F20" s="53">
        <v>45779</v>
      </c>
      <c r="G20" s="33">
        <v>125</v>
      </c>
      <c r="H20" s="53">
        <v>45961</v>
      </c>
      <c r="I20" s="53" t="str">
        <f t="shared" si="0"/>
        <v>NO</v>
      </c>
      <c r="J20" s="33" t="s">
        <v>338</v>
      </c>
      <c r="K20" s="33" t="s">
        <v>338</v>
      </c>
      <c r="L20" s="33" t="s">
        <v>330</v>
      </c>
      <c r="M20" s="33" t="s">
        <v>1217</v>
      </c>
      <c r="N20" s="33" t="s">
        <v>337</v>
      </c>
      <c r="O20" s="53">
        <v>45898</v>
      </c>
      <c r="P20" s="53">
        <v>45898</v>
      </c>
    </row>
    <row r="21" spans="1:16" x14ac:dyDescent="0.35">
      <c r="A21" s="33" t="s">
        <v>327</v>
      </c>
      <c r="B21" s="33" t="s">
        <v>42</v>
      </c>
      <c r="C21" s="33" t="s">
        <v>514</v>
      </c>
      <c r="D21" s="33" t="s">
        <v>515</v>
      </c>
      <c r="E21" s="33" t="s">
        <v>516</v>
      </c>
      <c r="F21" s="53">
        <v>45769</v>
      </c>
      <c r="G21" s="33">
        <v>125</v>
      </c>
      <c r="H21" s="53">
        <v>45952</v>
      </c>
      <c r="I21" s="53" t="str">
        <f t="shared" si="0"/>
        <v>NO</v>
      </c>
      <c r="J21" s="33" t="s">
        <v>338</v>
      </c>
      <c r="K21" s="33" t="s">
        <v>338</v>
      </c>
      <c r="L21" s="33" t="s">
        <v>330</v>
      </c>
      <c r="M21" s="33" t="s">
        <v>1218</v>
      </c>
      <c r="N21" s="33" t="s">
        <v>337</v>
      </c>
      <c r="O21" s="53">
        <v>45898</v>
      </c>
      <c r="P21" s="33" t="s">
        <v>1304</v>
      </c>
    </row>
    <row r="22" spans="1:16" x14ac:dyDescent="0.35">
      <c r="A22" s="33" t="s">
        <v>327</v>
      </c>
      <c r="B22" s="33" t="s">
        <v>17</v>
      </c>
      <c r="C22" s="33" t="s">
        <v>517</v>
      </c>
      <c r="D22" s="33" t="s">
        <v>518</v>
      </c>
      <c r="E22" s="33" t="s">
        <v>519</v>
      </c>
      <c r="F22" s="53">
        <v>45769</v>
      </c>
      <c r="G22" s="33">
        <v>125</v>
      </c>
      <c r="H22" s="53">
        <v>45952</v>
      </c>
      <c r="I22" s="53" t="str">
        <f t="shared" si="0"/>
        <v>NO</v>
      </c>
      <c r="J22" s="33" t="s">
        <v>338</v>
      </c>
      <c r="K22" s="33" t="s">
        <v>338</v>
      </c>
      <c r="L22" s="33" t="s">
        <v>330</v>
      </c>
      <c r="M22" s="33" t="s">
        <v>1219</v>
      </c>
      <c r="N22" s="33" t="s">
        <v>337</v>
      </c>
      <c r="O22" s="53">
        <v>45898</v>
      </c>
      <c r="P22" s="33" t="s">
        <v>1305</v>
      </c>
    </row>
    <row r="23" spans="1:16" x14ac:dyDescent="0.35">
      <c r="A23" s="33" t="s">
        <v>327</v>
      </c>
      <c r="B23" s="33" t="s">
        <v>17</v>
      </c>
      <c r="C23" s="33" t="s">
        <v>432</v>
      </c>
      <c r="D23" s="33" t="s">
        <v>433</v>
      </c>
      <c r="E23" s="33" t="s">
        <v>434</v>
      </c>
      <c r="F23" s="53">
        <v>45749</v>
      </c>
      <c r="G23" s="33">
        <v>125</v>
      </c>
      <c r="H23" s="53">
        <v>45933</v>
      </c>
      <c r="I23" s="53" t="str">
        <f t="shared" si="0"/>
        <v>NO</v>
      </c>
      <c r="J23" s="33" t="s">
        <v>338</v>
      </c>
      <c r="K23" s="33" t="s">
        <v>338</v>
      </c>
      <c r="L23" s="33" t="s">
        <v>330</v>
      </c>
      <c r="M23" s="33" t="s">
        <v>1220</v>
      </c>
      <c r="N23" s="33" t="s">
        <v>78</v>
      </c>
      <c r="O23" s="53">
        <v>45895</v>
      </c>
      <c r="P23" s="33" t="s">
        <v>1300</v>
      </c>
    </row>
    <row r="24" spans="1:16" hidden="1" x14ac:dyDescent="0.35">
      <c r="A24" s="33" t="s">
        <v>327</v>
      </c>
      <c r="B24" s="33" t="s">
        <v>17</v>
      </c>
      <c r="C24" s="33" t="s">
        <v>198</v>
      </c>
      <c r="D24" s="33" t="s">
        <v>199</v>
      </c>
      <c r="E24" s="33" t="s">
        <v>200</v>
      </c>
      <c r="F24" s="53">
        <v>45699</v>
      </c>
      <c r="G24" s="33">
        <v>125</v>
      </c>
      <c r="H24" s="53">
        <v>45883</v>
      </c>
      <c r="I24" s="53" t="str">
        <f t="shared" si="0"/>
        <v>NO</v>
      </c>
      <c r="J24" s="33" t="s">
        <v>340</v>
      </c>
      <c r="K24" s="33" t="s">
        <v>329</v>
      </c>
      <c r="L24" s="33" t="s">
        <v>330</v>
      </c>
      <c r="M24" s="33" t="s">
        <v>1221</v>
      </c>
      <c r="N24" s="33" t="s">
        <v>78</v>
      </c>
      <c r="O24" s="53">
        <v>45882</v>
      </c>
      <c r="P24" s="53">
        <v>45882</v>
      </c>
    </row>
    <row r="25" spans="1:16" hidden="1" x14ac:dyDescent="0.35">
      <c r="A25" s="33" t="s">
        <v>327</v>
      </c>
      <c r="B25" s="33" t="s">
        <v>17</v>
      </c>
      <c r="C25" s="33" t="s">
        <v>188</v>
      </c>
      <c r="D25" s="33" t="s">
        <v>189</v>
      </c>
      <c r="E25" s="33" t="s">
        <v>190</v>
      </c>
      <c r="F25" s="53">
        <v>45699</v>
      </c>
      <c r="G25" s="33">
        <v>125</v>
      </c>
      <c r="H25" s="53">
        <v>45883</v>
      </c>
      <c r="I25" s="53" t="str">
        <f t="shared" si="0"/>
        <v>NO</v>
      </c>
      <c r="J25" s="33" t="s">
        <v>340</v>
      </c>
      <c r="K25" s="33" t="s">
        <v>329</v>
      </c>
      <c r="L25" s="33" t="s">
        <v>330</v>
      </c>
      <c r="M25" s="33" t="s">
        <v>1222</v>
      </c>
      <c r="N25" s="33" t="s">
        <v>78</v>
      </c>
      <c r="O25" s="53">
        <v>45882</v>
      </c>
      <c r="P25" s="53">
        <v>45882</v>
      </c>
    </row>
    <row r="26" spans="1:16" hidden="1" x14ac:dyDescent="0.35">
      <c r="A26" s="33" t="s">
        <v>327</v>
      </c>
      <c r="B26" s="33" t="s">
        <v>17</v>
      </c>
      <c r="C26" s="33" t="s">
        <v>224</v>
      </c>
      <c r="D26" s="33" t="s">
        <v>225</v>
      </c>
      <c r="E26" s="33" t="s">
        <v>229</v>
      </c>
      <c r="F26" s="53">
        <v>45712</v>
      </c>
      <c r="G26" s="33">
        <v>125</v>
      </c>
      <c r="H26" s="53">
        <v>45896</v>
      </c>
      <c r="I26" s="53" t="str">
        <f t="shared" si="0"/>
        <v>NO</v>
      </c>
      <c r="J26" s="33" t="s">
        <v>340</v>
      </c>
      <c r="K26" s="33" t="s">
        <v>329</v>
      </c>
      <c r="L26" s="33" t="s">
        <v>330</v>
      </c>
      <c r="M26" s="33" t="s">
        <v>1223</v>
      </c>
      <c r="N26" s="33" t="s">
        <v>78</v>
      </c>
      <c r="O26" s="53">
        <v>45888</v>
      </c>
      <c r="P26" s="53">
        <v>45888</v>
      </c>
    </row>
    <row r="27" spans="1:16" hidden="1" x14ac:dyDescent="0.35">
      <c r="A27" s="33" t="s">
        <v>327</v>
      </c>
      <c r="B27" s="33" t="s">
        <v>17</v>
      </c>
      <c r="C27" s="33" t="s">
        <v>254</v>
      </c>
      <c r="D27" s="33" t="s">
        <v>255</v>
      </c>
      <c r="E27" s="33" t="s">
        <v>256</v>
      </c>
      <c r="F27" s="53">
        <v>45716</v>
      </c>
      <c r="G27" s="33">
        <v>125</v>
      </c>
      <c r="H27" s="53">
        <v>45902</v>
      </c>
      <c r="I27" s="53" t="str">
        <f t="shared" si="0"/>
        <v>NO</v>
      </c>
      <c r="J27" s="33" t="s">
        <v>340</v>
      </c>
      <c r="K27" s="33" t="s">
        <v>329</v>
      </c>
      <c r="L27" s="33" t="s">
        <v>330</v>
      </c>
      <c r="M27" s="33" t="s">
        <v>1224</v>
      </c>
      <c r="N27" s="33" t="s">
        <v>78</v>
      </c>
      <c r="O27" s="53">
        <v>45888</v>
      </c>
      <c r="P27" s="53">
        <v>45888</v>
      </c>
    </row>
    <row r="28" spans="1:16" hidden="1" x14ac:dyDescent="0.35">
      <c r="A28" s="33" t="s">
        <v>327</v>
      </c>
      <c r="B28" s="33" t="s">
        <v>17</v>
      </c>
      <c r="C28" s="33" t="s">
        <v>251</v>
      </c>
      <c r="D28" s="33" t="s">
        <v>252</v>
      </c>
      <c r="E28" s="33" t="s">
        <v>253</v>
      </c>
      <c r="F28" s="53">
        <v>45716</v>
      </c>
      <c r="G28" s="33">
        <v>125</v>
      </c>
      <c r="H28" s="53">
        <v>45902</v>
      </c>
      <c r="I28" s="53" t="str">
        <f t="shared" si="0"/>
        <v>NO</v>
      </c>
      <c r="J28" s="33" t="s">
        <v>340</v>
      </c>
      <c r="K28" s="33" t="s">
        <v>329</v>
      </c>
      <c r="L28" s="33" t="s">
        <v>330</v>
      </c>
      <c r="M28" s="33" t="s">
        <v>1225</v>
      </c>
      <c r="N28" s="33" t="s">
        <v>78</v>
      </c>
      <c r="O28" s="53">
        <v>45889</v>
      </c>
      <c r="P28" s="53">
        <v>45889</v>
      </c>
    </row>
    <row r="29" spans="1:16" hidden="1" x14ac:dyDescent="0.35">
      <c r="A29" s="33" t="s">
        <v>327</v>
      </c>
      <c r="B29" s="33" t="s">
        <v>17</v>
      </c>
      <c r="C29" s="33" t="s">
        <v>483</v>
      </c>
      <c r="D29" s="33" t="s">
        <v>484</v>
      </c>
      <c r="E29" s="33" t="s">
        <v>485</v>
      </c>
      <c r="F29" s="53">
        <v>45763</v>
      </c>
      <c r="G29" s="33">
        <v>125</v>
      </c>
      <c r="H29" s="53">
        <v>45950</v>
      </c>
      <c r="I29" s="53" t="str">
        <f t="shared" si="0"/>
        <v>NO</v>
      </c>
      <c r="J29" s="33" t="s">
        <v>340</v>
      </c>
      <c r="K29" s="33" t="s">
        <v>329</v>
      </c>
      <c r="L29" s="33" t="s">
        <v>330</v>
      </c>
      <c r="M29" s="33" t="s">
        <v>1226</v>
      </c>
      <c r="N29" s="33" t="s">
        <v>78</v>
      </c>
      <c r="O29" s="53">
        <v>45894</v>
      </c>
      <c r="P29" s="53">
        <v>45894</v>
      </c>
    </row>
    <row r="30" spans="1:16" hidden="1" x14ac:dyDescent="0.35">
      <c r="A30" s="33" t="s">
        <v>335</v>
      </c>
      <c r="B30" s="33" t="s">
        <v>17</v>
      </c>
      <c r="C30" s="33" t="s">
        <v>908</v>
      </c>
      <c r="D30" s="33" t="s">
        <v>909</v>
      </c>
      <c r="E30" s="33" t="s">
        <v>910</v>
      </c>
      <c r="F30" s="53">
        <v>45818</v>
      </c>
      <c r="G30" s="33">
        <v>60</v>
      </c>
      <c r="H30" s="53">
        <v>45908</v>
      </c>
      <c r="I30" s="53" t="str">
        <f t="shared" si="0"/>
        <v>NO</v>
      </c>
      <c r="J30" s="33" t="s">
        <v>340</v>
      </c>
      <c r="K30" s="33" t="s">
        <v>329</v>
      </c>
      <c r="L30" s="33" t="s">
        <v>330</v>
      </c>
      <c r="M30" s="33" t="s">
        <v>1227</v>
      </c>
      <c r="N30" s="33" t="s">
        <v>344</v>
      </c>
      <c r="O30" s="53">
        <v>45890</v>
      </c>
      <c r="P30" s="53">
        <v>45890</v>
      </c>
    </row>
    <row r="31" spans="1:16" hidden="1" x14ac:dyDescent="0.35">
      <c r="A31" s="33" t="s">
        <v>327</v>
      </c>
      <c r="B31" s="33" t="s">
        <v>17</v>
      </c>
      <c r="C31" s="33" t="s">
        <v>182</v>
      </c>
      <c r="D31" s="33" t="s">
        <v>183</v>
      </c>
      <c r="E31" s="33" t="s">
        <v>184</v>
      </c>
      <c r="F31" s="53">
        <v>45698</v>
      </c>
      <c r="G31" s="33">
        <v>125</v>
      </c>
      <c r="H31" s="53">
        <v>45882</v>
      </c>
      <c r="I31" s="53" t="str">
        <f t="shared" si="0"/>
        <v>NO</v>
      </c>
      <c r="J31" s="33" t="s">
        <v>340</v>
      </c>
      <c r="K31" s="33" t="s">
        <v>329</v>
      </c>
      <c r="L31" s="33" t="s">
        <v>330</v>
      </c>
      <c r="M31" s="33" t="s">
        <v>1228</v>
      </c>
      <c r="N31" s="33" t="s">
        <v>78</v>
      </c>
      <c r="O31" s="53">
        <v>45880</v>
      </c>
      <c r="P31" s="53">
        <v>45880</v>
      </c>
    </row>
    <row r="32" spans="1:16" hidden="1" x14ac:dyDescent="0.35">
      <c r="A32" s="33" t="s">
        <v>327</v>
      </c>
      <c r="B32" s="33" t="s">
        <v>17</v>
      </c>
      <c r="C32" s="33" t="s">
        <v>360</v>
      </c>
      <c r="D32" s="33" t="s">
        <v>361</v>
      </c>
      <c r="E32" s="33" t="s">
        <v>362</v>
      </c>
      <c r="F32" s="53">
        <v>45714</v>
      </c>
      <c r="G32" s="33">
        <v>125</v>
      </c>
      <c r="H32" s="53">
        <v>45898</v>
      </c>
      <c r="I32" s="53" t="str">
        <f t="shared" si="0"/>
        <v>NO</v>
      </c>
      <c r="J32" s="33" t="s">
        <v>340</v>
      </c>
      <c r="K32" s="33" t="s">
        <v>329</v>
      </c>
      <c r="L32" s="33" t="s">
        <v>330</v>
      </c>
      <c r="M32" s="33" t="s">
        <v>1229</v>
      </c>
      <c r="N32" s="33" t="s">
        <v>78</v>
      </c>
      <c r="O32" s="53">
        <v>45894</v>
      </c>
      <c r="P32" s="53">
        <v>45894</v>
      </c>
    </row>
    <row r="33" spans="1:16" hidden="1" x14ac:dyDescent="0.35">
      <c r="A33" s="33" t="s">
        <v>327</v>
      </c>
      <c r="B33" s="33" t="s">
        <v>17</v>
      </c>
      <c r="C33" s="33" t="s">
        <v>324</v>
      </c>
      <c r="D33" s="33" t="s">
        <v>325</v>
      </c>
      <c r="E33" s="33" t="s">
        <v>326</v>
      </c>
      <c r="F33" s="53">
        <v>45742</v>
      </c>
      <c r="G33" s="33">
        <v>125</v>
      </c>
      <c r="H33" s="53">
        <v>45926</v>
      </c>
      <c r="I33" s="53" t="str">
        <f t="shared" si="0"/>
        <v>NO</v>
      </c>
      <c r="J33" s="33" t="s">
        <v>332</v>
      </c>
      <c r="K33" s="33" t="s">
        <v>329</v>
      </c>
      <c r="L33" s="33" t="s">
        <v>330</v>
      </c>
      <c r="M33" s="33" t="s">
        <v>1230</v>
      </c>
      <c r="N33" s="33" t="s">
        <v>78</v>
      </c>
      <c r="O33" s="53">
        <v>45897</v>
      </c>
      <c r="P33" s="53">
        <v>45897</v>
      </c>
    </row>
    <row r="34" spans="1:16" hidden="1" x14ac:dyDescent="0.35">
      <c r="A34" s="33" t="s">
        <v>327</v>
      </c>
      <c r="B34" s="33" t="s">
        <v>17</v>
      </c>
      <c r="C34" s="33" t="s">
        <v>321</v>
      </c>
      <c r="D34" s="33" t="s">
        <v>322</v>
      </c>
      <c r="E34" s="33" t="s">
        <v>323</v>
      </c>
      <c r="F34" s="53">
        <v>45742</v>
      </c>
      <c r="G34" s="33">
        <v>125</v>
      </c>
      <c r="H34" s="53">
        <v>45926</v>
      </c>
      <c r="I34" s="53" t="str">
        <f t="shared" si="0"/>
        <v>NO</v>
      </c>
      <c r="J34" s="33" t="s">
        <v>332</v>
      </c>
      <c r="K34" s="33" t="s">
        <v>329</v>
      </c>
      <c r="L34" s="33" t="s">
        <v>330</v>
      </c>
      <c r="M34" s="33" t="s">
        <v>1231</v>
      </c>
      <c r="N34" s="33" t="s">
        <v>78</v>
      </c>
      <c r="O34" s="53">
        <v>45897</v>
      </c>
      <c r="P34" s="53">
        <v>45897</v>
      </c>
    </row>
    <row r="35" spans="1:16" hidden="1" x14ac:dyDescent="0.35">
      <c r="A35" s="33" t="s">
        <v>327</v>
      </c>
      <c r="B35" s="33" t="s">
        <v>17</v>
      </c>
      <c r="C35" s="33" t="s">
        <v>234</v>
      </c>
      <c r="D35" s="33" t="s">
        <v>235</v>
      </c>
      <c r="E35" s="33" t="s">
        <v>236</v>
      </c>
      <c r="F35" s="53">
        <v>45712</v>
      </c>
      <c r="G35" s="33">
        <v>125</v>
      </c>
      <c r="H35" s="53">
        <v>45896</v>
      </c>
      <c r="I35" s="53" t="str">
        <f t="shared" si="0"/>
        <v>NO</v>
      </c>
      <c r="J35" s="33" t="s">
        <v>332</v>
      </c>
      <c r="K35" s="33" t="s">
        <v>329</v>
      </c>
      <c r="L35" s="33" t="s">
        <v>330</v>
      </c>
      <c r="M35" s="33" t="s">
        <v>1232</v>
      </c>
      <c r="N35" s="33" t="s">
        <v>78</v>
      </c>
      <c r="O35" s="53">
        <v>45889</v>
      </c>
      <c r="P35" s="53">
        <v>45889</v>
      </c>
    </row>
    <row r="36" spans="1:16" hidden="1" x14ac:dyDescent="0.35">
      <c r="A36" s="33" t="s">
        <v>327</v>
      </c>
      <c r="B36" s="33" t="s">
        <v>17</v>
      </c>
      <c r="C36" s="33" t="s">
        <v>234</v>
      </c>
      <c r="D36" s="33" t="s">
        <v>235</v>
      </c>
      <c r="E36" s="33" t="s">
        <v>270</v>
      </c>
      <c r="F36" s="53">
        <v>45722</v>
      </c>
      <c r="G36" s="33">
        <v>125</v>
      </c>
      <c r="H36" s="53">
        <v>45908</v>
      </c>
      <c r="I36" s="53" t="str">
        <f t="shared" si="0"/>
        <v>NO</v>
      </c>
      <c r="J36" s="33" t="s">
        <v>332</v>
      </c>
      <c r="K36" s="33" t="s">
        <v>329</v>
      </c>
      <c r="L36" s="33" t="s">
        <v>330</v>
      </c>
      <c r="M36" s="33" t="s">
        <v>1233</v>
      </c>
      <c r="N36" s="33" t="s">
        <v>78</v>
      </c>
      <c r="O36" s="53">
        <v>45889</v>
      </c>
      <c r="P36" s="53">
        <v>45889</v>
      </c>
    </row>
    <row r="37" spans="1:16" hidden="1" x14ac:dyDescent="0.35">
      <c r="A37" s="33" t="s">
        <v>327</v>
      </c>
      <c r="B37" s="33" t="s">
        <v>17</v>
      </c>
      <c r="C37" s="33" t="s">
        <v>271</v>
      </c>
      <c r="D37" s="33" t="s">
        <v>272</v>
      </c>
      <c r="E37" s="33" t="s">
        <v>273</v>
      </c>
      <c r="F37" s="53">
        <v>45722</v>
      </c>
      <c r="G37" s="33">
        <v>125</v>
      </c>
      <c r="H37" s="53">
        <v>45908</v>
      </c>
      <c r="I37" s="53" t="str">
        <f t="shared" si="0"/>
        <v>NO</v>
      </c>
      <c r="J37" s="33" t="s">
        <v>332</v>
      </c>
      <c r="K37" s="33" t="s">
        <v>329</v>
      </c>
      <c r="L37" s="33" t="s">
        <v>330</v>
      </c>
      <c r="M37" s="33" t="s">
        <v>1234</v>
      </c>
      <c r="N37" s="33" t="s">
        <v>78</v>
      </c>
      <c r="O37" s="53">
        <v>45897</v>
      </c>
      <c r="P37" s="53">
        <v>45897</v>
      </c>
    </row>
    <row r="38" spans="1:16" hidden="1" x14ac:dyDescent="0.35">
      <c r="A38" s="33" t="s">
        <v>327</v>
      </c>
      <c r="B38" s="33" t="s">
        <v>17</v>
      </c>
      <c r="C38" s="33" t="s">
        <v>278</v>
      </c>
      <c r="D38" s="33" t="s">
        <v>279</v>
      </c>
      <c r="E38" s="33" t="s">
        <v>280</v>
      </c>
      <c r="F38" s="53">
        <v>45726</v>
      </c>
      <c r="G38" s="33">
        <v>125</v>
      </c>
      <c r="H38" s="53">
        <v>45910</v>
      </c>
      <c r="I38" s="53" t="str">
        <f t="shared" si="0"/>
        <v>NO</v>
      </c>
      <c r="J38" s="33" t="s">
        <v>332</v>
      </c>
      <c r="K38" s="33" t="s">
        <v>329</v>
      </c>
      <c r="L38" s="33" t="s">
        <v>330</v>
      </c>
      <c r="M38" s="33" t="s">
        <v>1235</v>
      </c>
      <c r="N38" s="33" t="s">
        <v>78</v>
      </c>
      <c r="O38" s="53">
        <v>45897</v>
      </c>
      <c r="P38" s="53">
        <v>45897</v>
      </c>
    </row>
    <row r="39" spans="1:16" x14ac:dyDescent="0.35">
      <c r="A39" s="33" t="s">
        <v>327</v>
      </c>
      <c r="B39" s="33" t="s">
        <v>17</v>
      </c>
      <c r="C39" s="33" t="s">
        <v>201</v>
      </c>
      <c r="D39" s="33" t="s">
        <v>202</v>
      </c>
      <c r="E39" s="33" t="s">
        <v>204</v>
      </c>
      <c r="F39" s="53">
        <v>45699</v>
      </c>
      <c r="G39" s="33">
        <v>125</v>
      </c>
      <c r="H39" s="53">
        <v>45883</v>
      </c>
      <c r="I39" s="53" t="str">
        <f t="shared" si="0"/>
        <v>NO</v>
      </c>
      <c r="J39" s="33" t="s">
        <v>345</v>
      </c>
      <c r="K39" s="33" t="s">
        <v>338</v>
      </c>
      <c r="L39" s="33" t="s">
        <v>330</v>
      </c>
      <c r="M39" s="33" t="s">
        <v>1236</v>
      </c>
      <c r="N39" s="33" t="s">
        <v>78</v>
      </c>
      <c r="O39" s="53">
        <v>45877</v>
      </c>
      <c r="P39" s="53">
        <v>45877</v>
      </c>
    </row>
    <row r="40" spans="1:16" x14ac:dyDescent="0.35">
      <c r="A40" s="33" t="s">
        <v>327</v>
      </c>
      <c r="B40" s="33" t="s">
        <v>17</v>
      </c>
      <c r="C40" s="33" t="s">
        <v>201</v>
      </c>
      <c r="D40" s="33" t="s">
        <v>202</v>
      </c>
      <c r="E40" s="33" t="s">
        <v>203</v>
      </c>
      <c r="F40" s="53">
        <v>45699</v>
      </c>
      <c r="G40" s="33">
        <v>125</v>
      </c>
      <c r="H40" s="53">
        <v>45883</v>
      </c>
      <c r="I40" s="53" t="str">
        <f t="shared" si="0"/>
        <v>NO</v>
      </c>
      <c r="J40" s="33" t="s">
        <v>345</v>
      </c>
      <c r="K40" s="33" t="s">
        <v>338</v>
      </c>
      <c r="L40" s="33" t="s">
        <v>330</v>
      </c>
      <c r="M40" s="33" t="s">
        <v>1237</v>
      </c>
      <c r="N40" s="33" t="s">
        <v>78</v>
      </c>
      <c r="O40" s="53">
        <v>45876</v>
      </c>
      <c r="P40" s="53">
        <v>45876</v>
      </c>
    </row>
    <row r="41" spans="1:16" x14ac:dyDescent="0.35">
      <c r="A41" s="33" t="s">
        <v>327</v>
      </c>
      <c r="B41" s="33" t="s">
        <v>17</v>
      </c>
      <c r="C41" s="33" t="s">
        <v>43</v>
      </c>
      <c r="D41" s="33" t="s">
        <v>44</v>
      </c>
      <c r="E41" s="33" t="s">
        <v>208</v>
      </c>
      <c r="F41" s="53">
        <v>45705</v>
      </c>
      <c r="G41" s="33">
        <v>125</v>
      </c>
      <c r="H41" s="53">
        <v>45889</v>
      </c>
      <c r="I41" s="53" t="str">
        <f t="shared" si="0"/>
        <v>NO</v>
      </c>
      <c r="J41" s="33" t="s">
        <v>345</v>
      </c>
      <c r="K41" s="33" t="s">
        <v>338</v>
      </c>
      <c r="L41" s="33" t="s">
        <v>330</v>
      </c>
      <c r="M41" s="33" t="s">
        <v>1238</v>
      </c>
      <c r="N41" s="33" t="s">
        <v>337</v>
      </c>
      <c r="O41" s="53">
        <v>45877</v>
      </c>
      <c r="P41" s="53">
        <v>45877</v>
      </c>
    </row>
    <row r="42" spans="1:16" x14ac:dyDescent="0.35">
      <c r="A42" s="33" t="s">
        <v>327</v>
      </c>
      <c r="B42" s="33" t="s">
        <v>17</v>
      </c>
      <c r="C42" s="33" t="s">
        <v>43</v>
      </c>
      <c r="D42" s="33" t="s">
        <v>44</v>
      </c>
      <c r="E42" s="33" t="s">
        <v>669</v>
      </c>
      <c r="F42" s="53">
        <v>45800</v>
      </c>
      <c r="G42" s="33">
        <v>125</v>
      </c>
      <c r="H42" s="53">
        <v>45982</v>
      </c>
      <c r="I42" s="53" t="str">
        <f t="shared" si="0"/>
        <v>NO</v>
      </c>
      <c r="J42" s="33" t="s">
        <v>345</v>
      </c>
      <c r="K42" s="33" t="s">
        <v>338</v>
      </c>
      <c r="L42" s="33" t="s">
        <v>330</v>
      </c>
      <c r="M42" s="33" t="s">
        <v>1239</v>
      </c>
      <c r="N42" s="33" t="s">
        <v>337</v>
      </c>
      <c r="O42" s="53">
        <v>45895</v>
      </c>
      <c r="P42" s="53">
        <v>45895</v>
      </c>
    </row>
    <row r="43" spans="1:16" x14ac:dyDescent="0.35">
      <c r="A43" s="33" t="s">
        <v>327</v>
      </c>
      <c r="B43" s="33" t="s">
        <v>17</v>
      </c>
      <c r="C43" s="33" t="s">
        <v>670</v>
      </c>
      <c r="D43" s="33" t="s">
        <v>671</v>
      </c>
      <c r="E43" s="33" t="s">
        <v>801</v>
      </c>
      <c r="F43" s="53">
        <v>45804</v>
      </c>
      <c r="G43" s="33">
        <v>125</v>
      </c>
      <c r="H43" s="53">
        <v>45986</v>
      </c>
      <c r="I43" s="53" t="str">
        <f t="shared" si="0"/>
        <v>NO</v>
      </c>
      <c r="J43" s="33" t="s">
        <v>345</v>
      </c>
      <c r="K43" s="33" t="s">
        <v>338</v>
      </c>
      <c r="L43" s="33" t="s">
        <v>330</v>
      </c>
      <c r="M43" s="33" t="s">
        <v>1240</v>
      </c>
      <c r="N43" s="33" t="s">
        <v>337</v>
      </c>
      <c r="O43" s="53">
        <v>45896</v>
      </c>
      <c r="P43" s="53">
        <v>45896</v>
      </c>
    </row>
    <row r="44" spans="1:16" x14ac:dyDescent="0.35">
      <c r="A44" s="33" t="s">
        <v>327</v>
      </c>
      <c r="B44" s="33" t="s">
        <v>17</v>
      </c>
      <c r="C44" s="33" t="s">
        <v>670</v>
      </c>
      <c r="D44" s="33" t="s">
        <v>671</v>
      </c>
      <c r="E44" s="33" t="s">
        <v>802</v>
      </c>
      <c r="F44" s="53">
        <v>45804</v>
      </c>
      <c r="G44" s="33">
        <v>125</v>
      </c>
      <c r="H44" s="53">
        <v>45986</v>
      </c>
      <c r="I44" s="53" t="str">
        <f t="shared" si="0"/>
        <v>NO</v>
      </c>
      <c r="J44" s="33" t="s">
        <v>345</v>
      </c>
      <c r="K44" s="33" t="s">
        <v>338</v>
      </c>
      <c r="L44" s="33" t="s">
        <v>330</v>
      </c>
      <c r="M44" s="33" t="s">
        <v>1241</v>
      </c>
      <c r="N44" s="33" t="s">
        <v>337</v>
      </c>
      <c r="O44" s="53">
        <v>45897</v>
      </c>
      <c r="P44" s="53">
        <v>45897</v>
      </c>
    </row>
    <row r="45" spans="1:16" x14ac:dyDescent="0.35">
      <c r="A45" s="33" t="s">
        <v>327</v>
      </c>
      <c r="B45" s="33" t="s">
        <v>17</v>
      </c>
      <c r="C45" s="33" t="s">
        <v>240</v>
      </c>
      <c r="D45" s="33" t="s">
        <v>241</v>
      </c>
      <c r="E45" s="33" t="s">
        <v>242</v>
      </c>
      <c r="F45" s="53">
        <v>45714</v>
      </c>
      <c r="G45" s="33">
        <v>125</v>
      </c>
      <c r="H45" s="53">
        <v>45898</v>
      </c>
      <c r="I45" s="53" t="str">
        <f t="shared" si="0"/>
        <v>NO</v>
      </c>
      <c r="J45" s="33" t="s">
        <v>345</v>
      </c>
      <c r="K45" s="33" t="s">
        <v>338</v>
      </c>
      <c r="L45" s="33" t="s">
        <v>330</v>
      </c>
      <c r="M45" s="33" t="s">
        <v>1242</v>
      </c>
      <c r="N45" s="33" t="s">
        <v>78</v>
      </c>
      <c r="O45" s="53">
        <v>45887</v>
      </c>
      <c r="P45" s="53">
        <v>45887</v>
      </c>
    </row>
    <row r="46" spans="1:16" x14ac:dyDescent="0.35">
      <c r="A46" s="33" t="s">
        <v>327</v>
      </c>
      <c r="B46" s="33" t="s">
        <v>17</v>
      </c>
      <c r="C46" s="33" t="s">
        <v>281</v>
      </c>
      <c r="D46" s="33" t="s">
        <v>282</v>
      </c>
      <c r="E46" s="33" t="s">
        <v>287</v>
      </c>
      <c r="F46" s="53">
        <v>45728</v>
      </c>
      <c r="G46" s="33">
        <v>125</v>
      </c>
      <c r="H46" s="53">
        <v>45912</v>
      </c>
      <c r="I46" s="53" t="str">
        <f t="shared" si="0"/>
        <v>NO</v>
      </c>
      <c r="J46" s="33" t="s">
        <v>345</v>
      </c>
      <c r="K46" s="33" t="s">
        <v>338</v>
      </c>
      <c r="L46" s="33" t="s">
        <v>330</v>
      </c>
      <c r="M46" s="33" t="s">
        <v>1243</v>
      </c>
      <c r="N46" s="33" t="s">
        <v>78</v>
      </c>
      <c r="O46" s="53">
        <v>45894</v>
      </c>
      <c r="P46" s="53">
        <v>45894</v>
      </c>
    </row>
    <row r="47" spans="1:16" x14ac:dyDescent="0.35">
      <c r="A47" s="33" t="s">
        <v>327</v>
      </c>
      <c r="B47" s="33" t="s">
        <v>17</v>
      </c>
      <c r="C47" s="33" t="s">
        <v>281</v>
      </c>
      <c r="D47" s="33" t="s">
        <v>282</v>
      </c>
      <c r="E47" s="33" t="s">
        <v>283</v>
      </c>
      <c r="F47" s="53">
        <v>45728</v>
      </c>
      <c r="G47" s="33">
        <v>125</v>
      </c>
      <c r="H47" s="53">
        <v>45912</v>
      </c>
      <c r="I47" s="53" t="str">
        <f t="shared" si="0"/>
        <v>NO</v>
      </c>
      <c r="J47" s="33" t="s">
        <v>345</v>
      </c>
      <c r="K47" s="33" t="s">
        <v>338</v>
      </c>
      <c r="L47" s="33" t="s">
        <v>330</v>
      </c>
      <c r="M47" s="33" t="s">
        <v>1244</v>
      </c>
      <c r="N47" s="33" t="s">
        <v>78</v>
      </c>
      <c r="O47" s="53">
        <v>45895</v>
      </c>
      <c r="P47" s="53">
        <v>45895</v>
      </c>
    </row>
    <row r="48" spans="1:16" x14ac:dyDescent="0.35">
      <c r="A48" s="33" t="s">
        <v>327</v>
      </c>
      <c r="B48" s="33" t="s">
        <v>17</v>
      </c>
      <c r="C48" s="33" t="s">
        <v>408</v>
      </c>
      <c r="D48" s="33" t="s">
        <v>409</v>
      </c>
      <c r="E48" s="57" t="s">
        <v>410</v>
      </c>
      <c r="F48" s="53">
        <v>45747</v>
      </c>
      <c r="G48" s="33">
        <v>125</v>
      </c>
      <c r="H48" s="53">
        <v>45931</v>
      </c>
      <c r="I48" s="53" t="str">
        <f t="shared" si="0"/>
        <v>NO</v>
      </c>
      <c r="J48" s="33" t="s">
        <v>343</v>
      </c>
      <c r="K48" s="33" t="s">
        <v>338</v>
      </c>
      <c r="L48" s="33" t="s">
        <v>330</v>
      </c>
      <c r="M48" s="33" t="s">
        <v>1245</v>
      </c>
      <c r="N48" s="33" t="s">
        <v>78</v>
      </c>
      <c r="O48" s="53">
        <v>45876</v>
      </c>
      <c r="P48" s="53">
        <v>45876</v>
      </c>
    </row>
    <row r="49" spans="1:16" x14ac:dyDescent="0.35">
      <c r="A49" s="33" t="s">
        <v>327</v>
      </c>
      <c r="B49" s="33" t="s">
        <v>17</v>
      </c>
      <c r="C49" s="33" t="s">
        <v>163</v>
      </c>
      <c r="D49" s="33" t="s">
        <v>164</v>
      </c>
      <c r="E49" s="57" t="s">
        <v>804</v>
      </c>
      <c r="F49" s="53">
        <v>45804</v>
      </c>
      <c r="G49" s="33">
        <v>125</v>
      </c>
      <c r="H49" s="53">
        <v>45986</v>
      </c>
      <c r="I49" s="53" t="str">
        <f t="shared" si="0"/>
        <v>NO</v>
      </c>
      <c r="J49" s="33" t="s">
        <v>343</v>
      </c>
      <c r="K49" s="33" t="s">
        <v>338</v>
      </c>
      <c r="L49" s="33" t="s">
        <v>330</v>
      </c>
      <c r="M49" s="33" t="s">
        <v>1246</v>
      </c>
      <c r="N49" s="33" t="s">
        <v>78</v>
      </c>
      <c r="O49" s="53">
        <v>45891</v>
      </c>
      <c r="P49" s="53">
        <v>45891</v>
      </c>
    </row>
    <row r="50" spans="1:16" x14ac:dyDescent="0.35">
      <c r="A50" s="33" t="s">
        <v>327</v>
      </c>
      <c r="B50" s="33" t="s">
        <v>17</v>
      </c>
      <c r="C50" s="33" t="s">
        <v>163</v>
      </c>
      <c r="D50" s="33" t="s">
        <v>164</v>
      </c>
      <c r="E50" s="57" t="s">
        <v>805</v>
      </c>
      <c r="F50" s="53">
        <v>45804</v>
      </c>
      <c r="G50" s="33">
        <v>125</v>
      </c>
      <c r="H50" s="53">
        <v>45986</v>
      </c>
      <c r="I50" s="53" t="str">
        <f t="shared" si="0"/>
        <v>NO</v>
      </c>
      <c r="J50" s="33" t="s">
        <v>343</v>
      </c>
      <c r="K50" s="33" t="s">
        <v>338</v>
      </c>
      <c r="L50" s="33" t="s">
        <v>330</v>
      </c>
      <c r="M50" s="33" t="s">
        <v>1247</v>
      </c>
      <c r="N50" s="33" t="s">
        <v>78</v>
      </c>
      <c r="O50" s="53">
        <v>45891</v>
      </c>
      <c r="P50" s="53">
        <v>45891</v>
      </c>
    </row>
    <row r="51" spans="1:16" x14ac:dyDescent="0.35">
      <c r="A51" s="33" t="s">
        <v>327</v>
      </c>
      <c r="B51" s="33" t="s">
        <v>17</v>
      </c>
      <c r="C51" s="33" t="s">
        <v>1002</v>
      </c>
      <c r="D51" s="33" t="s">
        <v>1003</v>
      </c>
      <c r="E51" s="57" t="s">
        <v>1004</v>
      </c>
      <c r="F51" s="53">
        <v>45810</v>
      </c>
      <c r="G51" s="33">
        <v>125</v>
      </c>
      <c r="H51" s="53">
        <v>45992</v>
      </c>
      <c r="I51" s="53" t="str">
        <f t="shared" si="0"/>
        <v>NO</v>
      </c>
      <c r="J51" s="33" t="s">
        <v>343</v>
      </c>
      <c r="K51" s="33" t="s">
        <v>338</v>
      </c>
      <c r="L51" s="33" t="s">
        <v>330</v>
      </c>
      <c r="M51" s="33" t="s">
        <v>1248</v>
      </c>
      <c r="N51" s="33" t="s">
        <v>78</v>
      </c>
      <c r="O51" s="53">
        <v>45897</v>
      </c>
      <c r="P51" s="53">
        <v>45897</v>
      </c>
    </row>
    <row r="52" spans="1:16" x14ac:dyDescent="0.35">
      <c r="A52" s="33" t="s">
        <v>327</v>
      </c>
      <c r="B52" s="33" t="s">
        <v>17</v>
      </c>
      <c r="C52" s="33" t="s">
        <v>928</v>
      </c>
      <c r="D52" s="33" t="s">
        <v>929</v>
      </c>
      <c r="E52" s="57" t="s">
        <v>930</v>
      </c>
      <c r="F52" s="53">
        <v>45819</v>
      </c>
      <c r="G52" s="33">
        <v>125</v>
      </c>
      <c r="H52" s="53">
        <v>46003</v>
      </c>
      <c r="I52" s="53" t="str">
        <f t="shared" si="0"/>
        <v>NO</v>
      </c>
      <c r="J52" s="33" t="s">
        <v>343</v>
      </c>
      <c r="K52" s="33" t="s">
        <v>338</v>
      </c>
      <c r="L52" s="33" t="s">
        <v>330</v>
      </c>
      <c r="M52" s="33" t="s">
        <v>1249</v>
      </c>
      <c r="N52" s="33" t="s">
        <v>78</v>
      </c>
      <c r="O52" s="53">
        <v>45897</v>
      </c>
      <c r="P52" s="53">
        <v>45897</v>
      </c>
    </row>
    <row r="53" spans="1:16" x14ac:dyDescent="0.35">
      <c r="A53" s="33" t="s">
        <v>327</v>
      </c>
      <c r="B53" s="33" t="s">
        <v>17</v>
      </c>
      <c r="C53" s="33" t="s">
        <v>1059</v>
      </c>
      <c r="D53" s="33" t="s">
        <v>1060</v>
      </c>
      <c r="E53" s="57" t="s">
        <v>1061</v>
      </c>
      <c r="F53" s="53">
        <v>45831</v>
      </c>
      <c r="G53" s="33">
        <v>125</v>
      </c>
      <c r="H53" s="53">
        <v>46015</v>
      </c>
      <c r="I53" s="53" t="str">
        <f t="shared" si="0"/>
        <v>NO</v>
      </c>
      <c r="J53" s="33" t="s">
        <v>343</v>
      </c>
      <c r="K53" s="33" t="s">
        <v>338</v>
      </c>
      <c r="L53" s="33" t="s">
        <v>330</v>
      </c>
      <c r="M53" s="33" t="s">
        <v>1250</v>
      </c>
      <c r="N53" s="33" t="s">
        <v>78</v>
      </c>
      <c r="O53" s="53">
        <v>45891</v>
      </c>
      <c r="P53" s="53">
        <v>45891</v>
      </c>
    </row>
    <row r="54" spans="1:16" x14ac:dyDescent="0.35">
      <c r="A54" s="33" t="s">
        <v>327</v>
      </c>
      <c r="B54" s="33" t="s">
        <v>17</v>
      </c>
      <c r="C54" s="33" t="s">
        <v>457</v>
      </c>
      <c r="D54" s="33" t="s">
        <v>458</v>
      </c>
      <c r="E54" s="57" t="s">
        <v>459</v>
      </c>
      <c r="F54" s="53">
        <v>45756</v>
      </c>
      <c r="G54" s="33">
        <v>125</v>
      </c>
      <c r="H54" s="53">
        <v>45943</v>
      </c>
      <c r="I54" s="53" t="str">
        <f t="shared" si="0"/>
        <v>NO</v>
      </c>
      <c r="J54" s="33" t="s">
        <v>343</v>
      </c>
      <c r="K54" s="33" t="s">
        <v>338</v>
      </c>
      <c r="L54" s="33" t="s">
        <v>330</v>
      </c>
      <c r="M54" s="33" t="s">
        <v>1251</v>
      </c>
      <c r="N54" s="33" t="s">
        <v>78</v>
      </c>
      <c r="O54" s="53">
        <v>45873</v>
      </c>
      <c r="P54" s="53">
        <v>45873</v>
      </c>
    </row>
    <row r="55" spans="1:16" x14ac:dyDescent="0.35">
      <c r="A55" s="33" t="s">
        <v>327</v>
      </c>
      <c r="B55" s="33" t="s">
        <v>17</v>
      </c>
      <c r="C55" s="33" t="s">
        <v>457</v>
      </c>
      <c r="D55" s="33" t="s">
        <v>458</v>
      </c>
      <c r="E55" s="57" t="s">
        <v>460</v>
      </c>
      <c r="F55" s="53">
        <v>45756</v>
      </c>
      <c r="G55" s="33">
        <v>125</v>
      </c>
      <c r="H55" s="53">
        <v>45943</v>
      </c>
      <c r="I55" s="53" t="str">
        <f t="shared" si="0"/>
        <v>NO</v>
      </c>
      <c r="J55" s="33" t="s">
        <v>343</v>
      </c>
      <c r="K55" s="33" t="s">
        <v>338</v>
      </c>
      <c r="L55" s="33" t="s">
        <v>330</v>
      </c>
      <c r="M55" s="33" t="s">
        <v>1252</v>
      </c>
      <c r="N55" s="33" t="s">
        <v>78</v>
      </c>
      <c r="O55" s="53">
        <v>45876</v>
      </c>
      <c r="P55" s="53">
        <v>45876</v>
      </c>
    </row>
    <row r="56" spans="1:16" x14ac:dyDescent="0.35">
      <c r="A56" s="33" t="s">
        <v>327</v>
      </c>
      <c r="B56" s="33" t="s">
        <v>17</v>
      </c>
      <c r="C56" s="33" t="s">
        <v>498</v>
      </c>
      <c r="D56" s="33" t="s">
        <v>499</v>
      </c>
      <c r="E56" s="57" t="s">
        <v>500</v>
      </c>
      <c r="F56" s="53">
        <v>45768</v>
      </c>
      <c r="G56" s="33">
        <v>125</v>
      </c>
      <c r="H56" s="53">
        <v>45951</v>
      </c>
      <c r="I56" s="53" t="str">
        <f t="shared" si="0"/>
        <v>NO</v>
      </c>
      <c r="J56" s="33" t="s">
        <v>343</v>
      </c>
      <c r="K56" s="33" t="s">
        <v>338</v>
      </c>
      <c r="L56" s="33" t="s">
        <v>330</v>
      </c>
      <c r="M56" s="33" t="s">
        <v>1253</v>
      </c>
      <c r="N56" s="33" t="s">
        <v>78</v>
      </c>
      <c r="O56" s="53">
        <v>45877</v>
      </c>
      <c r="P56" s="53">
        <v>45877</v>
      </c>
    </row>
    <row r="57" spans="1:16" x14ac:dyDescent="0.35">
      <c r="A57" s="33" t="s">
        <v>327</v>
      </c>
      <c r="B57" s="33" t="s">
        <v>17</v>
      </c>
      <c r="C57" s="33" t="s">
        <v>498</v>
      </c>
      <c r="D57" s="33" t="s">
        <v>499</v>
      </c>
      <c r="E57" s="57" t="s">
        <v>501</v>
      </c>
      <c r="F57" s="53">
        <v>45768</v>
      </c>
      <c r="G57" s="33">
        <v>125</v>
      </c>
      <c r="H57" s="53">
        <v>45951</v>
      </c>
      <c r="I57" s="53" t="str">
        <f t="shared" si="0"/>
        <v>NO</v>
      </c>
      <c r="J57" s="33" t="s">
        <v>343</v>
      </c>
      <c r="K57" s="33" t="s">
        <v>338</v>
      </c>
      <c r="L57" s="33" t="s">
        <v>330</v>
      </c>
      <c r="M57" s="33" t="s">
        <v>1254</v>
      </c>
      <c r="N57" s="33" t="s">
        <v>78</v>
      </c>
      <c r="O57" s="53">
        <v>45877</v>
      </c>
      <c r="P57" s="53">
        <v>45877</v>
      </c>
    </row>
    <row r="58" spans="1:16" x14ac:dyDescent="0.35">
      <c r="A58" s="33" t="s">
        <v>327</v>
      </c>
      <c r="B58" s="33" t="s">
        <v>17</v>
      </c>
      <c r="C58" s="33" t="s">
        <v>179</v>
      </c>
      <c r="D58" s="33" t="s">
        <v>180</v>
      </c>
      <c r="E58" s="33" t="s">
        <v>194</v>
      </c>
      <c r="F58" s="53">
        <v>45699</v>
      </c>
      <c r="G58" s="33">
        <v>125</v>
      </c>
      <c r="H58" s="53">
        <v>45883</v>
      </c>
      <c r="I58" s="53" t="str">
        <f t="shared" si="0"/>
        <v>NO</v>
      </c>
      <c r="J58" s="33" t="s">
        <v>339</v>
      </c>
      <c r="K58" s="33" t="s">
        <v>338</v>
      </c>
      <c r="L58" s="33" t="s">
        <v>330</v>
      </c>
      <c r="M58" s="33" t="s">
        <v>1255</v>
      </c>
      <c r="N58" s="33" t="s">
        <v>78</v>
      </c>
      <c r="O58" s="53">
        <v>45873</v>
      </c>
      <c r="P58" s="53">
        <v>45873</v>
      </c>
    </row>
    <row r="59" spans="1:16" x14ac:dyDescent="0.35">
      <c r="A59" s="33" t="s">
        <v>327</v>
      </c>
      <c r="B59" s="33" t="s">
        <v>17</v>
      </c>
      <c r="C59" s="33" t="s">
        <v>243</v>
      </c>
      <c r="D59" s="33" t="s">
        <v>244</v>
      </c>
      <c r="E59" s="33" t="s">
        <v>245</v>
      </c>
      <c r="F59" s="53">
        <v>45714</v>
      </c>
      <c r="G59" s="33">
        <v>125</v>
      </c>
      <c r="H59" s="53">
        <v>45898</v>
      </c>
      <c r="I59" s="53" t="str">
        <f t="shared" si="0"/>
        <v>NO</v>
      </c>
      <c r="J59" s="33" t="s">
        <v>339</v>
      </c>
      <c r="K59" s="33" t="s">
        <v>338</v>
      </c>
      <c r="L59" s="33" t="s">
        <v>330</v>
      </c>
      <c r="M59" s="33" t="s">
        <v>1256</v>
      </c>
      <c r="N59" s="33" t="s">
        <v>78</v>
      </c>
      <c r="O59" s="53">
        <v>45897</v>
      </c>
      <c r="P59" s="53">
        <v>45897</v>
      </c>
    </row>
    <row r="60" spans="1:16" x14ac:dyDescent="0.35">
      <c r="A60" s="33" t="s">
        <v>327</v>
      </c>
      <c r="B60" s="33" t="s">
        <v>17</v>
      </c>
      <c r="C60" s="33" t="s">
        <v>308</v>
      </c>
      <c r="D60" s="33" t="s">
        <v>309</v>
      </c>
      <c r="E60" s="33" t="s">
        <v>310</v>
      </c>
      <c r="F60" s="53">
        <v>45734</v>
      </c>
      <c r="G60" s="33">
        <v>125</v>
      </c>
      <c r="H60" s="53">
        <v>45918</v>
      </c>
      <c r="I60" s="53" t="str">
        <f t="shared" si="0"/>
        <v>NO</v>
      </c>
      <c r="J60" s="33" t="s">
        <v>339</v>
      </c>
      <c r="K60" s="33" t="s">
        <v>338</v>
      </c>
      <c r="L60" s="33" t="s">
        <v>330</v>
      </c>
      <c r="M60" s="33" t="s">
        <v>1257</v>
      </c>
      <c r="N60" s="33" t="s">
        <v>337</v>
      </c>
      <c r="O60" s="53">
        <v>45887</v>
      </c>
      <c r="P60" s="53">
        <v>45887</v>
      </c>
    </row>
    <row r="61" spans="1:16" x14ac:dyDescent="0.35">
      <c r="A61" s="33" t="s">
        <v>327</v>
      </c>
      <c r="B61" s="33" t="s">
        <v>17</v>
      </c>
      <c r="C61" s="33" t="s">
        <v>372</v>
      </c>
      <c r="D61" s="33" t="s">
        <v>373</v>
      </c>
      <c r="E61" s="33" t="s">
        <v>374</v>
      </c>
      <c r="F61" s="53">
        <v>45735</v>
      </c>
      <c r="G61" s="33">
        <v>125</v>
      </c>
      <c r="H61" s="53">
        <v>45919</v>
      </c>
      <c r="I61" s="53" t="str">
        <f t="shared" si="0"/>
        <v>NO</v>
      </c>
      <c r="J61" s="33" t="s">
        <v>339</v>
      </c>
      <c r="K61" s="33" t="s">
        <v>338</v>
      </c>
      <c r="L61" s="33" t="s">
        <v>330</v>
      </c>
      <c r="M61" s="33" t="s">
        <v>1258</v>
      </c>
      <c r="N61" s="33" t="s">
        <v>78</v>
      </c>
      <c r="O61" s="53">
        <v>45888</v>
      </c>
      <c r="P61" s="53">
        <v>45888</v>
      </c>
    </row>
    <row r="62" spans="1:16" x14ac:dyDescent="0.35">
      <c r="A62" s="33" t="s">
        <v>327</v>
      </c>
      <c r="B62" s="33" t="s">
        <v>17</v>
      </c>
      <c r="C62" s="33" t="s">
        <v>375</v>
      </c>
      <c r="D62" s="33" t="s">
        <v>376</v>
      </c>
      <c r="E62" s="33" t="s">
        <v>377</v>
      </c>
      <c r="F62" s="53">
        <v>45735</v>
      </c>
      <c r="G62" s="33">
        <v>125</v>
      </c>
      <c r="H62" s="53">
        <v>45919</v>
      </c>
      <c r="I62" s="53" t="str">
        <f t="shared" si="0"/>
        <v>NO</v>
      </c>
      <c r="J62" s="33" t="s">
        <v>339</v>
      </c>
      <c r="K62" s="33" t="s">
        <v>338</v>
      </c>
      <c r="L62" s="33" t="s">
        <v>330</v>
      </c>
      <c r="M62" s="33" t="s">
        <v>1259</v>
      </c>
      <c r="N62" s="33" t="s">
        <v>78</v>
      </c>
      <c r="O62" s="53">
        <v>45888</v>
      </c>
      <c r="P62" s="53">
        <v>45888</v>
      </c>
    </row>
    <row r="63" spans="1:16" x14ac:dyDescent="0.35">
      <c r="A63" s="33" t="s">
        <v>327</v>
      </c>
      <c r="B63" s="33" t="s">
        <v>17</v>
      </c>
      <c r="C63" s="33" t="s">
        <v>318</v>
      </c>
      <c r="D63" s="33" t="s">
        <v>319</v>
      </c>
      <c r="E63" s="33" t="s">
        <v>320</v>
      </c>
      <c r="F63" s="53">
        <v>45736</v>
      </c>
      <c r="G63" s="33">
        <v>125</v>
      </c>
      <c r="H63" s="53">
        <v>45922</v>
      </c>
      <c r="I63" s="53" t="str">
        <f t="shared" si="0"/>
        <v>NO</v>
      </c>
      <c r="J63" s="33" t="s">
        <v>339</v>
      </c>
      <c r="K63" s="33" t="s">
        <v>338</v>
      </c>
      <c r="L63" s="33" t="s">
        <v>330</v>
      </c>
      <c r="M63" s="33" t="s">
        <v>1260</v>
      </c>
      <c r="N63" s="33" t="s">
        <v>337</v>
      </c>
      <c r="O63" s="53">
        <v>45898</v>
      </c>
      <c r="P63" s="53">
        <v>45898</v>
      </c>
    </row>
    <row r="64" spans="1:16" x14ac:dyDescent="0.35">
      <c r="A64" s="33" t="s">
        <v>327</v>
      </c>
      <c r="B64" s="33" t="s">
        <v>17</v>
      </c>
      <c r="C64" s="33" t="s">
        <v>1111</v>
      </c>
      <c r="D64" s="33" t="s">
        <v>1112</v>
      </c>
      <c r="E64" s="33" t="s">
        <v>1113</v>
      </c>
      <c r="F64" s="53">
        <v>45838</v>
      </c>
      <c r="G64" s="33">
        <v>125</v>
      </c>
      <c r="H64" s="53">
        <v>46023</v>
      </c>
      <c r="I64" s="53" t="str">
        <f t="shared" si="0"/>
        <v>NO</v>
      </c>
      <c r="J64" s="33" t="s">
        <v>339</v>
      </c>
      <c r="K64" s="33" t="s">
        <v>338</v>
      </c>
      <c r="L64" s="33" t="s">
        <v>330</v>
      </c>
      <c r="M64" s="33" t="s">
        <v>1261</v>
      </c>
      <c r="N64" s="33" t="s">
        <v>78</v>
      </c>
      <c r="O64" s="53">
        <v>45895</v>
      </c>
      <c r="P64" s="53">
        <v>45895</v>
      </c>
    </row>
    <row r="65" spans="1:16" x14ac:dyDescent="0.35">
      <c r="A65" s="33" t="s">
        <v>327</v>
      </c>
      <c r="B65" s="33" t="s">
        <v>17</v>
      </c>
      <c r="C65" s="33" t="s">
        <v>418</v>
      </c>
      <c r="D65" s="33" t="s">
        <v>419</v>
      </c>
      <c r="E65" s="33" t="s">
        <v>420</v>
      </c>
      <c r="F65" s="53">
        <v>45749</v>
      </c>
      <c r="G65" s="33">
        <v>125</v>
      </c>
      <c r="H65" s="53">
        <v>45933</v>
      </c>
      <c r="I65" s="53" t="str">
        <f t="shared" si="0"/>
        <v>NO</v>
      </c>
      <c r="J65" s="33" t="s">
        <v>339</v>
      </c>
      <c r="K65" s="33" t="s">
        <v>338</v>
      </c>
      <c r="L65" s="33" t="s">
        <v>330</v>
      </c>
      <c r="M65" s="33" t="s">
        <v>1262</v>
      </c>
      <c r="N65" s="33" t="s">
        <v>78</v>
      </c>
      <c r="O65" s="53">
        <v>45898</v>
      </c>
      <c r="P65" s="53">
        <v>45898</v>
      </c>
    </row>
    <row r="66" spans="1:16" x14ac:dyDescent="0.35">
      <c r="A66" s="33" t="s">
        <v>327</v>
      </c>
      <c r="B66" s="33" t="s">
        <v>17</v>
      </c>
      <c r="C66" s="33" t="s">
        <v>418</v>
      </c>
      <c r="D66" s="33" t="s">
        <v>419</v>
      </c>
      <c r="E66" s="33" t="s">
        <v>421</v>
      </c>
      <c r="F66" s="53">
        <v>45749</v>
      </c>
      <c r="G66" s="33">
        <v>125</v>
      </c>
      <c r="H66" s="53">
        <v>45933</v>
      </c>
      <c r="I66" s="53" t="str">
        <f t="shared" si="0"/>
        <v>NO</v>
      </c>
      <c r="J66" s="33" t="s">
        <v>339</v>
      </c>
      <c r="K66" s="33" t="s">
        <v>338</v>
      </c>
      <c r="L66" s="33" t="s">
        <v>330</v>
      </c>
      <c r="M66" s="33" t="s">
        <v>1263</v>
      </c>
      <c r="N66" s="33" t="s">
        <v>78</v>
      </c>
      <c r="O66" s="53">
        <v>45898</v>
      </c>
      <c r="P66" s="53">
        <v>45898</v>
      </c>
    </row>
    <row r="67" spans="1:16" x14ac:dyDescent="0.35">
      <c r="A67" s="33" t="s">
        <v>327</v>
      </c>
      <c r="B67" s="33" t="s">
        <v>17</v>
      </c>
      <c r="C67" s="33" t="s">
        <v>422</v>
      </c>
      <c r="D67" s="33" t="s">
        <v>423</v>
      </c>
      <c r="E67" s="33" t="s">
        <v>424</v>
      </c>
      <c r="F67" s="53">
        <v>45749</v>
      </c>
      <c r="G67" s="33">
        <v>125</v>
      </c>
      <c r="H67" s="53">
        <v>45933</v>
      </c>
      <c r="I67" s="53" t="str">
        <f t="shared" ref="I67:I101" si="1">IF(H67&lt;O67,"SI","NO")</f>
        <v>NO</v>
      </c>
      <c r="J67" s="33" t="s">
        <v>339</v>
      </c>
      <c r="K67" s="33" t="s">
        <v>338</v>
      </c>
      <c r="L67" s="33" t="s">
        <v>330</v>
      </c>
      <c r="M67" s="33" t="s">
        <v>1264</v>
      </c>
      <c r="N67" s="33" t="s">
        <v>78</v>
      </c>
      <c r="O67" s="53">
        <v>45898</v>
      </c>
      <c r="P67" s="53">
        <v>45898</v>
      </c>
    </row>
    <row r="68" spans="1:16" x14ac:dyDescent="0.35">
      <c r="A68" s="33" t="s">
        <v>327</v>
      </c>
      <c r="B68" s="33" t="s">
        <v>17</v>
      </c>
      <c r="C68" s="33" t="s">
        <v>346</v>
      </c>
      <c r="D68" s="33" t="s">
        <v>347</v>
      </c>
      <c r="E68" s="33" t="s">
        <v>348</v>
      </c>
      <c r="F68" s="53">
        <v>44783</v>
      </c>
      <c r="G68" s="33">
        <v>125</v>
      </c>
      <c r="H68" s="53">
        <v>44964</v>
      </c>
      <c r="I68" s="53" t="str">
        <f t="shared" si="1"/>
        <v>SI</v>
      </c>
      <c r="J68" s="33" t="s">
        <v>336</v>
      </c>
      <c r="K68" s="33" t="s">
        <v>338</v>
      </c>
      <c r="L68" s="33" t="s">
        <v>330</v>
      </c>
      <c r="M68" s="33" t="s">
        <v>1265</v>
      </c>
      <c r="N68" s="33" t="s">
        <v>78</v>
      </c>
      <c r="O68" s="53">
        <v>45898</v>
      </c>
      <c r="P68" s="53">
        <v>45898</v>
      </c>
    </row>
    <row r="69" spans="1:16" x14ac:dyDescent="0.35">
      <c r="A69" s="33" t="s">
        <v>327</v>
      </c>
      <c r="B69" s="33" t="s">
        <v>17</v>
      </c>
      <c r="C69" s="33" t="s">
        <v>719</v>
      </c>
      <c r="D69" s="33" t="s">
        <v>720</v>
      </c>
      <c r="E69" s="33" t="s">
        <v>721</v>
      </c>
      <c r="F69" s="53">
        <v>45783</v>
      </c>
      <c r="G69" s="33">
        <v>125</v>
      </c>
      <c r="H69" s="53">
        <v>45965</v>
      </c>
      <c r="I69" s="53" t="str">
        <f t="shared" si="1"/>
        <v>NO</v>
      </c>
      <c r="J69" s="33" t="s">
        <v>336</v>
      </c>
      <c r="K69" s="33" t="s">
        <v>338</v>
      </c>
      <c r="L69" s="33" t="s">
        <v>330</v>
      </c>
      <c r="M69" s="33" t="s">
        <v>1266</v>
      </c>
      <c r="N69" s="33" t="s">
        <v>78</v>
      </c>
      <c r="O69" s="53">
        <v>45876</v>
      </c>
      <c r="P69" s="53">
        <v>45876</v>
      </c>
    </row>
    <row r="70" spans="1:16" x14ac:dyDescent="0.35">
      <c r="A70" s="33" t="s">
        <v>327</v>
      </c>
      <c r="B70" s="33" t="s">
        <v>17</v>
      </c>
      <c r="C70" s="33" t="s">
        <v>606</v>
      </c>
      <c r="D70" s="33" t="s">
        <v>607</v>
      </c>
      <c r="E70" s="33" t="s">
        <v>608</v>
      </c>
      <c r="F70" s="53">
        <v>45783</v>
      </c>
      <c r="G70" s="33">
        <v>125</v>
      </c>
      <c r="H70" s="53">
        <v>45965</v>
      </c>
      <c r="I70" s="53" t="str">
        <f t="shared" si="1"/>
        <v>NO</v>
      </c>
      <c r="J70" s="33" t="s">
        <v>336</v>
      </c>
      <c r="K70" s="33" t="s">
        <v>338</v>
      </c>
      <c r="L70" s="33" t="s">
        <v>330</v>
      </c>
      <c r="M70" s="33" t="s">
        <v>1267</v>
      </c>
      <c r="N70" s="33" t="s">
        <v>78</v>
      </c>
      <c r="O70" s="53">
        <v>45890</v>
      </c>
      <c r="P70" s="53">
        <v>45890</v>
      </c>
    </row>
    <row r="71" spans="1:16" x14ac:dyDescent="0.35">
      <c r="A71" s="33" t="s">
        <v>327</v>
      </c>
      <c r="B71" s="33" t="s">
        <v>17</v>
      </c>
      <c r="C71" s="33" t="s">
        <v>596</v>
      </c>
      <c r="D71" s="33" t="s">
        <v>597</v>
      </c>
      <c r="E71" s="33" t="s">
        <v>598</v>
      </c>
      <c r="F71" s="53">
        <v>45783</v>
      </c>
      <c r="G71" s="33">
        <v>125</v>
      </c>
      <c r="H71" s="53">
        <v>45965</v>
      </c>
      <c r="I71" s="53" t="str">
        <f t="shared" si="1"/>
        <v>NO</v>
      </c>
      <c r="J71" s="33" t="s">
        <v>336</v>
      </c>
      <c r="K71" s="33" t="s">
        <v>338</v>
      </c>
      <c r="L71" s="33" t="s">
        <v>330</v>
      </c>
      <c r="M71" s="33" t="s">
        <v>1268</v>
      </c>
      <c r="N71" s="33" t="s">
        <v>78</v>
      </c>
      <c r="O71" s="53">
        <v>45877</v>
      </c>
      <c r="P71" s="53">
        <v>45877</v>
      </c>
    </row>
    <row r="72" spans="1:16" x14ac:dyDescent="0.35">
      <c r="A72" s="33" t="s">
        <v>327</v>
      </c>
      <c r="B72" s="33" t="s">
        <v>17</v>
      </c>
      <c r="C72" s="33" t="s">
        <v>650</v>
      </c>
      <c r="D72" s="33" t="s">
        <v>651</v>
      </c>
      <c r="E72" s="33" t="s">
        <v>652</v>
      </c>
      <c r="F72" s="53">
        <v>45793</v>
      </c>
      <c r="G72" s="33">
        <v>125</v>
      </c>
      <c r="H72" s="53">
        <v>45975</v>
      </c>
      <c r="I72" s="53" t="str">
        <f t="shared" si="1"/>
        <v>NO</v>
      </c>
      <c r="J72" s="33" t="s">
        <v>336</v>
      </c>
      <c r="K72" s="33" t="s">
        <v>338</v>
      </c>
      <c r="L72" s="33" t="s">
        <v>330</v>
      </c>
      <c r="M72" s="33" t="s">
        <v>1269</v>
      </c>
      <c r="N72" s="33" t="s">
        <v>78</v>
      </c>
      <c r="O72" s="53">
        <v>45882</v>
      </c>
      <c r="P72" s="53">
        <v>45882</v>
      </c>
    </row>
    <row r="73" spans="1:16" x14ac:dyDescent="0.35">
      <c r="A73" s="33" t="s">
        <v>327</v>
      </c>
      <c r="B73" s="33" t="s">
        <v>17</v>
      </c>
      <c r="C73" s="33" t="s">
        <v>596</v>
      </c>
      <c r="D73" s="33" t="s">
        <v>597</v>
      </c>
      <c r="E73" s="33" t="s">
        <v>653</v>
      </c>
      <c r="F73" s="53">
        <v>45793</v>
      </c>
      <c r="G73" s="33">
        <v>125</v>
      </c>
      <c r="H73" s="53">
        <v>45975</v>
      </c>
      <c r="I73" s="53" t="str">
        <f t="shared" si="1"/>
        <v>NO</v>
      </c>
      <c r="J73" s="33" t="s">
        <v>336</v>
      </c>
      <c r="K73" s="33" t="s">
        <v>338</v>
      </c>
      <c r="L73" s="33" t="s">
        <v>330</v>
      </c>
      <c r="M73" s="33" t="s">
        <v>1270</v>
      </c>
      <c r="N73" s="33" t="s">
        <v>78</v>
      </c>
      <c r="O73" s="53">
        <v>45877</v>
      </c>
      <c r="P73" s="53">
        <v>45877</v>
      </c>
    </row>
    <row r="74" spans="1:16" x14ac:dyDescent="0.35">
      <c r="A74" s="33" t="s">
        <v>327</v>
      </c>
      <c r="B74" s="33" t="s">
        <v>42</v>
      </c>
      <c r="C74" s="33" t="s">
        <v>904</v>
      </c>
      <c r="D74" s="33" t="s">
        <v>905</v>
      </c>
      <c r="E74" s="33" t="s">
        <v>906</v>
      </c>
      <c r="F74" s="53">
        <v>45818</v>
      </c>
      <c r="G74" s="33">
        <v>125</v>
      </c>
      <c r="H74" s="53">
        <v>46002</v>
      </c>
      <c r="I74" s="53" t="str">
        <f t="shared" si="1"/>
        <v>NO</v>
      </c>
      <c r="J74" s="33" t="s">
        <v>336</v>
      </c>
      <c r="K74" s="33" t="s">
        <v>338</v>
      </c>
      <c r="L74" s="33" t="s">
        <v>330</v>
      </c>
      <c r="M74" s="33" t="s">
        <v>1271</v>
      </c>
      <c r="N74" s="33" t="s">
        <v>78</v>
      </c>
      <c r="O74" s="53">
        <v>45895</v>
      </c>
      <c r="P74" s="33" t="s">
        <v>1301</v>
      </c>
    </row>
    <row r="75" spans="1:16" x14ac:dyDescent="0.35">
      <c r="A75" s="33" t="s">
        <v>327</v>
      </c>
      <c r="B75" s="33" t="s">
        <v>17</v>
      </c>
      <c r="C75" s="33" t="s">
        <v>145</v>
      </c>
      <c r="D75" s="33" t="s">
        <v>144</v>
      </c>
      <c r="E75" s="33" t="s">
        <v>233</v>
      </c>
      <c r="F75" s="53">
        <v>45712</v>
      </c>
      <c r="G75" s="33">
        <v>125</v>
      </c>
      <c r="H75" s="53">
        <v>45896</v>
      </c>
      <c r="I75" s="53" t="str">
        <f t="shared" si="1"/>
        <v>NO</v>
      </c>
      <c r="J75" s="33" t="s">
        <v>336</v>
      </c>
      <c r="K75" s="33" t="s">
        <v>338</v>
      </c>
      <c r="L75" s="33" t="s">
        <v>330</v>
      </c>
      <c r="M75" s="33" t="s">
        <v>1272</v>
      </c>
      <c r="N75" s="33" t="s">
        <v>337</v>
      </c>
      <c r="O75" s="53">
        <v>45894</v>
      </c>
      <c r="P75" s="53">
        <v>45894</v>
      </c>
    </row>
    <row r="76" spans="1:16" x14ac:dyDescent="0.35">
      <c r="A76" s="33" t="s">
        <v>327</v>
      </c>
      <c r="B76" s="33" t="s">
        <v>17</v>
      </c>
      <c r="C76" s="33" t="s">
        <v>230</v>
      </c>
      <c r="D76" s="33" t="s">
        <v>231</v>
      </c>
      <c r="E76" s="33" t="s">
        <v>232</v>
      </c>
      <c r="F76" s="53">
        <v>45712</v>
      </c>
      <c r="G76" s="33">
        <v>125</v>
      </c>
      <c r="H76" s="53">
        <v>45896</v>
      </c>
      <c r="I76" s="53" t="str">
        <f t="shared" si="1"/>
        <v>NO</v>
      </c>
      <c r="J76" s="33" t="s">
        <v>336</v>
      </c>
      <c r="K76" s="33" t="s">
        <v>338</v>
      </c>
      <c r="L76" s="33" t="s">
        <v>330</v>
      </c>
      <c r="M76" s="33" t="s">
        <v>1273</v>
      </c>
      <c r="N76" s="33" t="s">
        <v>337</v>
      </c>
      <c r="O76" s="53">
        <v>45891</v>
      </c>
      <c r="P76" s="53">
        <v>45891</v>
      </c>
    </row>
    <row r="77" spans="1:16" hidden="1" x14ac:dyDescent="0.35">
      <c r="A77" s="33" t="s">
        <v>327</v>
      </c>
      <c r="B77" s="33" t="s">
        <v>17</v>
      </c>
      <c r="C77" s="33" t="s">
        <v>209</v>
      </c>
      <c r="D77" s="33" t="s">
        <v>210</v>
      </c>
      <c r="E77" s="33" t="s">
        <v>211</v>
      </c>
      <c r="F77" s="53">
        <v>45705</v>
      </c>
      <c r="G77" s="33">
        <v>125</v>
      </c>
      <c r="H77" s="53">
        <v>45889</v>
      </c>
      <c r="I77" s="53" t="str">
        <f t="shared" si="1"/>
        <v>NO</v>
      </c>
      <c r="J77" s="33" t="s">
        <v>328</v>
      </c>
      <c r="K77" s="33" t="s">
        <v>329</v>
      </c>
      <c r="L77" s="33" t="s">
        <v>330</v>
      </c>
      <c r="M77" s="33" t="s">
        <v>1274</v>
      </c>
      <c r="N77" s="33" t="s">
        <v>78</v>
      </c>
      <c r="O77" s="53">
        <v>45887</v>
      </c>
      <c r="P77" s="53">
        <v>45887</v>
      </c>
    </row>
    <row r="78" spans="1:16" hidden="1" x14ac:dyDescent="0.35">
      <c r="A78" s="33" t="s">
        <v>327</v>
      </c>
      <c r="B78" s="33" t="s">
        <v>17</v>
      </c>
      <c r="C78" s="33" t="s">
        <v>237</v>
      </c>
      <c r="D78" s="33" t="s">
        <v>238</v>
      </c>
      <c r="E78" s="33" t="s">
        <v>239</v>
      </c>
      <c r="F78" s="53">
        <v>45714</v>
      </c>
      <c r="G78" s="33">
        <v>125</v>
      </c>
      <c r="H78" s="53">
        <v>45898</v>
      </c>
      <c r="I78" s="53" t="str">
        <f t="shared" si="1"/>
        <v>NO</v>
      </c>
      <c r="J78" s="33" t="s">
        <v>328</v>
      </c>
      <c r="K78" s="33" t="s">
        <v>329</v>
      </c>
      <c r="L78" s="33" t="s">
        <v>330</v>
      </c>
      <c r="M78" s="33" t="s">
        <v>1275</v>
      </c>
      <c r="N78" s="33" t="s">
        <v>78</v>
      </c>
      <c r="O78" s="53">
        <v>45894</v>
      </c>
      <c r="P78" s="53">
        <v>45894</v>
      </c>
    </row>
    <row r="79" spans="1:16" hidden="1" x14ac:dyDescent="0.35">
      <c r="A79" s="33" t="s">
        <v>327</v>
      </c>
      <c r="B79" s="33" t="s">
        <v>17</v>
      </c>
      <c r="C79" s="33" t="s">
        <v>195</v>
      </c>
      <c r="D79" s="33" t="s">
        <v>196</v>
      </c>
      <c r="E79" s="33" t="s">
        <v>197</v>
      </c>
      <c r="F79" s="53">
        <v>45699</v>
      </c>
      <c r="G79" s="33">
        <v>125</v>
      </c>
      <c r="H79" s="53">
        <v>45883</v>
      </c>
      <c r="I79" s="53" t="str">
        <f t="shared" si="1"/>
        <v>NO</v>
      </c>
      <c r="J79" s="33" t="s">
        <v>328</v>
      </c>
      <c r="K79" s="33" t="s">
        <v>329</v>
      </c>
      <c r="L79" s="33" t="s">
        <v>330</v>
      </c>
      <c r="M79" s="33" t="s">
        <v>1276</v>
      </c>
      <c r="N79" s="33" t="s">
        <v>337</v>
      </c>
      <c r="O79" s="53">
        <v>45883</v>
      </c>
      <c r="P79" s="53">
        <v>45883</v>
      </c>
    </row>
    <row r="80" spans="1:16" hidden="1" x14ac:dyDescent="0.35">
      <c r="A80" s="33" t="s">
        <v>327</v>
      </c>
      <c r="B80" s="33" t="s">
        <v>17</v>
      </c>
      <c r="C80" s="33" t="s">
        <v>215</v>
      </c>
      <c r="D80" s="33" t="s">
        <v>216</v>
      </c>
      <c r="E80" s="33" t="s">
        <v>223</v>
      </c>
      <c r="F80" s="53">
        <v>45706</v>
      </c>
      <c r="G80" s="33">
        <v>125</v>
      </c>
      <c r="H80" s="53">
        <v>45890</v>
      </c>
      <c r="I80" s="53" t="str">
        <f t="shared" si="1"/>
        <v>NO</v>
      </c>
      <c r="J80" s="33" t="s">
        <v>328</v>
      </c>
      <c r="K80" s="33" t="s">
        <v>329</v>
      </c>
      <c r="L80" s="33" t="s">
        <v>330</v>
      </c>
      <c r="M80" s="33" t="s">
        <v>1277</v>
      </c>
      <c r="N80" s="33" t="s">
        <v>78</v>
      </c>
      <c r="O80" s="53">
        <v>45870</v>
      </c>
      <c r="P80" s="53">
        <v>45870</v>
      </c>
    </row>
    <row r="81" spans="1:16" hidden="1" x14ac:dyDescent="0.35">
      <c r="A81" s="33" t="s">
        <v>327</v>
      </c>
      <c r="B81" s="33" t="s">
        <v>17</v>
      </c>
      <c r="C81" s="33" t="s">
        <v>215</v>
      </c>
      <c r="D81" s="33" t="s">
        <v>216</v>
      </c>
      <c r="E81" s="33" t="s">
        <v>222</v>
      </c>
      <c r="F81" s="53">
        <v>45706</v>
      </c>
      <c r="G81" s="33">
        <v>125</v>
      </c>
      <c r="H81" s="53">
        <v>45890</v>
      </c>
      <c r="I81" s="53" t="str">
        <f t="shared" si="1"/>
        <v>NO</v>
      </c>
      <c r="J81" s="33" t="s">
        <v>328</v>
      </c>
      <c r="K81" s="33" t="s">
        <v>329</v>
      </c>
      <c r="L81" s="33" t="s">
        <v>330</v>
      </c>
      <c r="M81" s="33" t="s">
        <v>1278</v>
      </c>
      <c r="N81" s="33" t="s">
        <v>78</v>
      </c>
      <c r="O81" s="53">
        <v>45870</v>
      </c>
      <c r="P81" s="53">
        <v>45870</v>
      </c>
    </row>
    <row r="82" spans="1:16" hidden="1" x14ac:dyDescent="0.35">
      <c r="A82" s="33" t="s">
        <v>327</v>
      </c>
      <c r="B82" s="33" t="s">
        <v>17</v>
      </c>
      <c r="C82" s="33" t="s">
        <v>215</v>
      </c>
      <c r="D82" s="33" t="s">
        <v>216</v>
      </c>
      <c r="E82" s="33" t="s">
        <v>221</v>
      </c>
      <c r="F82" s="53">
        <v>45706</v>
      </c>
      <c r="G82" s="33">
        <v>125</v>
      </c>
      <c r="H82" s="53">
        <v>45890</v>
      </c>
      <c r="I82" s="53" t="str">
        <f t="shared" si="1"/>
        <v>NO</v>
      </c>
      <c r="J82" s="33" t="s">
        <v>328</v>
      </c>
      <c r="K82" s="33" t="s">
        <v>329</v>
      </c>
      <c r="L82" s="33" t="s">
        <v>330</v>
      </c>
      <c r="M82" s="33" t="s">
        <v>1279</v>
      </c>
      <c r="N82" s="33" t="s">
        <v>78</v>
      </c>
      <c r="O82" s="53">
        <v>45870</v>
      </c>
      <c r="P82" s="53">
        <v>45870</v>
      </c>
    </row>
    <row r="83" spans="1:16" hidden="1" x14ac:dyDescent="0.35">
      <c r="A83" s="33" t="s">
        <v>327</v>
      </c>
      <c r="B83" s="33" t="s">
        <v>17</v>
      </c>
      <c r="C83" s="33" t="s">
        <v>215</v>
      </c>
      <c r="D83" s="33" t="s">
        <v>216</v>
      </c>
      <c r="E83" s="33" t="s">
        <v>220</v>
      </c>
      <c r="F83" s="53">
        <v>45706</v>
      </c>
      <c r="G83" s="33">
        <v>125</v>
      </c>
      <c r="H83" s="53">
        <v>45890</v>
      </c>
      <c r="I83" s="53" t="str">
        <f t="shared" si="1"/>
        <v>NO</v>
      </c>
      <c r="J83" s="33" t="s">
        <v>328</v>
      </c>
      <c r="K83" s="33" t="s">
        <v>329</v>
      </c>
      <c r="L83" s="33" t="s">
        <v>330</v>
      </c>
      <c r="M83" s="33" t="s">
        <v>1280</v>
      </c>
      <c r="N83" s="33" t="s">
        <v>78</v>
      </c>
      <c r="O83" s="53">
        <v>45870</v>
      </c>
      <c r="P83" s="53">
        <v>45870</v>
      </c>
    </row>
    <row r="84" spans="1:16" hidden="1" x14ac:dyDescent="0.35">
      <c r="A84" s="33" t="s">
        <v>327</v>
      </c>
      <c r="B84" s="33" t="s">
        <v>17</v>
      </c>
      <c r="C84" s="33" t="s">
        <v>215</v>
      </c>
      <c r="D84" s="33" t="s">
        <v>216</v>
      </c>
      <c r="E84" s="33" t="s">
        <v>219</v>
      </c>
      <c r="F84" s="53">
        <v>45706</v>
      </c>
      <c r="G84" s="33">
        <v>125</v>
      </c>
      <c r="H84" s="53">
        <v>45890</v>
      </c>
      <c r="I84" s="53" t="str">
        <f t="shared" si="1"/>
        <v>NO</v>
      </c>
      <c r="J84" s="33" t="s">
        <v>328</v>
      </c>
      <c r="K84" s="33" t="s">
        <v>329</v>
      </c>
      <c r="L84" s="33" t="s">
        <v>330</v>
      </c>
      <c r="M84" s="33" t="s">
        <v>1281</v>
      </c>
      <c r="N84" s="33" t="s">
        <v>78</v>
      </c>
      <c r="O84" s="53">
        <v>45870</v>
      </c>
      <c r="P84" s="53">
        <v>45870</v>
      </c>
    </row>
    <row r="85" spans="1:16" hidden="1" x14ac:dyDescent="0.35">
      <c r="A85" s="33" t="s">
        <v>327</v>
      </c>
      <c r="B85" s="33" t="s">
        <v>17</v>
      </c>
      <c r="C85" s="33" t="s">
        <v>215</v>
      </c>
      <c r="D85" s="33" t="s">
        <v>216</v>
      </c>
      <c r="E85" s="33" t="s">
        <v>218</v>
      </c>
      <c r="F85" s="53">
        <v>45706</v>
      </c>
      <c r="G85" s="33">
        <v>125</v>
      </c>
      <c r="H85" s="53">
        <v>45890</v>
      </c>
      <c r="I85" s="53" t="str">
        <f t="shared" si="1"/>
        <v>NO</v>
      </c>
      <c r="J85" s="33" t="s">
        <v>328</v>
      </c>
      <c r="K85" s="33" t="s">
        <v>329</v>
      </c>
      <c r="L85" s="33" t="s">
        <v>330</v>
      </c>
      <c r="M85" s="33" t="s">
        <v>1282</v>
      </c>
      <c r="N85" s="33" t="s">
        <v>78</v>
      </c>
      <c r="O85" s="53">
        <v>45870</v>
      </c>
      <c r="P85" s="53">
        <v>45870</v>
      </c>
    </row>
    <row r="86" spans="1:16" hidden="1" x14ac:dyDescent="0.35">
      <c r="A86" s="33" t="s">
        <v>327</v>
      </c>
      <c r="B86" s="33" t="s">
        <v>17</v>
      </c>
      <c r="C86" s="33" t="s">
        <v>215</v>
      </c>
      <c r="D86" s="33" t="s">
        <v>216</v>
      </c>
      <c r="E86" s="33" t="s">
        <v>217</v>
      </c>
      <c r="F86" s="53">
        <v>45706</v>
      </c>
      <c r="G86" s="33">
        <v>125</v>
      </c>
      <c r="H86" s="53">
        <v>45890</v>
      </c>
      <c r="I86" s="53" t="str">
        <f t="shared" si="1"/>
        <v>NO</v>
      </c>
      <c r="J86" s="33" t="s">
        <v>328</v>
      </c>
      <c r="K86" s="33" t="s">
        <v>329</v>
      </c>
      <c r="L86" s="33" t="s">
        <v>330</v>
      </c>
      <c r="M86" s="33" t="s">
        <v>1283</v>
      </c>
      <c r="N86" s="33" t="s">
        <v>78</v>
      </c>
      <c r="O86" s="53">
        <v>45870</v>
      </c>
      <c r="P86" s="53">
        <v>45870</v>
      </c>
    </row>
    <row r="87" spans="1:16" hidden="1" x14ac:dyDescent="0.35">
      <c r="A87" s="33" t="s">
        <v>327</v>
      </c>
      <c r="B87" s="33" t="s">
        <v>17</v>
      </c>
      <c r="C87" s="33" t="s">
        <v>275</v>
      </c>
      <c r="D87" s="33" t="s">
        <v>276</v>
      </c>
      <c r="E87" s="33" t="s">
        <v>277</v>
      </c>
      <c r="F87" s="53">
        <v>45723</v>
      </c>
      <c r="G87" s="33">
        <v>125</v>
      </c>
      <c r="H87" s="53">
        <v>45909</v>
      </c>
      <c r="I87" s="53" t="str">
        <f t="shared" si="1"/>
        <v>NO</v>
      </c>
      <c r="J87" s="33" t="s">
        <v>328</v>
      </c>
      <c r="K87" s="33" t="s">
        <v>329</v>
      </c>
      <c r="L87" s="33" t="s">
        <v>330</v>
      </c>
      <c r="M87" s="33" t="s">
        <v>1284</v>
      </c>
      <c r="N87" s="33" t="s">
        <v>78</v>
      </c>
      <c r="O87" s="53">
        <v>45898</v>
      </c>
      <c r="P87" s="53">
        <v>45898</v>
      </c>
    </row>
    <row r="88" spans="1:16" hidden="1" x14ac:dyDescent="0.35">
      <c r="A88" s="33" t="s">
        <v>327</v>
      </c>
      <c r="B88" s="33" t="s">
        <v>17</v>
      </c>
      <c r="C88" s="33" t="s">
        <v>226</v>
      </c>
      <c r="D88" s="33" t="s">
        <v>227</v>
      </c>
      <c r="E88" s="33" t="s">
        <v>228</v>
      </c>
      <c r="F88" s="53">
        <v>45708</v>
      </c>
      <c r="G88" s="33">
        <v>125</v>
      </c>
      <c r="H88" s="53">
        <v>45894</v>
      </c>
      <c r="I88" s="53" t="str">
        <f t="shared" si="1"/>
        <v>NO</v>
      </c>
      <c r="J88" s="33" t="s">
        <v>328</v>
      </c>
      <c r="K88" s="33" t="s">
        <v>329</v>
      </c>
      <c r="L88" s="33" t="s">
        <v>330</v>
      </c>
      <c r="M88" s="33" t="s">
        <v>1285</v>
      </c>
      <c r="N88" s="33" t="s">
        <v>78</v>
      </c>
      <c r="O88" s="53">
        <v>45890</v>
      </c>
      <c r="P88" s="53">
        <v>45890</v>
      </c>
    </row>
    <row r="89" spans="1:16" hidden="1" x14ac:dyDescent="0.35">
      <c r="A89" s="33" t="s">
        <v>327</v>
      </c>
      <c r="B89" s="33" t="s">
        <v>17</v>
      </c>
      <c r="C89" s="33" t="s">
        <v>185</v>
      </c>
      <c r="D89" s="33" t="s">
        <v>186</v>
      </c>
      <c r="E89" s="33" t="s">
        <v>187</v>
      </c>
      <c r="F89" s="53">
        <v>45698</v>
      </c>
      <c r="G89" s="33">
        <v>125</v>
      </c>
      <c r="H89" s="53">
        <v>45882</v>
      </c>
      <c r="I89" s="53" t="str">
        <f t="shared" si="1"/>
        <v>NO</v>
      </c>
      <c r="J89" s="33" t="s">
        <v>328</v>
      </c>
      <c r="K89" s="33" t="s">
        <v>329</v>
      </c>
      <c r="L89" s="33" t="s">
        <v>330</v>
      </c>
      <c r="M89" s="33" t="s">
        <v>1286</v>
      </c>
      <c r="N89" s="33" t="s">
        <v>78</v>
      </c>
      <c r="O89" s="53">
        <v>45880</v>
      </c>
      <c r="P89" s="53">
        <v>45880</v>
      </c>
    </row>
    <row r="90" spans="1:16" hidden="1" x14ac:dyDescent="0.35">
      <c r="A90" s="33" t="s">
        <v>327</v>
      </c>
      <c r="B90" s="33" t="s">
        <v>17</v>
      </c>
      <c r="C90" s="33" t="s">
        <v>159</v>
      </c>
      <c r="D90" s="33" t="s">
        <v>160</v>
      </c>
      <c r="E90" s="33" t="s">
        <v>264</v>
      </c>
      <c r="F90" s="53">
        <v>45721</v>
      </c>
      <c r="G90" s="33">
        <v>125</v>
      </c>
      <c r="H90" s="53">
        <v>45905</v>
      </c>
      <c r="I90" s="53" t="str">
        <f t="shared" si="1"/>
        <v>NO</v>
      </c>
      <c r="J90" s="33" t="s">
        <v>328</v>
      </c>
      <c r="K90" s="33" t="s">
        <v>329</v>
      </c>
      <c r="L90" s="33" t="s">
        <v>330</v>
      </c>
      <c r="M90" s="33" t="s">
        <v>1287</v>
      </c>
      <c r="N90" s="33" t="s">
        <v>78</v>
      </c>
      <c r="O90" s="53">
        <v>45895</v>
      </c>
      <c r="P90" s="53">
        <v>45895</v>
      </c>
    </row>
    <row r="91" spans="1:16" hidden="1" x14ac:dyDescent="0.35">
      <c r="A91" s="33" t="s">
        <v>327</v>
      </c>
      <c r="B91" s="33" t="s">
        <v>17</v>
      </c>
      <c r="C91" s="33" t="s">
        <v>205</v>
      </c>
      <c r="D91" s="33" t="s">
        <v>206</v>
      </c>
      <c r="E91" s="33" t="s">
        <v>207</v>
      </c>
      <c r="F91" s="53">
        <v>45702</v>
      </c>
      <c r="G91" s="33">
        <v>125</v>
      </c>
      <c r="H91" s="53">
        <v>45888</v>
      </c>
      <c r="I91" s="53" t="str">
        <f t="shared" si="1"/>
        <v>NO</v>
      </c>
      <c r="J91" s="33" t="s">
        <v>328</v>
      </c>
      <c r="K91" s="33" t="s">
        <v>329</v>
      </c>
      <c r="L91" s="33" t="s">
        <v>330</v>
      </c>
      <c r="M91" s="33" t="s">
        <v>1288</v>
      </c>
      <c r="N91" s="33" t="s">
        <v>78</v>
      </c>
      <c r="O91" s="53">
        <v>45887</v>
      </c>
      <c r="P91" s="33" t="s">
        <v>1299</v>
      </c>
    </row>
    <row r="92" spans="1:16" hidden="1" x14ac:dyDescent="0.35">
      <c r="A92" s="33" t="s">
        <v>327</v>
      </c>
      <c r="B92" s="33" t="s">
        <v>17</v>
      </c>
      <c r="C92" s="33" t="s">
        <v>260</v>
      </c>
      <c r="D92" s="33" t="s">
        <v>261</v>
      </c>
      <c r="E92" s="33" t="s">
        <v>262</v>
      </c>
      <c r="F92" s="53">
        <v>45720</v>
      </c>
      <c r="G92" s="33">
        <v>125</v>
      </c>
      <c r="H92" s="53">
        <v>45904</v>
      </c>
      <c r="I92" s="53" t="str">
        <f t="shared" si="1"/>
        <v>NO</v>
      </c>
      <c r="J92" s="33" t="s">
        <v>341</v>
      </c>
      <c r="K92" s="33" t="s">
        <v>329</v>
      </c>
      <c r="L92" s="33" t="s">
        <v>330</v>
      </c>
      <c r="M92" s="33" t="s">
        <v>1289</v>
      </c>
      <c r="N92" s="33" t="s">
        <v>78</v>
      </c>
      <c r="O92" s="53">
        <v>45876</v>
      </c>
      <c r="P92" s="53">
        <v>45876</v>
      </c>
    </row>
    <row r="93" spans="1:16" hidden="1" x14ac:dyDescent="0.35">
      <c r="A93" s="33" t="s">
        <v>327</v>
      </c>
      <c r="B93" s="33" t="s">
        <v>17</v>
      </c>
      <c r="C93" s="33" t="s">
        <v>439</v>
      </c>
      <c r="D93" s="33" t="s">
        <v>440</v>
      </c>
      <c r="E93" s="33" t="s">
        <v>441</v>
      </c>
      <c r="F93" s="53">
        <v>45750</v>
      </c>
      <c r="G93" s="33">
        <v>125</v>
      </c>
      <c r="H93" s="53">
        <v>45936</v>
      </c>
      <c r="I93" s="53" t="str">
        <f t="shared" si="1"/>
        <v>NO</v>
      </c>
      <c r="J93" s="33" t="s">
        <v>341</v>
      </c>
      <c r="K93" s="33" t="s">
        <v>329</v>
      </c>
      <c r="L93" s="33" t="s">
        <v>330</v>
      </c>
      <c r="M93" s="33" t="s">
        <v>1290</v>
      </c>
      <c r="N93" s="33" t="s">
        <v>78</v>
      </c>
      <c r="O93" s="53">
        <v>45894</v>
      </c>
      <c r="P93" s="53">
        <v>45894</v>
      </c>
    </row>
    <row r="94" spans="1:16" hidden="1" x14ac:dyDescent="0.35">
      <c r="A94" s="33" t="s">
        <v>327</v>
      </c>
      <c r="B94" s="33" t="s">
        <v>17</v>
      </c>
      <c r="C94" s="33" t="s">
        <v>248</v>
      </c>
      <c r="D94" s="33" t="s">
        <v>249</v>
      </c>
      <c r="E94" s="33" t="s">
        <v>250</v>
      </c>
      <c r="F94" s="53">
        <v>45715</v>
      </c>
      <c r="G94" s="33">
        <v>125</v>
      </c>
      <c r="H94" s="53">
        <v>45901</v>
      </c>
      <c r="I94" s="53" t="str">
        <f t="shared" si="1"/>
        <v>NO</v>
      </c>
      <c r="J94" s="33" t="s">
        <v>341</v>
      </c>
      <c r="K94" s="33" t="s">
        <v>329</v>
      </c>
      <c r="L94" s="33" t="s">
        <v>330</v>
      </c>
      <c r="M94" s="33" t="s">
        <v>1291</v>
      </c>
      <c r="N94" s="33" t="s">
        <v>78</v>
      </c>
      <c r="O94" s="53">
        <v>45870</v>
      </c>
      <c r="P94" s="53">
        <v>45870</v>
      </c>
    </row>
    <row r="95" spans="1:16" hidden="1" x14ac:dyDescent="0.35">
      <c r="A95" s="33" t="s">
        <v>327</v>
      </c>
      <c r="B95" s="33" t="s">
        <v>17</v>
      </c>
      <c r="C95" s="33" t="s">
        <v>40</v>
      </c>
      <c r="D95" s="33" t="s">
        <v>41</v>
      </c>
      <c r="E95" s="33" t="s">
        <v>263</v>
      </c>
      <c r="F95" s="53">
        <v>45721</v>
      </c>
      <c r="G95" s="33">
        <v>125</v>
      </c>
      <c r="H95" s="53">
        <v>45905</v>
      </c>
      <c r="I95" s="53" t="str">
        <f t="shared" si="1"/>
        <v>NO</v>
      </c>
      <c r="J95" s="33" t="s">
        <v>341</v>
      </c>
      <c r="K95" s="33" t="s">
        <v>329</v>
      </c>
      <c r="L95" s="33" t="s">
        <v>330</v>
      </c>
      <c r="M95" s="33" t="s">
        <v>1292</v>
      </c>
      <c r="N95" s="33" t="s">
        <v>78</v>
      </c>
      <c r="O95" s="53">
        <v>45877</v>
      </c>
      <c r="P95" s="53">
        <v>45877</v>
      </c>
    </row>
    <row r="96" spans="1:16" hidden="1" x14ac:dyDescent="0.35">
      <c r="A96" s="33" t="s">
        <v>327</v>
      </c>
      <c r="B96" s="33" t="s">
        <v>17</v>
      </c>
      <c r="C96" s="33" t="s">
        <v>369</v>
      </c>
      <c r="D96" s="33" t="s">
        <v>370</v>
      </c>
      <c r="E96" s="33" t="s">
        <v>371</v>
      </c>
      <c r="F96" s="53">
        <v>45735</v>
      </c>
      <c r="G96" s="33">
        <v>125</v>
      </c>
      <c r="H96" s="53">
        <v>45919</v>
      </c>
      <c r="I96" s="53" t="str">
        <f t="shared" si="1"/>
        <v>NO</v>
      </c>
      <c r="J96" s="33" t="s">
        <v>341</v>
      </c>
      <c r="K96" s="33" t="s">
        <v>329</v>
      </c>
      <c r="L96" s="33" t="s">
        <v>330</v>
      </c>
      <c r="M96" s="33" t="s">
        <v>1293</v>
      </c>
      <c r="N96" s="33" t="s">
        <v>78</v>
      </c>
      <c r="O96" s="53">
        <v>45889</v>
      </c>
      <c r="P96" s="53">
        <v>45889</v>
      </c>
    </row>
    <row r="97" spans="1:16" hidden="1" x14ac:dyDescent="0.35">
      <c r="A97" s="33" t="s">
        <v>327</v>
      </c>
      <c r="B97" s="33" t="s">
        <v>17</v>
      </c>
      <c r="C97" s="33" t="s">
        <v>383</v>
      </c>
      <c r="D97" s="33" t="s">
        <v>384</v>
      </c>
      <c r="E97" s="33" t="s">
        <v>385</v>
      </c>
      <c r="F97" s="53">
        <v>45740</v>
      </c>
      <c r="G97" s="33">
        <v>125</v>
      </c>
      <c r="H97" s="53">
        <v>45924</v>
      </c>
      <c r="I97" s="53" t="str">
        <f t="shared" si="1"/>
        <v>NO</v>
      </c>
      <c r="J97" s="33" t="s">
        <v>341</v>
      </c>
      <c r="K97" s="33" t="s">
        <v>329</v>
      </c>
      <c r="L97" s="33" t="s">
        <v>330</v>
      </c>
      <c r="M97" s="33" t="s">
        <v>1294</v>
      </c>
      <c r="N97" s="33" t="s">
        <v>78</v>
      </c>
      <c r="O97" s="53">
        <v>45895</v>
      </c>
      <c r="P97" s="53">
        <v>45895</v>
      </c>
    </row>
    <row r="98" spans="1:16" hidden="1" x14ac:dyDescent="0.35">
      <c r="A98" s="33" t="s">
        <v>327</v>
      </c>
      <c r="B98" s="33" t="s">
        <v>17</v>
      </c>
      <c r="C98" s="33" t="s">
        <v>383</v>
      </c>
      <c r="D98" s="33" t="s">
        <v>384</v>
      </c>
      <c r="E98" s="33" t="s">
        <v>392</v>
      </c>
      <c r="F98" s="53">
        <v>45741</v>
      </c>
      <c r="G98" s="33">
        <v>125</v>
      </c>
      <c r="H98" s="53">
        <v>45925</v>
      </c>
      <c r="I98" s="53" t="str">
        <f t="shared" si="1"/>
        <v>NO</v>
      </c>
      <c r="J98" s="33" t="s">
        <v>341</v>
      </c>
      <c r="K98" s="33" t="s">
        <v>329</v>
      </c>
      <c r="L98" s="33" t="s">
        <v>330</v>
      </c>
      <c r="M98" s="33" t="s">
        <v>1295</v>
      </c>
      <c r="N98" s="33" t="s">
        <v>78</v>
      </c>
      <c r="O98" s="53">
        <v>45895</v>
      </c>
      <c r="P98" s="53">
        <v>45895</v>
      </c>
    </row>
    <row r="99" spans="1:16" hidden="1" x14ac:dyDescent="0.35">
      <c r="A99" s="33" t="s">
        <v>327</v>
      </c>
      <c r="B99" s="33" t="s">
        <v>17</v>
      </c>
      <c r="C99" s="33" t="s">
        <v>38</v>
      </c>
      <c r="D99" s="33" t="s">
        <v>39</v>
      </c>
      <c r="E99" s="33" t="s">
        <v>431</v>
      </c>
      <c r="F99" s="53">
        <v>45749</v>
      </c>
      <c r="G99" s="33">
        <v>125</v>
      </c>
      <c r="H99" s="53">
        <v>45933</v>
      </c>
      <c r="I99" s="53" t="str">
        <f t="shared" si="1"/>
        <v>NO</v>
      </c>
      <c r="J99" s="33" t="s">
        <v>341</v>
      </c>
      <c r="K99" s="33" t="s">
        <v>329</v>
      </c>
      <c r="L99" s="33" t="s">
        <v>330</v>
      </c>
      <c r="M99" s="33" t="s">
        <v>1296</v>
      </c>
      <c r="N99" s="33" t="s">
        <v>78</v>
      </c>
      <c r="O99" s="53">
        <v>45898</v>
      </c>
      <c r="P99" s="53">
        <v>45898</v>
      </c>
    </row>
    <row r="100" spans="1:16" hidden="1" x14ac:dyDescent="0.35">
      <c r="A100" s="33" t="s">
        <v>327</v>
      </c>
      <c r="B100" s="33" t="s">
        <v>17</v>
      </c>
      <c r="C100" s="33" t="s">
        <v>647</v>
      </c>
      <c r="D100" s="33" t="s">
        <v>648</v>
      </c>
      <c r="E100" s="33" t="s">
        <v>683</v>
      </c>
      <c r="F100" s="53">
        <v>45761</v>
      </c>
      <c r="G100" s="33">
        <v>125</v>
      </c>
      <c r="H100" s="53">
        <v>45946</v>
      </c>
      <c r="I100" s="53" t="str">
        <f t="shared" si="1"/>
        <v>NO</v>
      </c>
      <c r="J100" s="33" t="s">
        <v>341</v>
      </c>
      <c r="K100" s="33" t="s">
        <v>329</v>
      </c>
      <c r="L100" s="33" t="s">
        <v>330</v>
      </c>
      <c r="M100" s="33" t="s">
        <v>1297</v>
      </c>
      <c r="N100" s="33" t="s">
        <v>78</v>
      </c>
      <c r="O100" s="53">
        <v>45896</v>
      </c>
      <c r="P100" s="53">
        <v>45896</v>
      </c>
    </row>
    <row r="101" spans="1:16" hidden="1" x14ac:dyDescent="0.35">
      <c r="A101" s="33" t="s">
        <v>327</v>
      </c>
      <c r="B101" s="33" t="s">
        <v>17</v>
      </c>
      <c r="C101" s="33" t="s">
        <v>257</v>
      </c>
      <c r="D101" s="33" t="s">
        <v>258</v>
      </c>
      <c r="E101" s="33" t="s">
        <v>259</v>
      </c>
      <c r="F101" s="53">
        <v>45720</v>
      </c>
      <c r="G101" s="33">
        <v>125</v>
      </c>
      <c r="H101" s="53">
        <v>45904</v>
      </c>
      <c r="I101" s="53" t="str">
        <f t="shared" si="1"/>
        <v>NO</v>
      </c>
      <c r="J101" s="33" t="s">
        <v>341</v>
      </c>
      <c r="K101" s="33" t="s">
        <v>329</v>
      </c>
      <c r="L101" s="33" t="s">
        <v>330</v>
      </c>
      <c r="M101" s="33" t="s">
        <v>1298</v>
      </c>
      <c r="N101" s="33" t="s">
        <v>78</v>
      </c>
      <c r="O101" s="53">
        <v>45889</v>
      </c>
      <c r="P101" s="53">
        <v>45889</v>
      </c>
    </row>
    <row r="102" spans="1:16" hidden="1" x14ac:dyDescent="0.35">
      <c r="A102" s="50"/>
      <c r="C102"/>
      <c r="F102" s="51"/>
      <c r="G102"/>
      <c r="H102" s="51"/>
      <c r="K102"/>
      <c r="L102"/>
      <c r="M102"/>
      <c r="N102"/>
      <c r="O102" s="51"/>
      <c r="P102" s="52"/>
    </row>
    <row r="103" spans="1:16" hidden="1" x14ac:dyDescent="0.35">
      <c r="A103" s="42"/>
      <c r="B103" s="38"/>
      <c r="C103" s="38"/>
      <c r="D103" s="38"/>
      <c r="E103" s="38"/>
      <c r="F103" s="39"/>
      <c r="G103" s="38"/>
      <c r="H103" s="39"/>
      <c r="J103" s="38"/>
      <c r="K103" s="38"/>
      <c r="L103" s="38"/>
      <c r="M103" s="38"/>
      <c r="N103" s="38"/>
      <c r="O103" s="39"/>
      <c r="P103" s="43"/>
    </row>
    <row r="104" spans="1:16" hidden="1" x14ac:dyDescent="0.35">
      <c r="A104" s="42"/>
      <c r="B104" s="38"/>
      <c r="C104" s="38"/>
      <c r="D104" s="38"/>
      <c r="E104" s="38"/>
      <c r="F104" s="39"/>
      <c r="G104" s="38"/>
      <c r="H104" s="39"/>
      <c r="J104" s="38"/>
      <c r="K104" s="38"/>
      <c r="L104" s="38"/>
      <c r="M104" s="38"/>
      <c r="N104" s="38"/>
      <c r="O104" s="39"/>
      <c r="P104" s="43"/>
    </row>
    <row r="105" spans="1:16" hidden="1" x14ac:dyDescent="0.35">
      <c r="A105" s="42"/>
      <c r="B105" s="38"/>
      <c r="C105" s="38"/>
      <c r="D105" s="38"/>
      <c r="E105" s="38"/>
      <c r="F105" s="39"/>
      <c r="G105" s="38"/>
      <c r="H105" s="39"/>
      <c r="J105" s="38"/>
      <c r="K105" s="38"/>
      <c r="L105" s="38"/>
      <c r="M105" s="38"/>
      <c r="N105" s="38"/>
      <c r="O105" s="39"/>
      <c r="P105" s="43"/>
    </row>
    <row r="106" spans="1:16" hidden="1" x14ac:dyDescent="0.35">
      <c r="A106" s="42"/>
      <c r="B106" s="38"/>
      <c r="C106" s="38"/>
      <c r="D106" s="38"/>
      <c r="E106" s="38"/>
      <c r="F106" s="39"/>
      <c r="G106" s="38"/>
      <c r="H106" s="39"/>
      <c r="J106" s="38"/>
      <c r="K106" s="38"/>
      <c r="L106" s="38"/>
      <c r="M106" s="38"/>
      <c r="N106" s="38"/>
      <c r="O106" s="39"/>
      <c r="P106" s="43"/>
    </row>
    <row r="107" spans="1:16" hidden="1" x14ac:dyDescent="0.35">
      <c r="A107" s="42"/>
      <c r="B107" s="38"/>
      <c r="C107" s="38"/>
      <c r="D107" s="38"/>
      <c r="E107" s="38"/>
      <c r="F107" s="39"/>
      <c r="G107" s="38"/>
      <c r="H107" s="39"/>
      <c r="J107" s="38"/>
      <c r="K107" s="38"/>
      <c r="L107" s="38"/>
      <c r="M107" s="38"/>
      <c r="N107" s="38"/>
      <c r="O107" s="39"/>
      <c r="P107" s="43"/>
    </row>
    <row r="108" spans="1:16" hidden="1" x14ac:dyDescent="0.35">
      <c r="A108" s="42"/>
      <c r="B108" s="38"/>
      <c r="C108" s="38"/>
      <c r="D108" s="38"/>
      <c r="E108" s="38"/>
      <c r="F108" s="39"/>
      <c r="G108" s="38"/>
      <c r="H108" s="39"/>
      <c r="J108" s="38"/>
      <c r="K108" s="38"/>
      <c r="L108" s="38"/>
      <c r="M108" s="38"/>
      <c r="N108" s="38"/>
      <c r="O108" s="39"/>
      <c r="P108" s="43"/>
    </row>
    <row r="109" spans="1:16" hidden="1" x14ac:dyDescent="0.35">
      <c r="A109" s="42"/>
      <c r="B109" s="38"/>
      <c r="C109" s="38"/>
      <c r="D109" s="38"/>
      <c r="E109" s="38"/>
      <c r="F109" s="39"/>
      <c r="G109" s="38"/>
      <c r="H109" s="39"/>
      <c r="J109" s="38"/>
      <c r="K109" s="38"/>
      <c r="L109" s="38"/>
      <c r="M109" s="38"/>
      <c r="N109" s="38"/>
      <c r="O109" s="39"/>
      <c r="P109" s="43"/>
    </row>
    <row r="110" spans="1:16" hidden="1" x14ac:dyDescent="0.35">
      <c r="A110" s="42"/>
      <c r="B110" s="38"/>
      <c r="C110" s="38"/>
      <c r="D110" s="38"/>
      <c r="E110" s="38"/>
      <c r="F110" s="39"/>
      <c r="G110" s="38"/>
      <c r="H110" s="39"/>
      <c r="J110" s="38"/>
      <c r="K110" s="38"/>
      <c r="L110" s="38"/>
      <c r="M110" s="38"/>
      <c r="N110" s="38"/>
      <c r="O110" s="39"/>
      <c r="P110" s="43"/>
    </row>
    <row r="111" spans="1:16" hidden="1" x14ac:dyDescent="0.35">
      <c r="A111" s="42"/>
      <c r="B111" s="38"/>
      <c r="C111" s="38"/>
      <c r="D111" s="38"/>
      <c r="E111" s="38"/>
      <c r="F111" s="39"/>
      <c r="G111" s="38"/>
      <c r="H111" s="39"/>
      <c r="J111" s="38"/>
      <c r="K111" s="38"/>
      <c r="L111" s="38"/>
      <c r="M111" s="38"/>
      <c r="N111" s="38"/>
      <c r="O111" s="39"/>
      <c r="P111" s="43"/>
    </row>
    <row r="112" spans="1:16" hidden="1" x14ac:dyDescent="0.35">
      <c r="A112" s="42"/>
      <c r="B112" s="38"/>
      <c r="C112" s="38"/>
      <c r="D112" s="38"/>
      <c r="E112" s="38"/>
      <c r="F112" s="39"/>
      <c r="G112" s="38"/>
      <c r="H112" s="39"/>
      <c r="J112" s="38"/>
      <c r="K112" s="38"/>
      <c r="L112" s="38"/>
      <c r="M112" s="38"/>
      <c r="N112" s="38"/>
      <c r="O112" s="39"/>
      <c r="P112" s="43"/>
    </row>
    <row r="113" spans="1:16" hidden="1" x14ac:dyDescent="0.35">
      <c r="A113" s="42"/>
      <c r="B113" s="38"/>
      <c r="C113" s="38"/>
      <c r="D113" s="38"/>
      <c r="E113" s="38"/>
      <c r="F113" s="39"/>
      <c r="G113" s="38"/>
      <c r="H113" s="39"/>
      <c r="J113" s="38"/>
      <c r="K113" s="38"/>
      <c r="L113" s="38"/>
      <c r="M113" s="38"/>
      <c r="N113" s="38"/>
      <c r="O113" s="39"/>
      <c r="P113" s="43"/>
    </row>
    <row r="114" spans="1:16" hidden="1" x14ac:dyDescent="0.35">
      <c r="A114" s="42"/>
      <c r="B114" s="38"/>
      <c r="C114" s="38"/>
      <c r="D114" s="38"/>
      <c r="E114" s="38"/>
      <c r="F114" s="39"/>
      <c r="G114" s="38"/>
      <c r="H114" s="39"/>
      <c r="J114" s="38"/>
      <c r="K114" s="38"/>
      <c r="L114" s="38"/>
      <c r="M114" s="38"/>
      <c r="N114" s="38"/>
      <c r="O114" s="39"/>
      <c r="P114" s="43"/>
    </row>
    <row r="115" spans="1:16" hidden="1" x14ac:dyDescent="0.35">
      <c r="A115" s="42"/>
      <c r="B115" s="38"/>
      <c r="C115" s="38"/>
      <c r="D115" s="38"/>
      <c r="E115" s="38"/>
      <c r="F115" s="39"/>
      <c r="G115" s="38"/>
      <c r="H115" s="39"/>
      <c r="J115" s="38"/>
      <c r="K115" s="38"/>
      <c r="L115" s="38"/>
      <c r="M115" s="38"/>
      <c r="N115" s="38"/>
      <c r="O115" s="39"/>
      <c r="P115" s="43"/>
    </row>
    <row r="116" spans="1:16" hidden="1" x14ac:dyDescent="0.35">
      <c r="A116" s="42"/>
      <c r="B116" s="38"/>
      <c r="C116" s="38"/>
      <c r="D116" s="38"/>
      <c r="E116" s="38"/>
      <c r="F116" s="39"/>
      <c r="G116" s="38"/>
      <c r="H116" s="39"/>
      <c r="J116" s="38"/>
      <c r="K116" s="38"/>
      <c r="L116" s="38"/>
      <c r="M116" s="38"/>
      <c r="N116" s="38"/>
      <c r="O116" s="39"/>
      <c r="P116" s="43"/>
    </row>
    <row r="117" spans="1:16" hidden="1" x14ac:dyDescent="0.35">
      <c r="A117" s="42"/>
      <c r="B117" s="38"/>
      <c r="C117" s="38"/>
      <c r="D117" s="38"/>
      <c r="E117" s="38"/>
      <c r="F117" s="39"/>
      <c r="G117" s="38"/>
      <c r="H117" s="39"/>
      <c r="J117" s="38"/>
      <c r="K117" s="38"/>
      <c r="L117" s="38"/>
      <c r="M117" s="38"/>
      <c r="N117" s="38"/>
      <c r="O117" s="39"/>
      <c r="P117" s="43"/>
    </row>
    <row r="118" spans="1:16" hidden="1" x14ac:dyDescent="0.35">
      <c r="A118" s="42"/>
      <c r="B118" s="38"/>
      <c r="C118" s="38"/>
      <c r="D118" s="38"/>
      <c r="E118" s="38"/>
      <c r="F118" s="39"/>
      <c r="G118" s="38"/>
      <c r="H118" s="39"/>
      <c r="J118" s="38"/>
      <c r="K118" s="38"/>
      <c r="L118" s="38"/>
      <c r="M118" s="38"/>
      <c r="N118" s="38"/>
      <c r="O118" s="39"/>
      <c r="P118" s="43"/>
    </row>
    <row r="119" spans="1:16" hidden="1" x14ac:dyDescent="0.35">
      <c r="A119" s="42"/>
      <c r="B119" s="38"/>
      <c r="C119" s="38"/>
      <c r="D119" s="38"/>
      <c r="E119" s="38"/>
      <c r="F119" s="39"/>
      <c r="G119" s="38"/>
      <c r="H119" s="39"/>
      <c r="J119" s="38"/>
      <c r="K119" s="38"/>
      <c r="L119" s="38"/>
      <c r="M119" s="38"/>
      <c r="N119" s="38"/>
      <c r="O119" s="39"/>
      <c r="P119" s="43"/>
    </row>
    <row r="120" spans="1:16" hidden="1" x14ac:dyDescent="0.35">
      <c r="A120" s="42"/>
      <c r="B120" s="38"/>
      <c r="C120" s="38"/>
      <c r="D120" s="38"/>
      <c r="E120" s="38"/>
      <c r="F120" s="39"/>
      <c r="G120" s="38"/>
      <c r="H120" s="39"/>
      <c r="J120" s="38"/>
      <c r="K120" s="38"/>
      <c r="L120" s="38"/>
      <c r="M120" s="38"/>
      <c r="N120" s="38"/>
      <c r="O120" s="39"/>
      <c r="P120" s="43"/>
    </row>
    <row r="121" spans="1:16" hidden="1" x14ac:dyDescent="0.35">
      <c r="A121" s="42"/>
      <c r="B121" s="38"/>
      <c r="C121" s="38"/>
      <c r="D121" s="38"/>
      <c r="E121" s="38"/>
      <c r="F121" s="39"/>
      <c r="G121" s="38"/>
      <c r="H121" s="39"/>
      <c r="J121" s="38"/>
      <c r="K121" s="38"/>
      <c r="L121" s="38"/>
      <c r="M121" s="38"/>
      <c r="N121" s="38"/>
      <c r="O121" s="39"/>
      <c r="P121" s="43"/>
    </row>
    <row r="122" spans="1:16" hidden="1" x14ac:dyDescent="0.35">
      <c r="A122" s="42"/>
      <c r="B122" s="38"/>
      <c r="C122" s="38"/>
      <c r="D122" s="38"/>
      <c r="E122" s="38"/>
      <c r="F122" s="39"/>
      <c r="G122" s="38"/>
      <c r="H122" s="39"/>
      <c r="J122" s="38"/>
      <c r="K122" s="38"/>
      <c r="L122" s="38"/>
      <c r="M122" s="38"/>
      <c r="N122" s="38"/>
      <c r="O122" s="39"/>
      <c r="P122" s="43"/>
    </row>
    <row r="123" spans="1:16" hidden="1" x14ac:dyDescent="0.35">
      <c r="A123" s="42"/>
      <c r="B123" s="38"/>
      <c r="C123" s="38"/>
      <c r="D123" s="38"/>
      <c r="E123" s="38"/>
      <c r="F123" s="39"/>
      <c r="G123" s="38"/>
      <c r="H123" s="39"/>
      <c r="J123" s="38"/>
      <c r="K123" s="38"/>
      <c r="L123" s="38"/>
      <c r="M123" s="38"/>
      <c r="N123" s="38"/>
      <c r="O123" s="39"/>
      <c r="P123" s="43"/>
    </row>
    <row r="124" spans="1:16" hidden="1" x14ac:dyDescent="0.35">
      <c r="A124" s="42"/>
      <c r="B124" s="38"/>
      <c r="C124" s="38"/>
      <c r="D124" s="38"/>
      <c r="E124" s="38"/>
      <c r="F124" s="39"/>
      <c r="G124" s="38"/>
      <c r="H124" s="39"/>
      <c r="J124" s="38"/>
      <c r="K124" s="38"/>
      <c r="L124" s="38"/>
      <c r="M124" s="38"/>
      <c r="N124" s="38"/>
      <c r="O124" s="39"/>
      <c r="P124" s="43"/>
    </row>
    <row r="125" spans="1:16" hidden="1" x14ac:dyDescent="0.35">
      <c r="A125" s="42"/>
      <c r="B125" s="38"/>
      <c r="C125" s="38"/>
      <c r="D125" s="38"/>
      <c r="E125" s="38"/>
      <c r="F125" s="39"/>
      <c r="G125" s="38"/>
      <c r="H125" s="39"/>
      <c r="J125" s="38"/>
      <c r="K125" s="38"/>
      <c r="L125" s="38"/>
      <c r="M125" s="38"/>
      <c r="N125" s="38"/>
      <c r="O125" s="39"/>
      <c r="P125" s="43"/>
    </row>
    <row r="126" spans="1:16" hidden="1" x14ac:dyDescent="0.35">
      <c r="A126" s="42"/>
      <c r="B126" s="38"/>
      <c r="C126" s="38"/>
      <c r="D126" s="38"/>
      <c r="E126" s="38"/>
      <c r="F126" s="39"/>
      <c r="G126" s="38"/>
      <c r="H126" s="39"/>
      <c r="J126" s="38"/>
      <c r="K126" s="38"/>
      <c r="L126" s="38"/>
      <c r="M126" s="38"/>
      <c r="N126" s="38"/>
      <c r="O126" s="39"/>
      <c r="P126" s="43"/>
    </row>
    <row r="127" spans="1:16" hidden="1" x14ac:dyDescent="0.35">
      <c r="A127" s="42"/>
      <c r="B127" s="38"/>
      <c r="C127" s="38"/>
      <c r="D127" s="38"/>
      <c r="E127" s="38"/>
      <c r="F127" s="39"/>
      <c r="G127" s="38"/>
      <c r="H127" s="39"/>
      <c r="J127" s="38"/>
      <c r="K127" s="38"/>
      <c r="L127" s="38"/>
      <c r="M127" s="38"/>
      <c r="N127" s="38"/>
      <c r="O127" s="39"/>
      <c r="P127" s="43"/>
    </row>
    <row r="128" spans="1:16" hidden="1" x14ac:dyDescent="0.35">
      <c r="A128" s="42"/>
      <c r="B128" s="38"/>
      <c r="C128" s="38"/>
      <c r="D128" s="38"/>
      <c r="E128" s="38"/>
      <c r="F128" s="39"/>
      <c r="G128" s="38"/>
      <c r="H128" s="39"/>
      <c r="J128" s="38"/>
      <c r="K128" s="38"/>
      <c r="L128" s="38"/>
      <c r="M128" s="38"/>
      <c r="N128" s="38"/>
      <c r="O128" s="39"/>
      <c r="P128" s="43"/>
    </row>
    <row r="129" spans="1:16" hidden="1" x14ac:dyDescent="0.35">
      <c r="A129" s="42"/>
      <c r="B129" s="38"/>
      <c r="C129" s="38"/>
      <c r="D129" s="38"/>
      <c r="E129" s="38"/>
      <c r="F129" s="39"/>
      <c r="G129" s="38"/>
      <c r="H129" s="39"/>
      <c r="J129" s="38"/>
      <c r="K129" s="38"/>
      <c r="L129" s="38"/>
      <c r="M129" s="38"/>
      <c r="N129" s="38"/>
      <c r="O129" s="39"/>
      <c r="P129" s="43"/>
    </row>
    <row r="130" spans="1:16" hidden="1" x14ac:dyDescent="0.35">
      <c r="A130" s="42"/>
      <c r="B130" s="38"/>
      <c r="C130" s="38"/>
      <c r="D130" s="38"/>
      <c r="E130" s="38"/>
      <c r="F130" s="39"/>
      <c r="G130" s="38"/>
      <c r="H130" s="39"/>
      <c r="J130" s="38"/>
      <c r="K130" s="38"/>
      <c r="L130" s="38"/>
      <c r="M130" s="38"/>
      <c r="N130" s="38"/>
      <c r="O130" s="39"/>
      <c r="P130" s="43"/>
    </row>
    <row r="131" spans="1:16" hidden="1" x14ac:dyDescent="0.35">
      <c r="A131" s="42"/>
      <c r="B131" s="38"/>
      <c r="C131" s="38"/>
      <c r="D131" s="38"/>
      <c r="E131" s="38"/>
      <c r="F131" s="39"/>
      <c r="G131" s="38"/>
      <c r="H131" s="39"/>
      <c r="J131" s="38"/>
      <c r="K131" s="38"/>
      <c r="L131" s="38"/>
      <c r="M131" s="38"/>
      <c r="N131" s="38"/>
      <c r="O131" s="39"/>
      <c r="P131" s="43"/>
    </row>
    <row r="132" spans="1:16" hidden="1" x14ac:dyDescent="0.35">
      <c r="A132" s="42"/>
      <c r="B132" s="38"/>
      <c r="C132" s="38"/>
      <c r="D132" s="38"/>
      <c r="E132" s="38"/>
      <c r="F132" s="39"/>
      <c r="G132" s="38"/>
      <c r="H132" s="39"/>
      <c r="J132" s="38"/>
      <c r="K132" s="38"/>
      <c r="L132" s="38"/>
      <c r="M132" s="38"/>
      <c r="N132" s="38"/>
      <c r="O132" s="39"/>
      <c r="P132" s="43"/>
    </row>
    <row r="133" spans="1:16" hidden="1" x14ac:dyDescent="0.35">
      <c r="A133" s="42"/>
      <c r="B133" s="38"/>
      <c r="C133" s="38"/>
      <c r="D133" s="38"/>
      <c r="E133" s="38"/>
      <c r="F133" s="39"/>
      <c r="G133" s="38"/>
      <c r="H133" s="39"/>
      <c r="J133" s="38"/>
      <c r="K133" s="38"/>
      <c r="L133" s="38"/>
      <c r="M133" s="38"/>
      <c r="N133" s="38"/>
      <c r="O133" s="39"/>
      <c r="P133" s="43"/>
    </row>
    <row r="134" spans="1:16" hidden="1" x14ac:dyDescent="0.35">
      <c r="A134" s="42"/>
      <c r="B134" s="38"/>
      <c r="C134" s="38"/>
      <c r="D134" s="38"/>
      <c r="E134" s="38"/>
      <c r="F134" s="39"/>
      <c r="G134" s="38"/>
      <c r="H134" s="39"/>
      <c r="J134" s="38"/>
      <c r="K134" s="38"/>
      <c r="L134" s="38"/>
      <c r="M134" s="38"/>
      <c r="N134" s="38"/>
      <c r="O134" s="39"/>
      <c r="P134" s="43"/>
    </row>
    <row r="135" spans="1:16" hidden="1" x14ac:dyDescent="0.35">
      <c r="A135" s="42"/>
      <c r="B135" s="38"/>
      <c r="C135" s="38"/>
      <c r="D135" s="38"/>
      <c r="E135" s="38"/>
      <c r="F135" s="39"/>
      <c r="G135" s="38"/>
      <c r="H135" s="39"/>
      <c r="J135" s="38"/>
      <c r="K135" s="38"/>
      <c r="L135" s="38"/>
      <c r="M135" s="38"/>
      <c r="N135" s="38"/>
      <c r="O135" s="39"/>
      <c r="P135" s="43"/>
    </row>
    <row r="136" spans="1:16" hidden="1" x14ac:dyDescent="0.35">
      <c r="A136" s="42"/>
      <c r="B136" s="38"/>
      <c r="C136" s="38"/>
      <c r="D136" s="38"/>
      <c r="E136" s="38"/>
      <c r="F136" s="39"/>
      <c r="G136" s="38"/>
      <c r="H136" s="39"/>
      <c r="J136" s="38"/>
      <c r="K136" s="38"/>
      <c r="L136" s="38"/>
      <c r="M136" s="38"/>
      <c r="N136" s="38"/>
      <c r="O136" s="39"/>
      <c r="P136" s="43"/>
    </row>
    <row r="137" spans="1:16" hidden="1" x14ac:dyDescent="0.35">
      <c r="A137" s="42"/>
      <c r="B137" s="38"/>
      <c r="C137" s="38"/>
      <c r="D137" s="38"/>
      <c r="E137" s="38"/>
      <c r="F137" s="39"/>
      <c r="G137" s="38"/>
      <c r="H137" s="39"/>
      <c r="J137" s="38"/>
      <c r="K137" s="38"/>
      <c r="L137" s="38"/>
      <c r="M137" s="38"/>
      <c r="N137" s="38"/>
      <c r="O137" s="39"/>
      <c r="P137" s="43"/>
    </row>
    <row r="138" spans="1:16" hidden="1" x14ac:dyDescent="0.35">
      <c r="A138" s="42"/>
      <c r="B138" s="38"/>
      <c r="C138" s="38"/>
      <c r="D138" s="38"/>
      <c r="E138" s="38"/>
      <c r="F138" s="39"/>
      <c r="G138" s="38"/>
      <c r="H138" s="39"/>
      <c r="J138" s="38"/>
      <c r="K138" s="38"/>
      <c r="L138" s="38"/>
      <c r="M138" s="38"/>
      <c r="N138" s="38"/>
      <c r="O138" s="39"/>
      <c r="P138" s="43"/>
    </row>
    <row r="139" spans="1:16" hidden="1" x14ac:dyDescent="0.35">
      <c r="A139" s="42"/>
      <c r="B139" s="38"/>
      <c r="C139" s="38"/>
      <c r="D139" s="38"/>
      <c r="E139" s="38"/>
      <c r="F139" s="39"/>
      <c r="G139" s="38"/>
      <c r="H139" s="39"/>
      <c r="J139" s="38"/>
      <c r="K139" s="38"/>
      <c r="L139" s="38"/>
      <c r="M139" s="38"/>
      <c r="N139" s="38"/>
      <c r="O139" s="39"/>
      <c r="P139" s="43"/>
    </row>
    <row r="140" spans="1:16" hidden="1" x14ac:dyDescent="0.35">
      <c r="A140" s="44"/>
      <c r="B140" s="40"/>
      <c r="C140" s="40"/>
      <c r="D140" s="40"/>
      <c r="E140" s="40"/>
      <c r="F140" s="41"/>
      <c r="G140" s="40"/>
      <c r="H140" s="41"/>
      <c r="J140" s="40"/>
      <c r="K140" s="40"/>
      <c r="L140" s="40"/>
      <c r="M140" s="40"/>
      <c r="N140" s="40"/>
      <c r="O140" s="41"/>
      <c r="P140" s="43"/>
    </row>
    <row r="141" spans="1:16" hidden="1" x14ac:dyDescent="0.35">
      <c r="M141" s="4"/>
      <c r="O141" s="35"/>
    </row>
    <row r="142" spans="1:16" hidden="1" x14ac:dyDescent="0.35">
      <c r="M142" s="4"/>
      <c r="O142" s="35"/>
    </row>
    <row r="143" spans="1:16" hidden="1" x14ac:dyDescent="0.35">
      <c r="M143" s="4"/>
      <c r="O143" s="35"/>
    </row>
    <row r="144" spans="1:16" hidden="1" x14ac:dyDescent="0.35">
      <c r="M144" s="4"/>
      <c r="O144" s="35"/>
    </row>
    <row r="145" spans="13:16" hidden="1" x14ac:dyDescent="0.35">
      <c r="M145" s="4"/>
      <c r="O145" s="35"/>
    </row>
    <row r="146" spans="13:16" hidden="1" x14ac:dyDescent="0.35">
      <c r="M146" s="4"/>
      <c r="O146" s="35"/>
    </row>
    <row r="147" spans="13:16" hidden="1" x14ac:dyDescent="0.35">
      <c r="M147" s="4"/>
      <c r="O147" s="35"/>
      <c r="P147" s="36"/>
    </row>
  </sheetData>
  <autoFilter ref="A1:P147" xr:uid="{0601F15D-3E61-433E-A934-13AB2E4C1463}">
    <filterColumn colId="9">
      <filters>
        <filter val="CARLOS ALFREDO, MALAGA PORTOCARRERO"/>
        <filter val="JUAN CARLOS, CUYA VELARDE"/>
        <filter val="POUL CRISTIAN, VALDIVIA CHARCA"/>
        <filter val="RENIERD, RIOS GOMEZ"/>
        <filter val="RICHARD, VELA NUÑEZ"/>
        <filter val="ROBERTO CESAR, RIVAROLA HIDALGO"/>
      </filters>
    </filterColumn>
    <filterColumn colId="15">
      <customFilters>
        <customFilter operator="notEqual" val=" "/>
      </customFilters>
    </filterColumn>
  </autoFilter>
  <sortState xmlns:xlrd2="http://schemas.microsoft.com/office/spreadsheetml/2017/richdata2" ref="A2:P79">
    <sortCondition ref="O1:O79"/>
  </sortState>
  <phoneticPr fontId="7" type="noConversion"/>
  <pageMargins left="0.25" right="0.25" top="0.75" bottom="0.75" header="0.3" footer="0.3"/>
  <pageSetup paperSize="9" scale="5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9C15-808A-45B6-860C-DBB8917540F3}">
  <dimension ref="B1:N10"/>
  <sheetViews>
    <sheetView workbookViewId="0">
      <selection activeCell="C13" sqref="C13"/>
    </sheetView>
  </sheetViews>
  <sheetFormatPr baseColWidth="10" defaultColWidth="11.453125" defaultRowHeight="14.5" x14ac:dyDescent="0.35"/>
  <sheetData>
    <row r="1" spans="2:14" x14ac:dyDescent="0.35">
      <c r="B1" t="s">
        <v>17</v>
      </c>
      <c r="C1" s="31" t="s">
        <v>79</v>
      </c>
      <c r="D1" t="s">
        <v>80</v>
      </c>
      <c r="E1" t="s">
        <v>81</v>
      </c>
      <c r="F1" s="4" t="s">
        <v>75</v>
      </c>
      <c r="G1" s="3"/>
      <c r="I1" t="s">
        <v>82</v>
      </c>
      <c r="J1" t="s">
        <v>22</v>
      </c>
      <c r="K1" s="1" t="s">
        <v>83</v>
      </c>
      <c r="L1" s="2" t="s">
        <v>84</v>
      </c>
      <c r="M1" s="4">
        <v>45565</v>
      </c>
      <c r="N1" s="4">
        <v>45565</v>
      </c>
    </row>
    <row r="2" spans="2:14" x14ac:dyDescent="0.35">
      <c r="B2" t="s">
        <v>17</v>
      </c>
      <c r="C2" s="31" t="s">
        <v>85</v>
      </c>
      <c r="D2" t="s">
        <v>86</v>
      </c>
      <c r="E2" t="s">
        <v>87</v>
      </c>
      <c r="F2" s="4" t="s">
        <v>88</v>
      </c>
      <c r="G2" s="3"/>
      <c r="I2" t="s">
        <v>82</v>
      </c>
      <c r="J2" t="s">
        <v>22</v>
      </c>
      <c r="K2" s="1" t="s">
        <v>89</v>
      </c>
      <c r="L2" s="2" t="s">
        <v>90</v>
      </c>
      <c r="M2" s="4">
        <v>45565</v>
      </c>
      <c r="N2" s="4">
        <v>45565</v>
      </c>
    </row>
    <row r="3" spans="2:14" x14ac:dyDescent="0.35">
      <c r="B3" t="s">
        <v>17</v>
      </c>
      <c r="C3" s="31" t="s">
        <v>91</v>
      </c>
      <c r="D3" t="s">
        <v>92</v>
      </c>
      <c r="E3" t="s">
        <v>93</v>
      </c>
      <c r="F3" s="4" t="s">
        <v>73</v>
      </c>
      <c r="G3" s="3"/>
      <c r="I3" t="s">
        <v>82</v>
      </c>
      <c r="J3" t="s">
        <v>22</v>
      </c>
      <c r="K3" s="1" t="s">
        <v>94</v>
      </c>
      <c r="L3" s="2" t="s">
        <v>95</v>
      </c>
      <c r="M3" s="4">
        <v>45565</v>
      </c>
      <c r="N3" s="4">
        <v>45565</v>
      </c>
    </row>
    <row r="4" spans="2:14" x14ac:dyDescent="0.35">
      <c r="B4" t="s">
        <v>17</v>
      </c>
      <c r="C4" s="31" t="s">
        <v>96</v>
      </c>
      <c r="D4" t="s">
        <v>97</v>
      </c>
      <c r="E4" t="s">
        <v>98</v>
      </c>
      <c r="F4" s="4" t="s">
        <v>99</v>
      </c>
      <c r="G4" s="3"/>
      <c r="I4" t="s">
        <v>82</v>
      </c>
      <c r="J4" t="s">
        <v>22</v>
      </c>
      <c r="K4" s="1" t="s">
        <v>100</v>
      </c>
      <c r="L4" s="2" t="s">
        <v>101</v>
      </c>
      <c r="M4" s="4">
        <v>45541</v>
      </c>
      <c r="N4" s="4">
        <v>45541</v>
      </c>
    </row>
    <row r="5" spans="2:14" x14ac:dyDescent="0.35">
      <c r="B5" t="s">
        <v>17</v>
      </c>
      <c r="C5" s="31" t="s">
        <v>102</v>
      </c>
      <c r="D5" t="s">
        <v>103</v>
      </c>
      <c r="E5" t="s">
        <v>104</v>
      </c>
      <c r="F5" s="4" t="s">
        <v>105</v>
      </c>
      <c r="G5" s="3"/>
      <c r="I5" t="s">
        <v>82</v>
      </c>
      <c r="J5" t="s">
        <v>22</v>
      </c>
      <c r="K5" s="1" t="s">
        <v>106</v>
      </c>
      <c r="L5" s="2" t="s">
        <v>107</v>
      </c>
      <c r="M5" s="4">
        <v>45541</v>
      </c>
      <c r="N5" s="4">
        <v>45541</v>
      </c>
    </row>
    <row r="6" spans="2:14" x14ac:dyDescent="0.35">
      <c r="B6" t="s">
        <v>17</v>
      </c>
      <c r="C6" s="31" t="s">
        <v>102</v>
      </c>
      <c r="D6" t="s">
        <v>103</v>
      </c>
      <c r="E6" t="s">
        <v>108</v>
      </c>
      <c r="F6" s="4" t="s">
        <v>76</v>
      </c>
      <c r="G6" s="3"/>
      <c r="I6" t="s">
        <v>82</v>
      </c>
      <c r="J6" t="s">
        <v>22</v>
      </c>
      <c r="K6" s="1" t="s">
        <v>109</v>
      </c>
      <c r="L6" s="2" t="s">
        <v>110</v>
      </c>
      <c r="M6" s="4">
        <v>45540</v>
      </c>
      <c r="N6" s="4">
        <v>45540</v>
      </c>
    </row>
    <row r="7" spans="2:14" x14ac:dyDescent="0.35">
      <c r="B7" t="s">
        <v>17</v>
      </c>
      <c r="C7" s="31" t="s">
        <v>111</v>
      </c>
      <c r="D7" t="s">
        <v>112</v>
      </c>
      <c r="E7" t="s">
        <v>113</v>
      </c>
      <c r="F7" s="4" t="s">
        <v>74</v>
      </c>
      <c r="G7" s="3"/>
      <c r="I7" t="s">
        <v>82</v>
      </c>
      <c r="J7" t="s">
        <v>22</v>
      </c>
      <c r="K7" s="1" t="s">
        <v>114</v>
      </c>
      <c r="L7" s="2" t="s">
        <v>115</v>
      </c>
      <c r="M7" s="4">
        <v>45565</v>
      </c>
      <c r="N7" s="4">
        <v>45565</v>
      </c>
    </row>
    <row r="8" spans="2:14" x14ac:dyDescent="0.35">
      <c r="B8" t="s">
        <v>17</v>
      </c>
      <c r="C8" s="31" t="s">
        <v>38</v>
      </c>
      <c r="D8" t="s">
        <v>39</v>
      </c>
      <c r="E8" t="s">
        <v>116</v>
      </c>
      <c r="F8" s="4" t="s">
        <v>117</v>
      </c>
      <c r="G8" s="3"/>
      <c r="I8" t="s">
        <v>82</v>
      </c>
      <c r="J8" t="s">
        <v>22</v>
      </c>
      <c r="K8" s="1" t="s">
        <v>118</v>
      </c>
      <c r="L8" s="2" t="s">
        <v>119</v>
      </c>
      <c r="M8" s="4">
        <v>45541</v>
      </c>
      <c r="N8" s="4">
        <v>45542</v>
      </c>
    </row>
    <row r="9" spans="2:14" x14ac:dyDescent="0.35">
      <c r="B9" t="s">
        <v>17</v>
      </c>
      <c r="C9" s="31" t="s">
        <v>120</v>
      </c>
      <c r="D9" t="s">
        <v>121</v>
      </c>
      <c r="E9" t="s">
        <v>122</v>
      </c>
      <c r="F9" s="4" t="s">
        <v>123</v>
      </c>
      <c r="G9" s="3"/>
      <c r="I9" t="s">
        <v>82</v>
      </c>
      <c r="J9" t="s">
        <v>22</v>
      </c>
      <c r="K9" s="1" t="s">
        <v>124</v>
      </c>
      <c r="L9" s="2" t="s">
        <v>125</v>
      </c>
      <c r="M9" s="4">
        <v>45541</v>
      </c>
      <c r="N9" s="4">
        <v>45545</v>
      </c>
    </row>
    <row r="10" spans="2:14" x14ac:dyDescent="0.35">
      <c r="B10" t="s">
        <v>17</v>
      </c>
      <c r="C10" s="31" t="s">
        <v>126</v>
      </c>
      <c r="D10" t="s">
        <v>127</v>
      </c>
      <c r="E10" t="s">
        <v>128</v>
      </c>
      <c r="F10" s="4" t="s">
        <v>129</v>
      </c>
      <c r="G10" s="3"/>
      <c r="I10" t="s">
        <v>82</v>
      </c>
      <c r="J10" t="s">
        <v>22</v>
      </c>
      <c r="K10" s="1" t="s">
        <v>130</v>
      </c>
      <c r="L10" s="2" t="s">
        <v>131</v>
      </c>
      <c r="M10" s="4">
        <v>45541</v>
      </c>
      <c r="N10" s="4">
        <v>45544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7C4BB3-F94C-40B3-A2C9-01F81084EF42}">
  <ds:schemaRefs>
    <ds:schemaRef ds:uri="http://schemas.microsoft.com/office/2006/documentManagement/types"/>
    <ds:schemaRef ds:uri="http://purl.org/dc/dcmitype/"/>
    <ds:schemaRef ds:uri="http://purl.org/dc/elements/1.1/"/>
    <ds:schemaRef ds:uri="d94663fc-0bbb-4c75-ad7b-31b0161adbbf"/>
    <ds:schemaRef ds:uri="http://schemas.microsoft.com/office/2006/metadata/properties"/>
    <ds:schemaRef ds:uri="http://purl.org/dc/terms/"/>
    <ds:schemaRef ds:uri="595d156a-dad3-4cb5-af16-8df3c58a879a"/>
    <ds:schemaRef ds:uri="http://schemas.microsoft.com/office/infopath/2007/PartnerControls"/>
    <ds:schemaRef ds:uri="http://schemas.openxmlformats.org/package/2006/metadata/core-properties"/>
    <ds:schemaRef ds:uri="680c7679-6e7d-4828-b830-7705079186f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7B98BB5-4B7A-4A69-BAAE-29FD330BABA4}"/>
</file>

<file path=customXml/itemProps3.xml><?xml version="1.0" encoding="utf-8"?>
<ds:datastoreItem xmlns:ds="http://schemas.openxmlformats.org/officeDocument/2006/customXml" ds:itemID="{5FD009E9-EBDF-4502-9886-6A7E472581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Stock po Resolutor</vt:lpstr>
      <vt:lpstr>Stock Reclamo</vt:lpstr>
      <vt:lpstr>Resumen por Resolutor</vt:lpstr>
      <vt:lpstr>Resumen por Resultado</vt:lpstr>
      <vt:lpstr>Producción Reclamo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Zubiaurre Onari Tania Marilia</dc:creator>
  <cp:keywords/>
  <dc:description/>
  <cp:lastModifiedBy>Salcedo Diaz Yessenia Lizet</cp:lastModifiedBy>
  <cp:revision/>
  <cp:lastPrinted>2025-09-01T14:41:58Z</cp:lastPrinted>
  <dcterms:created xsi:type="dcterms:W3CDTF">2023-01-25T17:26:34Z</dcterms:created>
  <dcterms:modified xsi:type="dcterms:W3CDTF">2025-09-02T19:53:55Z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