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feb. 25\"/>
    </mc:Choice>
  </mc:AlternateContent>
  <xr:revisionPtr revIDLastSave="14" documentId="13_ncr:1_{ADF60594-1587-4DC0-8C2C-51EE7F7819E5}" xr6:coauthVersionLast="47" xr6:coauthVersionMax="47" xr10:uidLastSave="{DDB80DBD-3083-4D6C-976E-0ECA7380FD81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Febrero 2025" sheetId="11" r:id="rId2"/>
  </sheets>
  <externalReferences>
    <externalReference r:id="rId3"/>
  </externalReferences>
  <definedNames>
    <definedName name="_xlnm._FilterDatabase" localSheetId="1" hidden="1">'DCC I Febrero 2025'!$D$1:$N$1</definedName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K13" i="11"/>
  <c r="K9" i="11"/>
  <c r="K8" i="11"/>
  <c r="K21" i="11"/>
  <c r="K23" i="11"/>
  <c r="K5" i="11"/>
  <c r="K6" i="11"/>
  <c r="K7" i="11"/>
  <c r="K17" i="11"/>
  <c r="K4" i="11"/>
  <c r="K11" i="11"/>
  <c r="N11" i="11" s="1"/>
  <c r="K12" i="11"/>
  <c r="K15" i="11"/>
  <c r="K18" i="11"/>
  <c r="K19" i="11"/>
  <c r="K20" i="11"/>
  <c r="K22" i="11"/>
  <c r="N18" i="11" l="1"/>
  <c r="N4" i="11"/>
  <c r="N5" i="11"/>
  <c r="N6" i="11"/>
  <c r="N7" i="11"/>
  <c r="N8" i="11"/>
  <c r="N9" i="11"/>
  <c r="N12" i="11"/>
  <c r="N13" i="11"/>
  <c r="N14" i="11"/>
  <c r="N15" i="11"/>
  <c r="N17" i="11"/>
  <c r="N19" i="11"/>
  <c r="N20" i="11"/>
  <c r="N21" i="11"/>
  <c r="N22" i="11"/>
  <c r="N23" i="11"/>
  <c r="Q10" i="11" l="1"/>
  <c r="Q15" i="11"/>
  <c r="Q23" i="11"/>
  <c r="P23" i="11"/>
  <c r="P15" i="11"/>
  <c r="Q25" i="11" l="1"/>
  <c r="P10" i="11"/>
</calcChain>
</file>

<file path=xl/sharedStrings.xml><?xml version="1.0" encoding="utf-8"?>
<sst xmlns="http://schemas.openxmlformats.org/spreadsheetml/2006/main" count="133" uniqueCount="84">
  <si>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</si>
  <si>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</si>
  <si>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</si>
  <si>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</si>
  <si>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</si>
  <si>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</si>
  <si>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</si>
  <si>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</si>
  <si>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</si>
  <si>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</si>
  <si>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</si>
  <si>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</si>
  <si>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</si>
  <si>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</si>
  <si>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</si>
  <si>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</si>
  <si>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</si>
  <si>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</si>
  <si>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</si>
  <si>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</si>
  <si>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</si>
  <si>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</si>
  <si>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</si>
  <si>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</si>
  <si>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</si>
  <si>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</si>
  <si>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</si>
  <si>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</si>
  <si>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</si>
  <si>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</si>
  <si>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</si>
  <si>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</si>
  <si>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</si>
  <si>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>Linares Alcantara Cesar Victor</t>
  </si>
  <si>
    <t>Especialista 3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</si>
  <si>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</si>
  <si>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</si>
  <si>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</si>
  <si>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</si>
  <si>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</si>
  <si>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</si>
  <si>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</si>
  <si>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</si>
  <si>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</si>
  <si>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</si>
  <si>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</si>
  <si>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</si>
  <si>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</si>
  <si>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</si>
  <si>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</si>
  <si>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</si>
  <si>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</si>
  <si>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</si>
  <si>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</si>
  <si>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</si>
  <si>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</si>
  <si>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</si>
  <si>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</si>
  <si>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</si>
  <si>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</si>
  <si>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</si>
  <si>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</si>
  <si>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</si>
  <si>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</si>
  <si>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</si>
  <si>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</si>
  <si>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</si>
  <si>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</si>
  <si>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</si>
  <si>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</si>
  <si>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</si>
  <si>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</si>
  <si>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</si>
  <si>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</si>
  <si>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</si>
  <si>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7330</t>
  </si>
  <si>
    <t>Rosales Ochoa Tania Elena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</si>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</sst>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0" fontId="7" fillId="0" borderId="5" xfId="0" applyFont="1" applyBorder="1"/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9"/>
  <sheetViews>
    <sheetView tabSelected="1" zoomScale="110" zoomScaleNormal="110" workbookViewId="0">
      <pane ySplit="1" topLeftCell="C2" activePane="bottomLeft" state="frozen"/>
      <selection pane="bottomLeft" activeCell="E8" sqref="E8"/>
      <selection activeCell="A2" sqref="A2"/>
    </sheetView>
  </sheetViews>
  <sheetFormatPr defaultColWidth="11.42578125" defaultRowHeight="14.45"/>
  <cols>
    <col min="1" max="1" width="9.5703125" customWidth="1"/>
    <col min="2" max="2" width="6.85546875" customWidth="1"/>
    <col min="3" max="3" width="37.42578125" bestFit="1" customWidth="1"/>
    <col min="4" max="4" width="10.28515625" bestFit="1" customWidth="1"/>
    <col min="5" max="5" width="29.42578125" customWidth="1"/>
    <col min="6" max="6" width="12.5703125" bestFit="1" customWidth="1"/>
    <col min="7" max="7" width="12.140625" customWidth="1"/>
    <col min="8" max="8" width="18" customWidth="1"/>
    <col min="9" max="9" width="11.28515625" customWidth="1"/>
    <col min="10" max="10" width="15" customWidth="1"/>
    <col min="11" max="11" width="19.42578125" customWidth="1"/>
    <col min="12" max="12" width="15.28515625" customWidth="1"/>
    <col min="13" max="13" width="11.85546875" bestFit="1" customWidth="1"/>
    <col min="14" max="14" width="9.5703125" bestFit="1" customWidth="1"/>
    <col min="15" max="15" width="3.42578125" bestFit="1" customWidth="1"/>
    <col min="16" max="16" width="8.5703125" hidden="1" customWidth="1"/>
  </cols>
  <sheetData>
    <row r="1" spans="1:17" s="5" customFormat="1" ht="46.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5.95" customHeight="1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1"/>
      <c r="H2" s="12"/>
      <c r="I2" s="35"/>
      <c r="J2" s="35"/>
      <c r="K2" s="36"/>
      <c r="L2" s="35"/>
      <c r="M2" s="36"/>
      <c r="N2" s="37"/>
      <c r="O2" s="5"/>
    </row>
    <row r="3" spans="1:17" s="19" customFormat="1" ht="15.95" customHeight="1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>
        <v>6</v>
      </c>
      <c r="K3" s="13"/>
      <c r="L3" s="13"/>
      <c r="M3" s="13"/>
      <c r="N3" s="13"/>
      <c r="O3" s="5"/>
    </row>
    <row r="4" spans="1:17" s="19" customFormat="1" ht="15.95" customHeight="1">
      <c r="A4" s="8"/>
      <c r="B4" s="18" t="s">
        <v>29</v>
      </c>
      <c r="C4" s="23" t="s">
        <v>30</v>
      </c>
      <c r="D4" s="32">
        <v>4561</v>
      </c>
      <c r="E4" s="28" t="s">
        <v>33</v>
      </c>
      <c r="F4" s="29" t="s">
        <v>34</v>
      </c>
      <c r="G4" s="33"/>
      <c r="H4" s="14"/>
      <c r="I4" s="13">
        <v>2</v>
      </c>
      <c r="J4" s="13">
        <v>3</v>
      </c>
      <c r="K4" s="49">
        <f t="shared" ref="K4:K7" si="0">+M4-(I4+J4+L4)</f>
        <v>15</v>
      </c>
      <c r="L4" s="14"/>
      <c r="M4" s="26">
        <v>20</v>
      </c>
      <c r="N4" s="27">
        <f t="shared" ref="N4:N9" si="1">+K4/M4</f>
        <v>0.75</v>
      </c>
      <c r="O4" s="5"/>
    </row>
    <row r="5" spans="1:17" s="19" customFormat="1" ht="15.95" customHeight="1">
      <c r="A5" s="8"/>
      <c r="B5" s="18" t="s">
        <v>35</v>
      </c>
      <c r="C5" s="23" t="s">
        <v>36</v>
      </c>
      <c r="D5" s="32" t="s">
        <v>37</v>
      </c>
      <c r="E5" s="28" t="s">
        <v>38</v>
      </c>
      <c r="F5" s="29" t="s">
        <v>39</v>
      </c>
      <c r="G5" s="30"/>
      <c r="H5" s="12"/>
      <c r="I5" s="13">
        <v>1.5</v>
      </c>
      <c r="J5" s="13"/>
      <c r="K5" s="49">
        <f t="shared" si="0"/>
        <v>18.5</v>
      </c>
      <c r="L5" s="13"/>
      <c r="M5" s="26">
        <v>20</v>
      </c>
      <c r="N5" s="27">
        <f t="shared" si="1"/>
        <v>0.92500000000000004</v>
      </c>
      <c r="O5" s="5"/>
    </row>
    <row r="6" spans="1:17" s="19" customFormat="1" ht="15.95" customHeight="1">
      <c r="A6" s="8"/>
      <c r="B6" s="18" t="s">
        <v>40</v>
      </c>
      <c r="C6" s="23" t="s">
        <v>41</v>
      </c>
      <c r="D6" s="32" t="s">
        <v>42</v>
      </c>
      <c r="E6" s="28" t="s">
        <v>43</v>
      </c>
      <c r="F6" s="29" t="s">
        <v>44</v>
      </c>
      <c r="G6" s="30"/>
      <c r="H6" s="12"/>
      <c r="I6" s="13">
        <v>2</v>
      </c>
      <c r="J6" s="38"/>
      <c r="K6" s="49">
        <f t="shared" si="0"/>
        <v>12</v>
      </c>
      <c r="L6" s="13">
        <v>6</v>
      </c>
      <c r="M6" s="26">
        <v>20</v>
      </c>
      <c r="N6" s="27">
        <f t="shared" si="1"/>
        <v>0.6</v>
      </c>
      <c r="O6" s="5"/>
    </row>
    <row r="7" spans="1:17" s="19" customFormat="1" ht="15.95" customHeight="1">
      <c r="A7" s="8"/>
      <c r="B7" s="18" t="s">
        <v>29</v>
      </c>
      <c r="C7" s="23" t="s">
        <v>30</v>
      </c>
      <c r="D7" s="32" t="s">
        <v>45</v>
      </c>
      <c r="E7" s="28" t="s">
        <v>46</v>
      </c>
      <c r="F7" s="29" t="s">
        <v>47</v>
      </c>
      <c r="G7" s="30"/>
      <c r="H7" s="12"/>
      <c r="I7" s="13">
        <v>1.5</v>
      </c>
      <c r="J7" s="13"/>
      <c r="K7" s="49">
        <f t="shared" si="0"/>
        <v>18.5</v>
      </c>
      <c r="L7" s="13"/>
      <c r="M7" s="26">
        <v>20</v>
      </c>
      <c r="N7" s="27">
        <f t="shared" si="1"/>
        <v>0.92500000000000004</v>
      </c>
      <c r="O7" s="5"/>
    </row>
    <row r="8" spans="1:17" s="19" customFormat="1" ht="15.95" customHeight="1">
      <c r="A8" s="8"/>
      <c r="B8" s="18" t="s">
        <v>29</v>
      </c>
      <c r="C8" s="23" t="s">
        <v>30</v>
      </c>
      <c r="D8" s="32" t="s">
        <v>48</v>
      </c>
      <c r="E8" s="28" t="s">
        <v>49</v>
      </c>
      <c r="F8" s="29" t="s">
        <v>44</v>
      </c>
      <c r="G8" s="30"/>
      <c r="H8" s="12"/>
      <c r="I8" s="13">
        <v>1</v>
      </c>
      <c r="J8" s="13">
        <v>5</v>
      </c>
      <c r="K8" s="49">
        <f>+M8-(I8+J8+L8)</f>
        <v>14</v>
      </c>
      <c r="L8" s="13"/>
      <c r="M8" s="26">
        <v>20</v>
      </c>
      <c r="N8" s="27">
        <f t="shared" si="1"/>
        <v>0.7</v>
      </c>
      <c r="O8" s="5"/>
    </row>
    <row r="9" spans="1:17" s="19" customFormat="1" ht="15.95" customHeight="1">
      <c r="A9" s="8"/>
      <c r="B9" s="18" t="s">
        <v>29</v>
      </c>
      <c r="C9" s="23" t="s">
        <v>30</v>
      </c>
      <c r="D9" s="32" t="s">
        <v>50</v>
      </c>
      <c r="E9" s="28" t="s">
        <v>51</v>
      </c>
      <c r="F9" s="29" t="s">
        <v>44</v>
      </c>
      <c r="G9" s="30"/>
      <c r="H9" s="12"/>
      <c r="I9" s="13">
        <v>1</v>
      </c>
      <c r="J9" s="13">
        <v>6</v>
      </c>
      <c r="K9" s="49">
        <f>+M9-(I9+J9+L9)</f>
        <v>13</v>
      </c>
      <c r="L9" s="13"/>
      <c r="M9" s="26">
        <v>20</v>
      </c>
      <c r="N9" s="27">
        <f t="shared" si="1"/>
        <v>0.65</v>
      </c>
      <c r="O9" s="5"/>
    </row>
    <row r="10" spans="1:17" s="19" customFormat="1" ht="15.95" customHeight="1">
      <c r="A10" s="8"/>
      <c r="B10" s="15" t="s">
        <v>40</v>
      </c>
      <c r="C10" s="16" t="s">
        <v>41</v>
      </c>
      <c r="D10" s="17" t="s">
        <v>52</v>
      </c>
      <c r="E10" s="15" t="s">
        <v>53</v>
      </c>
      <c r="F10" s="15" t="s">
        <v>10</v>
      </c>
      <c r="G10" s="15"/>
      <c r="H10" s="12"/>
      <c r="I10" s="13"/>
      <c r="J10" s="13"/>
      <c r="K10" s="49"/>
      <c r="L10" s="20"/>
      <c r="M10" s="26"/>
      <c r="N10" s="27"/>
      <c r="O10" s="5"/>
      <c r="P10" s="39">
        <f>SUM(N4:N9)</f>
        <v>4.5500000000000007</v>
      </c>
      <c r="Q10" s="39">
        <f>+N4+N5+N6+N7+N8+N9</f>
        <v>4.5500000000000007</v>
      </c>
    </row>
    <row r="11" spans="1:17" s="19" customFormat="1" ht="15.95" customHeight="1">
      <c r="A11" s="8"/>
      <c r="B11" s="18" t="s">
        <v>29</v>
      </c>
      <c r="C11" s="23" t="s">
        <v>30</v>
      </c>
      <c r="D11" s="32">
        <v>4504</v>
      </c>
      <c r="E11" s="28" t="s">
        <v>54</v>
      </c>
      <c r="F11" s="29" t="s">
        <v>39</v>
      </c>
      <c r="G11" s="33"/>
      <c r="H11" s="14"/>
      <c r="I11" s="13">
        <v>1.5</v>
      </c>
      <c r="J11" s="13">
        <v>6</v>
      </c>
      <c r="K11" s="49">
        <f>+M11-(I11+J11+L11)</f>
        <v>12.5</v>
      </c>
      <c r="L11" s="14"/>
      <c r="M11" s="26">
        <v>20</v>
      </c>
      <c r="N11" s="27">
        <f>+K11/M11</f>
        <v>0.625</v>
      </c>
      <c r="O11" s="5"/>
    </row>
    <row r="12" spans="1:17" s="19" customFormat="1" ht="15.95" customHeight="1">
      <c r="A12" s="8"/>
      <c r="B12" s="18" t="s">
        <v>40</v>
      </c>
      <c r="C12" s="23" t="s">
        <v>41</v>
      </c>
      <c r="D12" s="32" t="s">
        <v>55</v>
      </c>
      <c r="E12" s="28" t="s">
        <v>56</v>
      </c>
      <c r="F12" s="29" t="s">
        <v>34</v>
      </c>
      <c r="G12" s="30"/>
      <c r="H12" s="12"/>
      <c r="I12" s="13">
        <v>1</v>
      </c>
      <c r="J12" s="13">
        <v>11</v>
      </c>
      <c r="K12" s="49">
        <f t="shared" ref="K12:K20" si="2">+M12-(I12+J12+L12)</f>
        <v>8</v>
      </c>
      <c r="L12" s="13"/>
      <c r="M12" s="26">
        <v>20</v>
      </c>
      <c r="N12" s="27">
        <f t="shared" ref="N12:N15" si="3">+K12/M12</f>
        <v>0.4</v>
      </c>
      <c r="O12" s="5"/>
    </row>
    <row r="13" spans="1:17" s="19" customFormat="1" ht="15.95" customHeight="1">
      <c r="A13" s="8"/>
      <c r="B13" s="25" t="s">
        <v>57</v>
      </c>
      <c r="C13" s="23" t="s">
        <v>58</v>
      </c>
      <c r="D13" s="32" t="s">
        <v>59</v>
      </c>
      <c r="E13" s="28" t="s">
        <v>60</v>
      </c>
      <c r="F13" s="29" t="s">
        <v>39</v>
      </c>
      <c r="G13" s="30"/>
      <c r="H13" s="13"/>
      <c r="I13" s="13">
        <v>2</v>
      </c>
      <c r="J13" s="13"/>
      <c r="K13" s="49">
        <f>+M13-(I13+J13+L13)</f>
        <v>18</v>
      </c>
      <c r="L13" s="20"/>
      <c r="M13" s="26">
        <v>20</v>
      </c>
      <c r="N13" s="27">
        <f t="shared" si="3"/>
        <v>0.9</v>
      </c>
      <c r="O13" s="5"/>
    </row>
    <row r="14" spans="1:17" s="19" customFormat="1" ht="15.95" customHeight="1">
      <c r="A14" s="8"/>
      <c r="B14" s="18" t="s">
        <v>40</v>
      </c>
      <c r="C14" s="23" t="s">
        <v>41</v>
      </c>
      <c r="D14" s="32" t="s">
        <v>61</v>
      </c>
      <c r="E14" s="28" t="s">
        <v>62</v>
      </c>
      <c r="F14" s="29" t="s">
        <v>39</v>
      </c>
      <c r="G14" s="30"/>
      <c r="H14" s="12"/>
      <c r="I14" s="13">
        <v>2</v>
      </c>
      <c r="J14" s="13"/>
      <c r="K14" s="49">
        <f>+M14-(I14+J14+L14)</f>
        <v>18</v>
      </c>
      <c r="L14" s="20"/>
      <c r="M14" s="26">
        <v>20</v>
      </c>
      <c r="N14" s="27">
        <f t="shared" si="3"/>
        <v>0.9</v>
      </c>
      <c r="O14" s="5"/>
    </row>
    <row r="15" spans="1:17" s="19" customFormat="1" ht="15.95" customHeight="1">
      <c r="A15" s="8"/>
      <c r="B15" s="18" t="s">
        <v>35</v>
      </c>
      <c r="C15" s="23" t="s">
        <v>36</v>
      </c>
      <c r="D15" s="32" t="s">
        <v>63</v>
      </c>
      <c r="E15" s="28" t="s">
        <v>64</v>
      </c>
      <c r="F15" s="29" t="s">
        <v>47</v>
      </c>
      <c r="G15" s="30"/>
      <c r="H15" s="12"/>
      <c r="I15" s="13">
        <v>2</v>
      </c>
      <c r="J15" s="38">
        <v>2</v>
      </c>
      <c r="K15" s="49">
        <f>+M15-(I15+J15+L15)</f>
        <v>16</v>
      </c>
      <c r="L15" s="13"/>
      <c r="M15" s="26">
        <v>20</v>
      </c>
      <c r="N15" s="27">
        <f t="shared" si="3"/>
        <v>0.8</v>
      </c>
      <c r="O15" s="5"/>
      <c r="P15" s="39">
        <f>SUM(N11:N15)</f>
        <v>3.625</v>
      </c>
      <c r="Q15" s="39">
        <f>+N11+N12+N13+N14+N15</f>
        <v>3.625</v>
      </c>
    </row>
    <row r="16" spans="1:17" ht="15.95" customHeight="1">
      <c r="A16" s="8"/>
      <c r="B16" s="15" t="s">
        <v>65</v>
      </c>
      <c r="C16" s="16" t="s">
        <v>41</v>
      </c>
      <c r="D16" s="17" t="s">
        <v>66</v>
      </c>
      <c r="E16" s="15" t="s">
        <v>67</v>
      </c>
      <c r="F16" s="15" t="s">
        <v>10</v>
      </c>
      <c r="G16" s="15"/>
      <c r="H16" s="12"/>
      <c r="I16" s="13"/>
      <c r="J16" s="13">
        <v>10</v>
      </c>
      <c r="K16" s="49"/>
      <c r="L16" s="43"/>
      <c r="M16" s="26"/>
      <c r="N16" s="27"/>
    </row>
    <row r="17" spans="2:19" ht="15.95" customHeight="1">
      <c r="B17" s="18" t="s">
        <v>40</v>
      </c>
      <c r="C17" s="23" t="s">
        <v>41</v>
      </c>
      <c r="D17" s="32">
        <v>5556</v>
      </c>
      <c r="E17" s="28" t="s">
        <v>68</v>
      </c>
      <c r="F17" s="29" t="s">
        <v>44</v>
      </c>
      <c r="G17" s="33"/>
      <c r="H17" s="24"/>
      <c r="I17" s="13">
        <v>1</v>
      </c>
      <c r="J17" s="13">
        <v>14</v>
      </c>
      <c r="K17" s="48">
        <f>+M17-(I17+J17+L17)</f>
        <v>5</v>
      </c>
      <c r="L17" s="41"/>
      <c r="M17" s="42">
        <v>20</v>
      </c>
      <c r="N17" s="27">
        <f t="shared" ref="N17:N23" si="4">+K17/M17</f>
        <v>0.25</v>
      </c>
    </row>
    <row r="18" spans="2:19" ht="15.95" customHeight="1">
      <c r="B18" s="18" t="s">
        <v>40</v>
      </c>
      <c r="C18" s="23" t="s">
        <v>41</v>
      </c>
      <c r="D18" s="32" t="s">
        <v>69</v>
      </c>
      <c r="E18" s="28" t="s">
        <v>70</v>
      </c>
      <c r="F18" s="29" t="s">
        <v>39</v>
      </c>
      <c r="G18" s="30"/>
      <c r="H18" s="12"/>
      <c r="I18" s="13">
        <v>1</v>
      </c>
      <c r="J18" s="13">
        <v>11</v>
      </c>
      <c r="K18" s="48">
        <f t="shared" si="2"/>
        <v>8</v>
      </c>
      <c r="L18" s="41"/>
      <c r="M18" s="42">
        <v>20</v>
      </c>
      <c r="N18" s="27">
        <f t="shared" si="4"/>
        <v>0.4</v>
      </c>
    </row>
    <row r="19" spans="2:19" ht="15.95" customHeight="1">
      <c r="B19" s="18" t="s">
        <v>71</v>
      </c>
      <c r="C19" s="23" t="s">
        <v>72</v>
      </c>
      <c r="D19" s="32" t="s">
        <v>73</v>
      </c>
      <c r="E19" s="28" t="s">
        <v>74</v>
      </c>
      <c r="F19" s="29" t="s">
        <v>34</v>
      </c>
      <c r="G19" s="30"/>
      <c r="H19" s="12"/>
      <c r="I19" s="13">
        <v>1.5</v>
      </c>
      <c r="J19" s="13"/>
      <c r="K19" s="48">
        <f t="shared" si="2"/>
        <v>18.5</v>
      </c>
      <c r="L19" s="41"/>
      <c r="M19" s="42">
        <v>20</v>
      </c>
      <c r="N19" s="27">
        <f t="shared" si="4"/>
        <v>0.92500000000000004</v>
      </c>
    </row>
    <row r="20" spans="2:19" ht="15.95" customHeight="1">
      <c r="B20" s="18" t="s">
        <v>40</v>
      </c>
      <c r="C20" s="23" t="s">
        <v>41</v>
      </c>
      <c r="D20" s="32" t="s">
        <v>75</v>
      </c>
      <c r="E20" s="28" t="s">
        <v>76</v>
      </c>
      <c r="F20" s="29" t="s">
        <v>34</v>
      </c>
      <c r="G20" s="30"/>
      <c r="H20" s="12"/>
      <c r="I20" s="13">
        <v>8.5</v>
      </c>
      <c r="J20" s="13"/>
      <c r="K20" s="48">
        <f t="shared" si="2"/>
        <v>11.5</v>
      </c>
      <c r="L20" s="41"/>
      <c r="M20" s="42">
        <v>20</v>
      </c>
      <c r="N20" s="27">
        <f t="shared" si="4"/>
        <v>0.57499999999999996</v>
      </c>
    </row>
    <row r="21" spans="2:19" ht="15.95" customHeight="1">
      <c r="B21" s="18" t="s">
        <v>29</v>
      </c>
      <c r="C21" s="23" t="s">
        <v>30</v>
      </c>
      <c r="D21" s="34" t="s">
        <v>77</v>
      </c>
      <c r="E21" s="28" t="s">
        <v>78</v>
      </c>
      <c r="F21" s="29" t="s">
        <v>47</v>
      </c>
      <c r="G21" s="30"/>
      <c r="H21" s="12"/>
      <c r="I21" s="13">
        <v>2</v>
      </c>
      <c r="J21" s="13"/>
      <c r="K21" s="48">
        <f>+M21-(I21+J21+L21)</f>
        <v>8</v>
      </c>
      <c r="L21" s="47">
        <v>10</v>
      </c>
      <c r="M21" s="42">
        <v>20</v>
      </c>
      <c r="N21" s="27">
        <f t="shared" si="4"/>
        <v>0.4</v>
      </c>
    </row>
    <row r="22" spans="2:19" ht="15.95" customHeight="1">
      <c r="B22" s="18" t="s">
        <v>57</v>
      </c>
      <c r="C22" s="23" t="s">
        <v>79</v>
      </c>
      <c r="D22" s="32" t="s">
        <v>80</v>
      </c>
      <c r="E22" s="28" t="s">
        <v>81</v>
      </c>
      <c r="F22" s="29" t="s">
        <v>47</v>
      </c>
      <c r="G22" s="30"/>
      <c r="H22" s="12"/>
      <c r="I22" s="13">
        <v>2</v>
      </c>
      <c r="J22" s="13">
        <v>6</v>
      </c>
      <c r="K22" s="48">
        <f>+M22-(I22+J22+L22)</f>
        <v>12</v>
      </c>
      <c r="L22" s="47"/>
      <c r="M22" s="42">
        <v>20</v>
      </c>
      <c r="N22" s="27">
        <f t="shared" si="4"/>
        <v>0.6</v>
      </c>
    </row>
    <row r="23" spans="2:19" ht="15.95" customHeight="1">
      <c r="B23" s="18" t="s">
        <v>57</v>
      </c>
      <c r="C23" s="23" t="s">
        <v>79</v>
      </c>
      <c r="D23" s="32" t="s">
        <v>82</v>
      </c>
      <c r="E23" s="28" t="s">
        <v>83</v>
      </c>
      <c r="F23" s="29" t="s">
        <v>47</v>
      </c>
      <c r="G23" s="30"/>
      <c r="H23" s="13"/>
      <c r="I23" s="13">
        <v>2</v>
      </c>
      <c r="J23" s="13">
        <v>1</v>
      </c>
      <c r="K23" s="48">
        <f>+M23-(I23+J23+L23)</f>
        <v>17</v>
      </c>
      <c r="L23" s="41"/>
      <c r="M23" s="42">
        <v>20</v>
      </c>
      <c r="N23" s="27">
        <f t="shared" si="4"/>
        <v>0.85</v>
      </c>
      <c r="P23" s="40">
        <f>SUM(N17:N23)</f>
        <v>4</v>
      </c>
      <c r="Q23" s="40">
        <f>SUM(N17:N23)</f>
        <v>4</v>
      </c>
    </row>
    <row r="25" spans="2:19">
      <c r="Q25">
        <f>SUM(Q6:Q23)</f>
        <v>12.175000000000001</v>
      </c>
      <c r="R25" s="45"/>
    </row>
    <row r="26" spans="2:19">
      <c r="M26" s="44"/>
      <c r="R26" s="45"/>
    </row>
    <row r="27" spans="2:19" ht="18.600000000000001">
      <c r="Q27" s="40"/>
      <c r="S27" s="46"/>
    </row>
    <row r="29" spans="2:19">
      <c r="M29" s="45"/>
    </row>
  </sheetData>
  <sortState xmlns:xlrd2="http://schemas.microsoft.com/office/spreadsheetml/2017/richdata2" ref="D17:N23">
    <sortCondition ref="D17:D23"/>
  </sortState>
  <phoneticPr fontId="8" type="noConversion"/>
  <dataValidations count="2">
    <dataValidation type="list" allowBlank="1" showInputMessage="1" showErrorMessage="1" sqref="H17:H19 H12 H4 H6:H9 H15 H21:H23" xr:uid="{4B13DD4D-6258-42FD-A152-E6BFA6BD40A3}">
      <formula1>$Q$2:$Q$5</formula1>
    </dataValidation>
    <dataValidation type="list" allowBlank="1" showInputMessage="1" showErrorMessage="1" sqref="H2:H3 H10 H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F9AC7BFD-F17F-4E12-BB56-81492CC6AE6A}"/>
</file>

<file path=customXml/itemProps2.xml><?xml version="1.0" encoding="utf-8"?>
<ds:datastoreItem xmlns:ds="http://schemas.openxmlformats.org/officeDocument/2006/customXml" ds:itemID="{CB9293BC-15A1-4607-B1C8-CE2D293D2AC8}"/>
</file>

<file path=customXml/itemProps3.xml><?xml version="1.0" encoding="utf-8"?>
<ds:datastoreItem xmlns:ds="http://schemas.openxmlformats.org/officeDocument/2006/customXml" ds:itemID="{8868935F-03C8-4D3C-B554-2694F1361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2025-09-03T15:50:22Z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