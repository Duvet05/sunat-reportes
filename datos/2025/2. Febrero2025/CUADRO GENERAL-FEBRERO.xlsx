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4/12. Diciembre/"/>
    </mc:Choice>
  </mc:AlternateContent>
  <xr:revisionPtr revIDLastSave="731" documentId="13_ncr:1_{A86C1AA8-A67C-4834-943C-F2D8BD6BE1CB}" xr6:coauthVersionLast="47" xr6:coauthVersionMax="47" xr10:uidLastSave="{F3509C71-571D-45AD-9B07-CF170DB29638}"/>
  <bookViews>
    <workbookView xWindow="-110" yWindow="-110" windowWidth="19420" windowHeight="10420" xr2:uid="{2EFA1358-0385-4213-83A5-14E931E4CB47}"/>
  </bookViews>
  <sheets>
    <sheet name="GAFA" sheetId="1" r:id="rId1"/>
  </sheets>
  <definedNames>
    <definedName name="_xlnm._FilterDatabase" localSheetId="0" hidden="1">GAFA!$B$83:$G$83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2" i="1" l="1"/>
  <c r="L151" i="1"/>
  <c r="L150" i="1"/>
  <c r="L149" i="1"/>
  <c r="J153" i="1"/>
  <c r="I153" i="1"/>
  <c r="L153" i="1" s="1"/>
  <c r="C153" i="1"/>
  <c r="C10" i="1"/>
  <c r="D10" i="1"/>
  <c r="D16" i="1"/>
  <c r="D17" i="1" s="1"/>
  <c r="G59" i="1"/>
  <c r="G58" i="1"/>
  <c r="G116" i="1"/>
  <c r="G109" i="1"/>
  <c r="D153" i="1"/>
  <c r="N62" i="1"/>
  <c r="N59" i="1"/>
  <c r="N58" i="1"/>
  <c r="G123" i="1" l="1"/>
</calcChain>
</file>

<file path=xl/sharedStrings.xml><?xml version="1.0" encoding="utf-8"?>
<sst xmlns="http://schemas.openxmlformats.org/spreadsheetml/2006/main" count="333" uniqueCount="185">
  <si>
    <t>COMITÉ INI</t>
  </si>
  <si>
    <t>STOCK DE DOCUMENTOS</t>
  </si>
  <si>
    <t>stock</t>
  </si>
  <si>
    <t>DCCI</t>
  </si>
  <si>
    <t>DCCII</t>
  </si>
  <si>
    <t>DCP</t>
  </si>
  <si>
    <t>FONDO</t>
  </si>
  <si>
    <t>ADMISIBILIDAD</t>
  </si>
  <si>
    <t>INGRESADO</t>
  </si>
  <si>
    <t>TOTAL</t>
  </si>
  <si>
    <t xml:space="preserve">PRODUCTIVIDAD RECLAMOS </t>
  </si>
  <si>
    <t>Reclamos resueltos</t>
  </si>
  <si>
    <t>(*)</t>
  </si>
  <si>
    <t>Resolutor</t>
  </si>
  <si>
    <t>Producción Promedio</t>
  </si>
  <si>
    <t>16.27</t>
  </si>
  <si>
    <t>6.51</t>
  </si>
  <si>
    <t>(*) Incluye: 24 reclamos origen INCA y 4 reclamos origen DCCII.</t>
  </si>
  <si>
    <t>PRODUCTIVIDAD (LABORES ADICIONALES)</t>
  </si>
  <si>
    <t>PRODUCCIÓN</t>
  </si>
  <si>
    <t>UUOO</t>
  </si>
  <si>
    <t>MATERIA</t>
  </si>
  <si>
    <t>Atencion informes de demanda</t>
  </si>
  <si>
    <t>MEJORA LC</t>
  </si>
  <si>
    <t>MEJORA (IAMC)</t>
  </si>
  <si>
    <t xml:space="preserve">PRODUCTO RESUELTO </t>
  </si>
  <si>
    <t>RESOLUTOR</t>
  </si>
  <si>
    <t>PRODUCCIÓN PROMEDIO</t>
  </si>
  <si>
    <t>PROGRAMACIÓN Marzo</t>
  </si>
  <si>
    <t>Exp</t>
  </si>
  <si>
    <t>Columna1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</si>
  <si>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</si>
  <si>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</si>
  <si>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</si>
  <si>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</si>
  <si>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</si>
  <si>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</si>
  <si>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</si>
  <si>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</si>
  <si>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</si>
  <si>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</si>
  <si>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</si>
  <si>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</si>
  <si>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
efectivo</t>
  </si>
  <si>
    <t>Complejidad</t>
  </si>
  <si>
    <t>Producción promedio</t>
  </si>
  <si>
    <t>Resolutor efectivo</t>
  </si>
  <si>
    <t>7U7101</t>
  </si>
  <si>
    <t>Allison Castro</t>
  </si>
  <si>
    <t>4.6</t>
  </si>
  <si>
    <t> </t>
  </si>
  <si>
    <t>16.96</t>
  </si>
  <si>
    <t>5.5</t>
  </si>
  <si>
    <t>11.45</t>
  </si>
  <si>
    <t>7U7102</t>
  </si>
  <si>
    <t>Teresita Quezada</t>
  </si>
  <si>
    <t>3.6</t>
  </si>
  <si>
    <t>16.94</t>
  </si>
  <si>
    <t>4.1</t>
  </si>
  <si>
    <t>12.68</t>
  </si>
  <si>
    <t>7U7103</t>
  </si>
  <si>
    <t>Angelita Santillan</t>
  </si>
  <si>
    <t>14.75</t>
  </si>
  <si>
    <t>11.09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</si>
  <si>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</si>
  <si>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</si>
  <si>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</si>
  <si>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</si>
  <si>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</si>
  <si>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</si>
  <si>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4.3</t>
  </si>
  <si>
    <t>10 Alta
13 Mediana
5 Baja</t>
  </si>
  <si>
    <t>(*) Incluye: 24 casos orginen INCA, 04 Casos origen DCCII</t>
  </si>
  <si>
    <t>PROYECTADO Y NO APLICADO</t>
  </si>
  <si>
    <t xml:space="preserve">Resolución proyectada </t>
  </si>
  <si>
    <r>
      <t>Resolución</t>
    </r>
    <r>
      <rPr>
        <b/>
        <u/>
        <sz val="14"/>
        <color rgb="FFFFFFFF"/>
        <rFont val="Calibri Light"/>
        <family val="2"/>
      </rPr>
      <t xml:space="preserve"> NO </t>
    </r>
    <r>
      <rPr>
        <b/>
        <sz val="14"/>
        <color rgb="FFFFFFFF"/>
        <rFont val="Calibri Light"/>
        <family val="2"/>
      </rPr>
      <t>aplicada</t>
    </r>
    <r>
      <rPr>
        <b/>
        <u/>
        <sz val="14"/>
        <color rgb="FFFFFFFF"/>
        <rFont val="Calibri Light"/>
        <family val="2"/>
      </rPr>
      <t xml:space="preserve"> </t>
    </r>
  </si>
  <si>
    <t xml:space="preserve">Motivo </t>
  </si>
  <si>
    <r>
      <t>Resolución</t>
    </r>
    <r>
      <rPr>
        <b/>
        <u/>
        <sz val="14"/>
        <color rgb="FFFFFFFF"/>
        <rFont val="Calibri Light"/>
        <family val="2"/>
        <scheme val="major"/>
      </rPr>
      <t xml:space="preserve"> </t>
    </r>
    <r>
      <rPr>
        <b/>
        <sz val="14"/>
        <color rgb="FFFFFFFF"/>
        <rFont val="Calibri Light"/>
        <family val="2"/>
        <scheme val="major"/>
      </rPr>
      <t>aplicada</t>
    </r>
    <r>
      <rPr>
        <b/>
        <u/>
        <sz val="14"/>
        <color rgb="FFFFFFFF"/>
        <rFont val="Calibri Light"/>
        <family val="2"/>
        <scheme val="major"/>
      </rPr>
      <t xml:space="preserve"> </t>
    </r>
  </si>
  <si>
    <t xml:space="preserve">      Motivo</t>
  </si>
  <si>
    <t>AlbertoMunive</t>
  </si>
  <si>
    <t>Motivo</t>
  </si>
  <si>
    <t>Cynthia Sánchez Ferrer</t>
  </si>
  <si>
    <t>Resolutor /Supervisión</t>
  </si>
  <si>
    <t>Cantidad de Resoluciones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</si>
  <si>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</si>
  <si>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</si>
  <si>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</si>
  <si>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</si>
  <si>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</si>
  <si>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</si>
  <si>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</si>
  <si>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</si>
  <si>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</si>
  <si>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</si>
  <si>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</si>
  <si>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</si>
  <si>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</si>
  <si>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</si>
  <si>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TANIA ELENA, ROSALES OCHOA</t>
  </si>
  <si>
    <t>TERESITA MILAGROS, QUEZADA VILLAR</t>
  </si>
  <si>
    <t>HUGO ALBERTO, JIMENEZ SUCLLA</t>
  </si>
  <si>
    <t>JAVIER GUSTAVO, OYARSE CRUZ</t>
  </si>
  <si>
    <t>MARIA LUISA, CHIRE TUNQUE</t>
  </si>
  <si>
    <t>WILLIAN ARNALDO, GODOY ESCALANTE</t>
  </si>
  <si>
    <t>ZAIRA, CARBAJAL JARA</t>
  </si>
  <si>
    <t>Total general</t>
  </si>
  <si>
    <t>7U7200 DIVISION DE CONTROL CONCURRENTE II</t>
  </si>
  <si>
    <t xml:space="preserve">7U7201 </t>
  </si>
  <si>
    <t>7587</t>
  </si>
  <si>
    <t>Yessenia Salcedo Diaz</t>
  </si>
  <si>
    <t>Supervisor 2</t>
  </si>
  <si>
    <t>7342</t>
  </si>
  <si>
    <t>Juan Cuya Velarde</t>
  </si>
  <si>
    <t>Especialista 3</t>
  </si>
  <si>
    <t>4644</t>
  </si>
  <si>
    <t>Carlos Malaga Portocarrero</t>
  </si>
  <si>
    <t>AO21</t>
  </si>
  <si>
    <t>Renierd Rios Gomez</t>
  </si>
  <si>
    <t>CAS</t>
  </si>
  <si>
    <t>7211</t>
  </si>
  <si>
    <t>Roberto Rivarola Hidalgo</t>
  </si>
  <si>
    <t>Especialista 2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</si>
  <si>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</si>
  <si>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</si>
  <si>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</si>
  <si>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</si>
  <si>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</si>
  <si>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</si>
  <si>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</si>
  <si>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</si>
  <si>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Especialista 4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</si>
  <si>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</si>
  <si>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</si>
  <si>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</si>
  <si>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</si>
  <si>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</si>
  <si>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</si>
  <si>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</si>
  <si>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</si>
  <si>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Especialista 5</t>
  </si>
  <si>
    <t>4569</t>
  </si>
  <si>
    <t xml:space="preserve">Jose Linarez Amacifuen </t>
  </si>
  <si>
    <t>TOTAL DCCII</t>
  </si>
  <si>
    <t>7U7300 DIVISION DE CONTROL POSTERIOR</t>
  </si>
  <si>
    <t xml:space="preserve">7U7301 </t>
  </si>
  <si>
    <t>6740</t>
  </si>
  <si>
    <t xml:space="preserve">Cynthia Sanchez Ferrer  </t>
  </si>
  <si>
    <t>Supervisor 1</t>
  </si>
  <si>
    <t>2694</t>
  </si>
  <si>
    <t>Gustavo Bernuy Nuñez</t>
  </si>
  <si>
    <t>4700</t>
  </si>
  <si>
    <t>Carlos Mauro Sampen</t>
  </si>
  <si>
    <t>7148</t>
  </si>
  <si>
    <t>Jesús García Rodríguez</t>
  </si>
  <si>
    <t>7660</t>
  </si>
  <si>
    <t>Marco Fournier Castillo</t>
  </si>
  <si>
    <t>4594</t>
  </si>
  <si>
    <t>Carlos Lopez Cornelio</t>
  </si>
  <si>
    <t>4990</t>
  </si>
  <si>
    <t xml:space="preserve">Cecilia Pantoja Urizar Garfias </t>
  </si>
  <si>
    <t>(**)</t>
  </si>
  <si>
    <t>(*) Profesional además de atender reclamos, evaluó resoluciones del Poder Judicial para cumplimiento.</t>
  </si>
  <si>
    <t>(*) Incluye 4 casos atendidos de Concurrente II:</t>
  </si>
  <si>
    <t>ITOP REPORTADOS-FEBRERO</t>
  </si>
  <si>
    <t>Febrero</t>
  </si>
  <si>
    <t>N° ITOP</t>
  </si>
  <si>
    <t> ASUNTO</t>
  </si>
  <si>
    <t>I-1152003</t>
  </si>
  <si>
    <t>Se generó ticket para cerrar expediente SIGERI -  4090340014100</t>
  </si>
  <si>
    <t>RESULTADOS DE RECLAMO</t>
  </si>
  <si>
    <t>ESTADO</t>
  </si>
  <si>
    <t>Total</t>
  </si>
  <si>
    <t>PROGRAMACIÓN</t>
  </si>
  <si>
    <t>EXPEDIENTES</t>
  </si>
  <si>
    <t>BIMENSUAL</t>
  </si>
  <si>
    <t>Infundado</t>
  </si>
  <si>
    <t>INFUNDADO</t>
  </si>
  <si>
    <t>Fundado/F.P</t>
  </si>
  <si>
    <t>FUNFADO</t>
  </si>
  <si>
    <t>Nulidad</t>
  </si>
  <si>
    <t>NULIDAD</t>
  </si>
  <si>
    <t>Desisitimiento</t>
  </si>
  <si>
    <t>DESISTIMIENTO</t>
  </si>
  <si>
    <t>Carece de Objeto</t>
  </si>
  <si>
    <t>(*) Incluye 24 casos origen INCA y 4 origen DCCII.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</si>
</sst>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7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000000"/>
      <name val="Calibri Light"/>
      <family val="2"/>
    </font>
    <font>
      <b/>
      <sz val="14"/>
      <color rgb="FF000000"/>
      <name val="Calibri Light"/>
      <family val="2"/>
      <scheme val="major"/>
    </font>
    <font>
      <b/>
      <sz val="14"/>
      <color rgb="FF833C0C"/>
      <name val="Calibri Light"/>
      <family val="2"/>
      <scheme val="major"/>
    </font>
    <font>
      <b/>
      <sz val="14"/>
      <color rgb="FF3F3F3F"/>
      <name val="Calibri Light"/>
      <family val="2"/>
    </font>
    <font>
      <sz val="14"/>
      <color rgb="FF000000"/>
      <name val="Calibri Light"/>
      <family val="2"/>
      <scheme val="major"/>
    </font>
    <font>
      <b/>
      <sz val="14"/>
      <color rgb="FF000000"/>
      <name val="Calibri Light"/>
      <family val="2"/>
    </font>
    <font>
      <sz val="14"/>
      <name val="Calibri Light"/>
      <family val="2"/>
    </font>
    <font>
      <b/>
      <sz val="14"/>
      <color rgb="FF3F3F3F"/>
      <name val="Calibri"/>
      <family val="2"/>
    </font>
    <font>
      <b/>
      <sz val="14"/>
      <color rgb="FFFFFFFF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sz val="14"/>
      <color rgb="FFFF0000"/>
      <name val="Calibri Light"/>
      <family val="2"/>
      <scheme val="major"/>
    </font>
    <font>
      <b/>
      <sz val="14"/>
      <color rgb="FFFFFFFF"/>
      <name val="Calibri Light"/>
      <family val="2"/>
    </font>
    <font>
      <b/>
      <u/>
      <sz val="14"/>
      <color rgb="FFFFFFFF"/>
      <name val="Calibri Light"/>
      <family val="2"/>
    </font>
    <font>
      <b/>
      <u/>
      <sz val="14"/>
      <color rgb="FFFFFFFF"/>
      <name val="Calibri Light"/>
      <family val="2"/>
      <scheme val="major"/>
    </font>
    <font>
      <sz val="14"/>
      <color theme="1"/>
      <name val="Calibri"/>
      <family val="2"/>
      <scheme val="minor"/>
    </font>
    <font>
      <sz val="14"/>
      <color rgb="FF000000"/>
      <name val="Arial Nova"/>
      <family val="2"/>
    </font>
    <font>
      <sz val="10"/>
      <color rgb="FF000000"/>
      <name val="Calibri Light"/>
      <family val="2"/>
    </font>
    <font>
      <sz val="12"/>
      <color rgb="FF000000"/>
      <name val="Calibri Light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3"/>
      <color rgb="FF000000"/>
      <name val="Calibri"/>
      <family val="2"/>
    </font>
    <font>
      <sz val="16"/>
      <color rgb="FF000000"/>
      <name val="Calibri Light"/>
      <family val="2"/>
    </font>
    <font>
      <sz val="16"/>
      <color theme="1"/>
      <name val="Calibri Light"/>
      <family val="2"/>
      <scheme val="major"/>
    </font>
    <font>
      <b/>
      <sz val="16"/>
      <color rgb="FFFFFFFF"/>
      <name val="Calibri Light"/>
      <family val="2"/>
      <scheme val="major"/>
    </font>
    <font>
      <sz val="16"/>
      <color rgb="FF000000"/>
      <name val="Calibri Light"/>
      <family val="2"/>
      <scheme val="major"/>
    </font>
    <font>
      <b/>
      <sz val="16"/>
      <color rgb="FF000000"/>
      <name val="Calibri Light"/>
      <family val="2"/>
    </font>
    <font>
      <b/>
      <sz val="14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rgb="FF000000"/>
      <name val="Calibri Light"/>
      <charset val="1"/>
    </font>
    <font>
      <b/>
      <sz val="20"/>
      <color rgb="FF000000"/>
      <name val="Calibri Light"/>
      <charset val="1"/>
    </font>
    <font>
      <b/>
      <sz val="20"/>
      <color rgb="FF833C0C"/>
      <name val="Calibri Light"/>
      <charset val="1"/>
    </font>
  </fonts>
  <fills count="2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indexed="64"/>
      </patternFill>
    </fill>
  </fills>
  <borders count="96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/>
      <top/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9CC2E5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CC2E5"/>
      </left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3F3F3F"/>
      </right>
      <top style="medium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medium">
        <color rgb="FF000000"/>
      </top>
      <bottom style="thin">
        <color rgb="FF000000"/>
      </bottom>
      <diagonal/>
    </border>
    <border>
      <left style="thin">
        <color rgb="FF3F3F3F"/>
      </left>
      <right/>
      <top style="medium">
        <color rgb="FF000000"/>
      </top>
      <bottom style="thin">
        <color rgb="FF000000"/>
      </bottom>
      <diagonal/>
    </border>
    <border>
      <left style="thin">
        <color rgb="FF3F3F3F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3F3F3F"/>
      </right>
      <top style="thin">
        <color rgb="FF000000"/>
      </top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medium">
        <color rgb="FF000000"/>
      </bottom>
      <diagonal/>
    </border>
    <border>
      <left style="thin">
        <color rgb="FF3F3F3F"/>
      </left>
      <right/>
      <top style="thin">
        <color rgb="FF000000"/>
      </top>
      <bottom style="medium">
        <color rgb="FF000000"/>
      </bottom>
      <diagonal/>
    </border>
    <border>
      <left style="thin">
        <color rgb="FF3F3F3F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18" borderId="46" applyNumberFormat="0" applyAlignment="0" applyProtection="0"/>
  </cellStyleXfs>
  <cellXfs count="270">
    <xf numFmtId="0" fontId="0" fillId="0" borderId="0" xfId="0"/>
    <xf numFmtId="0" fontId="2" fillId="0" borderId="51" xfId="1" applyFont="1" applyFill="1" applyBorder="1" applyAlignment="1">
      <alignment horizontal="center" vertical="center"/>
    </xf>
    <xf numFmtId="0" fontId="2" fillId="0" borderId="52" xfId="1" applyFont="1" applyFill="1" applyBorder="1" applyAlignment="1">
      <alignment horizontal="center" vertical="center"/>
    </xf>
    <xf numFmtId="0" fontId="2" fillId="0" borderId="55" xfId="1" applyFont="1" applyFill="1" applyBorder="1" applyAlignment="1">
      <alignment horizontal="center" vertical="center"/>
    </xf>
    <xf numFmtId="49" fontId="3" fillId="15" borderId="30" xfId="0" applyNumberFormat="1" applyFont="1" applyFill="1" applyBorder="1" applyAlignment="1">
      <alignment horizontal="center" vertical="center" wrapText="1"/>
    </xf>
    <xf numFmtId="49" fontId="3" fillId="15" borderId="27" xfId="0" applyNumberFormat="1" applyFont="1" applyFill="1" applyBorder="1" applyAlignment="1">
      <alignment horizontal="center" vertical="center" wrapText="1"/>
    </xf>
    <xf numFmtId="49" fontId="3" fillId="15" borderId="27" xfId="0" applyNumberFormat="1" applyFont="1" applyFill="1" applyBorder="1" applyAlignment="1">
      <alignment vertical="center"/>
    </xf>
    <xf numFmtId="49" fontId="3" fillId="15" borderId="27" xfId="0" applyNumberFormat="1" applyFont="1" applyFill="1" applyBorder="1" applyAlignment="1">
      <alignment horizontal="left" vertical="center"/>
    </xf>
    <xf numFmtId="49" fontId="4" fillId="0" borderId="27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horizontal="left" vertical="center"/>
    </xf>
    <xf numFmtId="49" fontId="3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vertical="center"/>
    </xf>
    <xf numFmtId="49" fontId="4" fillId="0" borderId="38" xfId="0" applyNumberFormat="1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49" fontId="3" fillId="15" borderId="35" xfId="0" applyNumberFormat="1" applyFont="1" applyFill="1" applyBorder="1" applyAlignment="1">
      <alignment horizontal="center" vertical="center" wrapText="1"/>
    </xf>
    <xf numFmtId="49" fontId="3" fillId="15" borderId="36" xfId="0" applyNumberFormat="1" applyFont="1" applyFill="1" applyBorder="1" applyAlignment="1">
      <alignment horizontal="center" vertical="center" wrapText="1"/>
    </xf>
    <xf numFmtId="49" fontId="3" fillId="15" borderId="36" xfId="0" applyNumberFormat="1" applyFont="1" applyFill="1" applyBorder="1" applyAlignment="1">
      <alignment vertical="center"/>
    </xf>
    <xf numFmtId="49" fontId="3" fillId="15" borderId="36" xfId="0" applyNumberFormat="1" applyFont="1" applyFill="1" applyBorder="1" applyAlignment="1">
      <alignment horizontal="left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 readingOrder="1"/>
    </xf>
    <xf numFmtId="0" fontId="6" fillId="0" borderId="56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4" fillId="0" borderId="35" xfId="0" applyNumberFormat="1" applyFont="1" applyBorder="1" applyAlignment="1">
      <alignment horizontal="left" vertical="center"/>
    </xf>
    <xf numFmtId="49" fontId="3" fillId="0" borderId="62" xfId="0" applyNumberFormat="1" applyFont="1" applyBorder="1" applyAlignment="1">
      <alignment horizontal="center" vertical="center" wrapText="1"/>
    </xf>
    <xf numFmtId="49" fontId="3" fillId="0" borderId="63" xfId="0" applyNumberFormat="1" applyFont="1" applyBorder="1" applyAlignment="1">
      <alignment horizontal="center" vertical="center" wrapText="1"/>
    </xf>
    <xf numFmtId="49" fontId="3" fillId="0" borderId="64" xfId="0" applyNumberFormat="1" applyFont="1" applyBorder="1" applyAlignment="1">
      <alignment horizontal="center" vertical="center"/>
    </xf>
    <xf numFmtId="49" fontId="4" fillId="0" borderId="64" xfId="0" applyNumberFormat="1" applyFont="1" applyBorder="1" applyAlignment="1">
      <alignment vertical="center"/>
    </xf>
    <xf numFmtId="0" fontId="6" fillId="20" borderId="0" xfId="0" applyFont="1" applyFill="1"/>
    <xf numFmtId="0" fontId="9" fillId="20" borderId="0" xfId="0" applyFont="1" applyFill="1" applyAlignment="1">
      <alignment horizontal="center" vertical="center"/>
    </xf>
    <xf numFmtId="0" fontId="10" fillId="25" borderId="43" xfId="0" applyFont="1" applyFill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0" fillId="25" borderId="42" xfId="0" applyFont="1" applyFill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49" fontId="3" fillId="15" borderId="69" xfId="0" applyNumberFormat="1" applyFont="1" applyFill="1" applyBorder="1" applyAlignment="1">
      <alignment horizontal="left" vertical="center"/>
    </xf>
    <xf numFmtId="49" fontId="4" fillId="0" borderId="70" xfId="0" applyNumberFormat="1" applyFont="1" applyBorder="1" applyAlignment="1">
      <alignment horizontal="left" vertical="center"/>
    </xf>
    <xf numFmtId="49" fontId="4" fillId="0" borderId="71" xfId="0" applyNumberFormat="1" applyFont="1" applyBorder="1" applyAlignment="1">
      <alignment horizontal="left" vertical="center"/>
    </xf>
    <xf numFmtId="49" fontId="4" fillId="0" borderId="72" xfId="0" applyNumberFormat="1" applyFont="1" applyBorder="1" applyAlignment="1">
      <alignment horizontal="left" vertical="center"/>
    </xf>
    <xf numFmtId="0" fontId="3" fillId="0" borderId="73" xfId="0" applyFont="1" applyBorder="1" applyAlignment="1">
      <alignment horizontal="center" vertical="center"/>
    </xf>
    <xf numFmtId="0" fontId="3" fillId="15" borderId="74" xfId="0" applyFont="1" applyFill="1" applyBorder="1" applyAlignment="1">
      <alignment horizontal="center" vertical="center"/>
    </xf>
    <xf numFmtId="0" fontId="8" fillId="0" borderId="58" xfId="0" applyFont="1" applyBorder="1" applyAlignment="1">
      <alignment horizontal="center" vertical="center" wrapText="1"/>
    </xf>
    <xf numFmtId="0" fontId="4" fillId="0" borderId="0" xfId="0" applyFont="1"/>
    <xf numFmtId="0" fontId="9" fillId="20" borderId="0" xfId="0" applyFont="1" applyFill="1"/>
    <xf numFmtId="0" fontId="8" fillId="19" borderId="58" xfId="0" applyFont="1" applyFill="1" applyBorder="1" applyAlignment="1">
      <alignment horizontal="left" vertical="center" wrapText="1"/>
    </xf>
    <xf numFmtId="0" fontId="5" fillId="17" borderId="8" xfId="0" applyFont="1" applyFill="1" applyBorder="1" applyAlignment="1">
      <alignment horizontal="center" wrapText="1" readingOrder="1"/>
    </xf>
    <xf numFmtId="0" fontId="5" fillId="17" borderId="9" xfId="0" applyFont="1" applyFill="1" applyBorder="1" applyAlignment="1">
      <alignment horizontal="center" wrapText="1" readingOrder="1"/>
    </xf>
    <xf numFmtId="0" fontId="5" fillId="16" borderId="45" xfId="0" applyFont="1" applyFill="1" applyBorder="1" applyAlignment="1">
      <alignment horizontal="center" wrapText="1" readingOrder="1"/>
    </xf>
    <xf numFmtId="0" fontId="5" fillId="16" borderId="61" xfId="0" applyFont="1" applyFill="1" applyBorder="1" applyAlignment="1">
      <alignment horizontal="center" wrapText="1" readingOrder="1"/>
    </xf>
    <xf numFmtId="0" fontId="5" fillId="17" borderId="45" xfId="0" applyFont="1" applyFill="1" applyBorder="1" applyAlignment="1">
      <alignment horizontal="center" wrapText="1" readingOrder="1"/>
    </xf>
    <xf numFmtId="0" fontId="5" fillId="17" borderId="61" xfId="0" applyFont="1" applyFill="1" applyBorder="1" applyAlignment="1">
      <alignment horizontal="center" wrapText="1" readingOrder="1"/>
    </xf>
    <xf numFmtId="0" fontId="3" fillId="15" borderId="0" xfId="0" applyFont="1" applyFill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6" fillId="2" borderId="1" xfId="0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9" fillId="3" borderId="2" xfId="0" applyFont="1" applyFill="1" applyBorder="1" applyAlignment="1">
      <alignment horizontal="left" vertical="center" wrapText="1" readingOrder="1"/>
    </xf>
    <xf numFmtId="0" fontId="10" fillId="16" borderId="2" xfId="0" applyFont="1" applyFill="1" applyBorder="1" applyAlignment="1">
      <alignment horizontal="center" wrapText="1" readingOrder="1"/>
    </xf>
    <xf numFmtId="0" fontId="9" fillId="0" borderId="3" xfId="0" applyFont="1" applyBorder="1" applyAlignment="1">
      <alignment horizontal="left" vertical="center" wrapText="1" readingOrder="1"/>
    </xf>
    <xf numFmtId="0" fontId="10" fillId="0" borderId="29" xfId="0" applyFont="1" applyBorder="1" applyAlignment="1">
      <alignment horizontal="center" wrapText="1" readingOrder="1"/>
    </xf>
    <xf numFmtId="0" fontId="10" fillId="16" borderId="29" xfId="0" applyFont="1" applyFill="1" applyBorder="1" applyAlignment="1">
      <alignment horizont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center"/>
    </xf>
    <xf numFmtId="17" fontId="13" fillId="5" borderId="5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2" fontId="5" fillId="0" borderId="60" xfId="0" applyNumberFormat="1" applyFont="1" applyBorder="1" applyAlignment="1">
      <alignment horizontal="center" wrapText="1" readingOrder="1"/>
    </xf>
    <xf numFmtId="2" fontId="5" fillId="0" borderId="65" xfId="0" applyNumberFormat="1" applyFont="1" applyBorder="1" applyAlignment="1">
      <alignment horizontal="center" wrapText="1"/>
    </xf>
    <xf numFmtId="2" fontId="10" fillId="16" borderId="65" xfId="0" applyNumberFormat="1" applyFont="1" applyFill="1" applyBorder="1" applyAlignment="1">
      <alignment horizont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14" fillId="0" borderId="0" xfId="0" applyFont="1"/>
    <xf numFmtId="0" fontId="6" fillId="0" borderId="12" xfId="0" applyFont="1" applyBorder="1" applyAlignment="1">
      <alignment vertical="center" wrapText="1" readingOrder="1"/>
    </xf>
    <xf numFmtId="0" fontId="6" fillId="0" borderId="13" xfId="0" applyFont="1" applyBorder="1" applyAlignment="1">
      <alignment vertical="center" wrapText="1" readingOrder="1"/>
    </xf>
    <xf numFmtId="0" fontId="6" fillId="0" borderId="75" xfId="0" applyFont="1" applyBorder="1" applyAlignment="1">
      <alignment vertical="center" wrapText="1" readingOrder="1"/>
    </xf>
    <xf numFmtId="0" fontId="6" fillId="0" borderId="14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6" fillId="0" borderId="76" xfId="0" applyFont="1" applyBorder="1" applyAlignment="1">
      <alignment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6" fillId="0" borderId="77" xfId="0" applyFont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left" vertical="center" wrapText="1" readingOrder="1"/>
    </xf>
    <xf numFmtId="0" fontId="9" fillId="0" borderId="10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vertical="center" wrapText="1" readingOrder="1"/>
    </xf>
    <xf numFmtId="0" fontId="9" fillId="0" borderId="78" xfId="0" applyFont="1" applyBorder="1" applyAlignment="1">
      <alignment vertical="center" wrapText="1" readingOrder="1"/>
    </xf>
    <xf numFmtId="0" fontId="6" fillId="0" borderId="14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9" fillId="0" borderId="77" xfId="0" applyFont="1" applyBorder="1" applyAlignment="1">
      <alignment horizontal="center" vertical="center" wrapText="1" readingOrder="1"/>
    </xf>
    <xf numFmtId="0" fontId="6" fillId="0" borderId="79" xfId="0" applyFont="1" applyBorder="1" applyAlignment="1">
      <alignment horizontal="left" vertical="center" wrapText="1" readingOrder="1"/>
    </xf>
    <xf numFmtId="0" fontId="9" fillId="0" borderId="80" xfId="0" applyFont="1" applyBorder="1" applyAlignment="1">
      <alignment horizontal="center" vertical="center" wrapText="1" readingOrder="1"/>
    </xf>
    <xf numFmtId="0" fontId="9" fillId="0" borderId="8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13" fillId="2" borderId="19" xfId="0" applyFont="1" applyFill="1" applyBorder="1" applyAlignment="1">
      <alignment horizontal="center" vertical="center" wrapText="1" readingOrder="1"/>
    </xf>
    <xf numFmtId="0" fontId="6" fillId="3" borderId="20" xfId="0" applyFont="1" applyFill="1" applyBorder="1" applyAlignment="1">
      <alignment horizontal="center" vertical="center" wrapText="1" readingOrder="1"/>
    </xf>
    <xf numFmtId="0" fontId="6" fillId="3" borderId="21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vertical="center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10" fillId="16" borderId="20" xfId="0" applyFont="1" applyFill="1" applyBorder="1" applyAlignment="1">
      <alignment horizont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13" fillId="2" borderId="6" xfId="0" applyFont="1" applyFill="1" applyBorder="1" applyAlignment="1">
      <alignment horizontal="center" vertical="center" wrapText="1" readingOrder="1"/>
    </xf>
    <xf numFmtId="0" fontId="13" fillId="2" borderId="7" xfId="0" applyFont="1" applyFill="1" applyBorder="1" applyAlignment="1">
      <alignment horizontal="center" vertical="center" wrapText="1" readingOrder="1"/>
    </xf>
    <xf numFmtId="0" fontId="13" fillId="2" borderId="9" xfId="0" applyFont="1" applyFill="1" applyBorder="1" applyAlignment="1">
      <alignment horizontal="center" vertical="center" wrapText="1" readingOrder="1"/>
    </xf>
    <xf numFmtId="0" fontId="13" fillId="2" borderId="8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13" fillId="7" borderId="22" xfId="0" applyFont="1" applyFill="1" applyBorder="1" applyAlignment="1">
      <alignment horizontal="center" vertical="center" wrapText="1" readingOrder="1"/>
    </xf>
    <xf numFmtId="0" fontId="13" fillId="7" borderId="23" xfId="0" applyFont="1" applyFill="1" applyBorder="1" applyAlignment="1">
      <alignment horizontal="center" vertical="center" wrapText="1" readingOrder="1"/>
    </xf>
    <xf numFmtId="0" fontId="13" fillId="7" borderId="10" xfId="0" applyFont="1" applyFill="1" applyBorder="1" applyAlignment="1">
      <alignment horizontal="center" vertical="center" wrapText="1" readingOrder="1"/>
    </xf>
    <xf numFmtId="0" fontId="13" fillId="10" borderId="6" xfId="0" applyFont="1" applyFill="1" applyBorder="1" applyAlignment="1">
      <alignment horizontal="center" vertical="center" wrapText="1" readingOrder="1"/>
    </xf>
    <xf numFmtId="0" fontId="13" fillId="10" borderId="7" xfId="0" applyFont="1" applyFill="1" applyBorder="1" applyAlignment="1">
      <alignment horizontal="center" vertical="center" wrapText="1" readingOrder="1"/>
    </xf>
    <xf numFmtId="0" fontId="13" fillId="10" borderId="10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wrapText="1"/>
    </xf>
    <xf numFmtId="0" fontId="16" fillId="2" borderId="7" xfId="0" applyFont="1" applyFill="1" applyBorder="1" applyAlignment="1">
      <alignment horizontal="center" vertical="center" wrapText="1" readingOrder="1"/>
    </xf>
    <xf numFmtId="0" fontId="9" fillId="6" borderId="8" xfId="0" applyFont="1" applyFill="1" applyBorder="1" applyAlignment="1">
      <alignment horizontal="left" vertical="center" wrapText="1" readingOrder="1"/>
    </xf>
    <xf numFmtId="0" fontId="5" fillId="17" borderId="9" xfId="0" quotePrefix="1" applyFont="1" applyFill="1" applyBorder="1" applyAlignment="1">
      <alignment horizontal="center" wrapText="1" readingOrder="1"/>
    </xf>
    <xf numFmtId="0" fontId="5" fillId="17" borderId="9" xfId="0" applyFont="1" applyFill="1" applyBorder="1" applyAlignment="1">
      <alignment horizontal="left" vertical="top" wrapText="1" readingOrder="1"/>
    </xf>
    <xf numFmtId="0" fontId="9" fillId="3" borderId="8" xfId="0" applyFont="1" applyFill="1" applyBorder="1" applyAlignment="1">
      <alignment horizontal="left" vertical="center" wrapText="1" readingOrder="1"/>
    </xf>
    <xf numFmtId="0" fontId="5" fillId="16" borderId="61" xfId="0" quotePrefix="1" applyFont="1" applyFill="1" applyBorder="1" applyAlignment="1">
      <alignment horizontal="center" wrapText="1" readingOrder="1"/>
    </xf>
    <xf numFmtId="0" fontId="5" fillId="17" borderId="61" xfId="0" quotePrefix="1" applyFont="1" applyFill="1" applyBorder="1" applyAlignment="1">
      <alignment horizontal="center" wrapText="1" readingOrder="1"/>
    </xf>
    <xf numFmtId="0" fontId="13" fillId="7" borderId="6" xfId="0" applyFont="1" applyFill="1" applyBorder="1" applyAlignment="1">
      <alignment horizontal="left" vertical="center" wrapText="1" readingOrder="1"/>
    </xf>
    <xf numFmtId="0" fontId="13" fillId="7" borderId="7" xfId="0" applyFont="1" applyFill="1" applyBorder="1" applyAlignment="1">
      <alignment horizontal="center" vertical="center" wrapText="1" readingOrder="1"/>
    </xf>
    <xf numFmtId="0" fontId="13" fillId="7" borderId="9" xfId="0" applyFont="1" applyFill="1" applyBorder="1" applyAlignment="1">
      <alignment horizontal="center" vertical="center" wrapText="1" readingOrder="1"/>
    </xf>
    <xf numFmtId="0" fontId="13" fillId="7" borderId="8" xfId="0" applyFont="1" applyFill="1" applyBorder="1" applyAlignment="1">
      <alignment horizontal="center" vertical="center" wrapText="1" readingOrder="1"/>
    </xf>
    <xf numFmtId="0" fontId="9" fillId="12" borderId="8" xfId="0" applyFont="1" applyFill="1" applyBorder="1" applyAlignment="1">
      <alignment horizontal="left" vertical="center" wrapText="1" readingOrder="1"/>
    </xf>
    <xf numFmtId="0" fontId="5" fillId="23" borderId="8" xfId="0" applyFont="1" applyFill="1" applyBorder="1" applyAlignment="1">
      <alignment horizontal="center" vertical="center" wrapText="1" readingOrder="1"/>
    </xf>
    <xf numFmtId="0" fontId="5" fillId="23" borderId="9" xfId="0" applyFont="1" applyFill="1" applyBorder="1" applyAlignment="1">
      <alignment horizontal="center" vertical="center" wrapText="1" readingOrder="1"/>
    </xf>
    <xf numFmtId="0" fontId="9" fillId="12" borderId="8" xfId="0" applyFont="1" applyFill="1" applyBorder="1" applyAlignment="1">
      <alignment horizontal="center" vertical="center" wrapText="1" readingOrder="1"/>
    </xf>
    <xf numFmtId="0" fontId="9" fillId="13" borderId="8" xfId="0" applyFont="1" applyFill="1" applyBorder="1" applyAlignment="1">
      <alignment horizontal="left" vertical="center" wrapText="1" readingOrder="1"/>
    </xf>
    <xf numFmtId="0" fontId="5" fillId="24" borderId="45" xfId="0" applyFont="1" applyFill="1" applyBorder="1" applyAlignment="1">
      <alignment horizontal="center" vertical="center" wrapText="1" readingOrder="1"/>
    </xf>
    <xf numFmtId="0" fontId="5" fillId="24" borderId="61" xfId="0" applyFont="1" applyFill="1" applyBorder="1" applyAlignment="1">
      <alignment horizontal="center" vertical="center" wrapText="1" readingOrder="1"/>
    </xf>
    <xf numFmtId="0" fontId="9" fillId="13" borderId="8" xfId="0" applyFont="1" applyFill="1" applyBorder="1" applyAlignment="1">
      <alignment horizontal="center" vertical="center" wrapText="1" readingOrder="1"/>
    </xf>
    <xf numFmtId="0" fontId="13" fillId="10" borderId="6" xfId="0" applyFont="1" applyFill="1" applyBorder="1" applyAlignment="1">
      <alignment horizontal="left" vertical="center" wrapText="1" readingOrder="1"/>
    </xf>
    <xf numFmtId="0" fontId="13" fillId="10" borderId="9" xfId="0" applyFont="1" applyFill="1" applyBorder="1" applyAlignment="1">
      <alignment horizontal="center" vertical="center" wrapText="1" readingOrder="1"/>
    </xf>
    <xf numFmtId="0" fontId="13" fillId="10" borderId="8" xfId="0" applyFont="1" applyFill="1" applyBorder="1" applyAlignment="1">
      <alignment horizontal="center" vertical="center" wrapText="1" readingOrder="1"/>
    </xf>
    <xf numFmtId="0" fontId="9" fillId="11" borderId="8" xfId="0" applyFont="1" applyFill="1" applyBorder="1" applyAlignment="1">
      <alignment horizontal="left" vertical="center" wrapText="1" readingOrder="1"/>
    </xf>
    <xf numFmtId="0" fontId="9" fillId="11" borderId="8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9" fillId="0" borderId="0" xfId="0" applyFont="1"/>
    <xf numFmtId="49" fontId="3" fillId="0" borderId="31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vertical="center" wrapText="1"/>
    </xf>
    <xf numFmtId="49" fontId="3" fillId="0" borderId="40" xfId="0" applyNumberFormat="1" applyFont="1" applyBorder="1" applyAlignment="1">
      <alignment horizontal="center" vertical="center" wrapText="1"/>
    </xf>
    <xf numFmtId="0" fontId="6" fillId="14" borderId="27" xfId="0" applyFont="1" applyFill="1" applyBorder="1" applyAlignment="1">
      <alignment horizontal="left" vertical="center" wrapText="1" readingOrder="1"/>
    </xf>
    <xf numFmtId="0" fontId="6" fillId="14" borderId="27" xfId="0" applyFont="1" applyFill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left" vertical="center" wrapText="1" readingOrder="1"/>
    </xf>
    <xf numFmtId="0" fontId="6" fillId="0" borderId="26" xfId="0" applyFont="1" applyBorder="1" applyAlignment="1">
      <alignment horizontal="center" vertical="center" wrapText="1" readingOrder="1"/>
    </xf>
    <xf numFmtId="0" fontId="6" fillId="14" borderId="25" xfId="0" applyFont="1" applyFill="1" applyBorder="1" applyAlignment="1">
      <alignment vertical="center" wrapText="1" readingOrder="1"/>
    </xf>
    <xf numFmtId="0" fontId="9" fillId="14" borderId="25" xfId="0" applyFont="1" applyFill="1" applyBorder="1" applyAlignment="1">
      <alignment horizontal="center" vertical="center" wrapText="1" readingOrder="1"/>
    </xf>
    <xf numFmtId="0" fontId="6" fillId="0" borderId="25" xfId="0" applyFont="1" applyBorder="1" applyAlignment="1">
      <alignment vertical="center" wrapText="1" readingOrder="1"/>
    </xf>
    <xf numFmtId="0" fontId="6" fillId="0" borderId="25" xfId="0" applyFont="1" applyBorder="1" applyAlignment="1">
      <alignment horizontal="center" vertical="center" wrapText="1" readingOrder="1"/>
    </xf>
    <xf numFmtId="0" fontId="9" fillId="14" borderId="24" xfId="0" applyFont="1" applyFill="1" applyBorder="1" applyAlignment="1">
      <alignment horizontal="left" vertical="top" wrapText="1" readingOrder="1"/>
    </xf>
    <xf numFmtId="0" fontId="6" fillId="14" borderId="24" xfId="0" applyFont="1" applyFill="1" applyBorder="1" applyAlignment="1">
      <alignment horizontal="left" vertical="center" wrapText="1" readingOrder="1"/>
    </xf>
    <xf numFmtId="0" fontId="9" fillId="14" borderId="24" xfId="0" applyFont="1" applyFill="1" applyBorder="1" applyAlignment="1">
      <alignment horizontal="center" vertical="center" wrapText="1" readingOrder="1"/>
    </xf>
    <xf numFmtId="0" fontId="6" fillId="0" borderId="24" xfId="0" applyFont="1" applyBorder="1" applyAlignment="1">
      <alignment horizontal="left" vertical="center" wrapText="1" readingOrder="1"/>
    </xf>
    <xf numFmtId="0" fontId="20" fillId="0" borderId="0" xfId="0" applyFont="1"/>
    <xf numFmtId="0" fontId="6" fillId="8" borderId="23" xfId="0" applyFont="1" applyFill="1" applyBorder="1" applyAlignment="1">
      <alignment horizontal="center" vertical="center" wrapText="1" readingOrder="1"/>
    </xf>
    <xf numFmtId="1" fontId="10" fillId="21" borderId="23" xfId="0" applyNumberFormat="1" applyFont="1" applyFill="1" applyBorder="1" applyAlignment="1">
      <alignment horizontal="center" vertical="center" wrapText="1" readingOrder="1"/>
    </xf>
    <xf numFmtId="2" fontId="10" fillId="21" borderId="66" xfId="0" applyNumberFormat="1" applyFont="1" applyFill="1" applyBorder="1" applyAlignment="1">
      <alignment horizontal="center" vertical="center" wrapText="1" readingOrder="1"/>
    </xf>
    <xf numFmtId="0" fontId="6" fillId="9" borderId="10" xfId="0" applyFont="1" applyFill="1" applyBorder="1" applyAlignment="1">
      <alignment horizontal="center" vertical="center" wrapText="1" readingOrder="1"/>
    </xf>
    <xf numFmtId="0" fontId="10" fillId="22" borderId="11" xfId="0" applyFont="1" applyFill="1" applyBorder="1" applyAlignment="1">
      <alignment horizontal="center" vertical="center" wrapText="1" readingOrder="1"/>
    </xf>
    <xf numFmtId="2" fontId="10" fillId="22" borderId="68" xfId="0" applyNumberFormat="1" applyFont="1" applyFill="1" applyBorder="1" applyAlignment="1">
      <alignment horizontal="center" vertical="center" wrapText="1" readingOrder="1"/>
    </xf>
    <xf numFmtId="2" fontId="10" fillId="22" borderId="67" xfId="0" applyNumberFormat="1" applyFont="1" applyFill="1" applyBorder="1" applyAlignment="1">
      <alignment horizontal="center" vertical="center" wrapText="1" readingOrder="1"/>
    </xf>
    <xf numFmtId="0" fontId="10" fillId="26" borderId="11" xfId="0" applyFont="1" applyFill="1" applyBorder="1" applyAlignment="1">
      <alignment horizontal="center" vertical="center" wrapText="1" readingOrder="1"/>
    </xf>
    <xf numFmtId="0" fontId="10" fillId="26" borderId="68" xfId="0" applyFont="1" applyFill="1" applyBorder="1" applyAlignment="1">
      <alignment horizontal="center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43" fontId="10" fillId="26" borderId="68" xfId="0" applyNumberFormat="1" applyFont="1" applyFill="1" applyBorder="1" applyAlignment="1">
      <alignment horizontal="left" vertical="center" wrapText="1" readingOrder="1"/>
    </xf>
    <xf numFmtId="0" fontId="10" fillId="17" borderId="8" xfId="0" applyFont="1" applyFill="1" applyBorder="1" applyAlignment="1">
      <alignment horizontal="center" vertical="center" wrapText="1" readingOrder="1"/>
    </xf>
    <xf numFmtId="0" fontId="10" fillId="17" borderId="9" xfId="0" applyFont="1" applyFill="1" applyBorder="1" applyAlignment="1">
      <alignment horizontal="center" vertical="center" wrapText="1" readingOrder="1"/>
    </xf>
    <xf numFmtId="0" fontId="10" fillId="16" borderId="45" xfId="0" applyFont="1" applyFill="1" applyBorder="1" applyAlignment="1">
      <alignment horizontal="center" vertical="center" wrapText="1" readingOrder="1"/>
    </xf>
    <xf numFmtId="0" fontId="10" fillId="16" borderId="61" xfId="0" applyFont="1" applyFill="1" applyBorder="1" applyAlignment="1">
      <alignment horizontal="center" vertical="center" wrapText="1" readingOrder="1"/>
    </xf>
    <xf numFmtId="0" fontId="10" fillId="17" borderId="45" xfId="0" applyFont="1" applyFill="1" applyBorder="1" applyAlignment="1">
      <alignment horizontal="center" vertical="center" wrapText="1" readingOrder="1"/>
    </xf>
    <xf numFmtId="0" fontId="10" fillId="17" borderId="61" xfId="0" applyFont="1" applyFill="1" applyBorder="1" applyAlignment="1">
      <alignment horizontal="center" vertical="center" wrapText="1" readingOrder="1"/>
    </xf>
    <xf numFmtId="0" fontId="8" fillId="0" borderId="51" xfId="0" applyFont="1" applyBorder="1" applyAlignment="1">
      <alignment horizontal="center" vertical="center"/>
    </xf>
    <xf numFmtId="0" fontId="8" fillId="0" borderId="52" xfId="1" applyFont="1" applyFill="1" applyBorder="1" applyAlignment="1">
      <alignment horizontal="center" vertical="center"/>
    </xf>
    <xf numFmtId="2" fontId="5" fillId="0" borderId="44" xfId="0" applyNumberFormat="1" applyFont="1" applyBorder="1" applyAlignment="1">
      <alignment horizontal="center" wrapText="1"/>
    </xf>
    <xf numFmtId="0" fontId="21" fillId="0" borderId="0" xfId="0" applyFont="1"/>
    <xf numFmtId="0" fontId="22" fillId="0" borderId="27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22" fillId="0" borderId="0" xfId="0" applyFont="1" applyAlignment="1">
      <alignment horizontal="center"/>
    </xf>
    <xf numFmtId="1" fontId="10" fillId="16" borderId="65" xfId="0" applyNumberFormat="1" applyFont="1" applyFill="1" applyBorder="1" applyAlignment="1">
      <alignment horizontal="center" wrapText="1"/>
    </xf>
    <xf numFmtId="0" fontId="23" fillId="27" borderId="34" xfId="0" applyFont="1" applyFill="1" applyBorder="1"/>
    <xf numFmtId="0" fontId="23" fillId="0" borderId="82" xfId="0" applyFont="1" applyBorder="1"/>
    <xf numFmtId="0" fontId="24" fillId="0" borderId="27" xfId="0" applyFont="1" applyBorder="1"/>
    <xf numFmtId="0" fontId="24" fillId="0" borderId="36" xfId="0" applyFont="1" applyBorder="1"/>
    <xf numFmtId="0" fontId="24" fillId="0" borderId="83" xfId="0" applyFont="1" applyBorder="1"/>
    <xf numFmtId="0" fontId="23" fillId="27" borderId="34" xfId="0" applyFont="1" applyFill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5" fillId="0" borderId="35" xfId="0" applyFont="1" applyBorder="1" applyAlignment="1">
      <alignment horizontal="center"/>
    </xf>
    <xf numFmtId="0" fontId="24" fillId="0" borderId="84" xfId="0" applyFont="1" applyBorder="1" applyAlignment="1">
      <alignment horizontal="center"/>
    </xf>
    <xf numFmtId="0" fontId="26" fillId="27" borderId="34" xfId="0" applyFont="1" applyFill="1" applyBorder="1" applyAlignment="1">
      <alignment horizontal="center"/>
    </xf>
    <xf numFmtId="164" fontId="5" fillId="0" borderId="59" xfId="0" applyNumberFormat="1" applyFont="1" applyBorder="1" applyAlignment="1">
      <alignment horizontal="center" wrapText="1" indent="1" readingOrder="1"/>
    </xf>
    <xf numFmtId="164" fontId="5" fillId="0" borderId="44" xfId="0" applyNumberFormat="1" applyFont="1" applyBorder="1" applyAlignment="1">
      <alignment horizontal="center" wrapText="1" indent="1"/>
    </xf>
    <xf numFmtId="0" fontId="29" fillId="7" borderId="22" xfId="0" applyFont="1" applyFill="1" applyBorder="1" applyAlignment="1">
      <alignment horizontal="center" vertical="center" wrapText="1" readingOrder="1"/>
    </xf>
    <xf numFmtId="0" fontId="30" fillId="8" borderId="23" xfId="0" applyFont="1" applyFill="1" applyBorder="1" applyAlignment="1">
      <alignment horizontal="center" vertical="center" wrapText="1" readingOrder="1"/>
    </xf>
    <xf numFmtId="1" fontId="27" fillId="21" borderId="23" xfId="0" applyNumberFormat="1" applyFont="1" applyFill="1" applyBorder="1" applyAlignment="1">
      <alignment horizontal="center" vertical="center" wrapText="1" readingOrder="1"/>
    </xf>
    <xf numFmtId="2" fontId="27" fillId="21" borderId="66" xfId="0" applyNumberFormat="1" applyFont="1" applyFill="1" applyBorder="1" applyAlignment="1">
      <alignment horizontal="center" vertical="center" wrapText="1" readingOrder="1"/>
    </xf>
    <xf numFmtId="0" fontId="27" fillId="21" borderId="66" xfId="0" applyFont="1" applyFill="1" applyBorder="1" applyAlignment="1">
      <alignment horizontal="center" vertical="center" wrapText="1" readingOrder="1"/>
    </xf>
    <xf numFmtId="0" fontId="30" fillId="9" borderId="10" xfId="0" applyFont="1" applyFill="1" applyBorder="1" applyAlignment="1">
      <alignment horizontal="center" vertical="center" wrapText="1" readingOrder="1"/>
    </xf>
    <xf numFmtId="0" fontId="27" fillId="22" borderId="11" xfId="0" applyFont="1" applyFill="1" applyBorder="1" applyAlignment="1">
      <alignment horizontal="center" vertical="center" wrapText="1" readingOrder="1"/>
    </xf>
    <xf numFmtId="2" fontId="27" fillId="22" borderId="68" xfId="0" applyNumberFormat="1" applyFont="1" applyFill="1" applyBorder="1" applyAlignment="1">
      <alignment horizontal="center" vertical="center" wrapText="1" readingOrder="1"/>
    </xf>
    <xf numFmtId="0" fontId="27" fillId="22" borderId="68" xfId="0" applyFont="1" applyFill="1" applyBorder="1" applyAlignment="1">
      <alignment horizontal="center" vertical="center" wrapText="1" readingOrder="1"/>
    </xf>
    <xf numFmtId="0" fontId="28" fillId="0" borderId="0" xfId="0" applyFont="1" applyAlignment="1">
      <alignment horizontal="center" vertical="center"/>
    </xf>
    <xf numFmtId="0" fontId="29" fillId="10" borderId="7" xfId="0" applyFont="1" applyFill="1" applyBorder="1" applyAlignment="1">
      <alignment horizontal="center" vertical="center" wrapText="1" readingOrder="1"/>
    </xf>
    <xf numFmtId="0" fontId="29" fillId="10" borderId="9" xfId="0" applyFont="1" applyFill="1" applyBorder="1" applyAlignment="1">
      <alignment horizontal="center" vertical="center" wrapText="1" readingOrder="1"/>
    </xf>
    <xf numFmtId="0" fontId="27" fillId="17" borderId="8" xfId="0" applyFont="1" applyFill="1" applyBorder="1" applyAlignment="1">
      <alignment horizontal="center" vertical="center" wrapText="1" readingOrder="1"/>
    </xf>
    <xf numFmtId="0" fontId="27" fillId="16" borderId="45" xfId="0" applyFont="1" applyFill="1" applyBorder="1" applyAlignment="1">
      <alignment horizontal="center" vertical="center" wrapText="1" readingOrder="1"/>
    </xf>
    <xf numFmtId="0" fontId="27" fillId="17" borderId="45" xfId="0" applyFont="1" applyFill="1" applyBorder="1" applyAlignment="1">
      <alignment horizontal="center" vertical="center" wrapText="1" readingOrder="1"/>
    </xf>
    <xf numFmtId="0" fontId="30" fillId="11" borderId="11" xfId="0" applyFont="1" applyFill="1" applyBorder="1" applyAlignment="1">
      <alignment horizontal="center" vertical="center" wrapText="1" readingOrder="1"/>
    </xf>
    <xf numFmtId="0" fontId="27" fillId="26" borderId="11" xfId="0" applyFont="1" applyFill="1" applyBorder="1" applyAlignment="1">
      <alignment horizontal="center" vertical="center" wrapText="1" readingOrder="1"/>
    </xf>
    <xf numFmtId="0" fontId="27" fillId="26" borderId="68" xfId="0" applyFont="1" applyFill="1" applyBorder="1" applyAlignment="1">
      <alignment horizontal="center" vertical="center" wrapText="1" readingOrder="1"/>
    </xf>
    <xf numFmtId="0" fontId="31" fillId="26" borderId="68" xfId="0" applyFont="1" applyFill="1" applyBorder="1" applyAlignment="1">
      <alignment horizontal="center" vertical="center" wrapText="1" readingOrder="1"/>
    </xf>
    <xf numFmtId="0" fontId="27" fillId="17" borderId="9" xfId="0" applyFont="1" applyFill="1" applyBorder="1" applyAlignment="1">
      <alignment horizontal="center" vertical="center" wrapText="1" readingOrder="1"/>
    </xf>
    <xf numFmtId="0" fontId="27" fillId="16" borderId="61" xfId="0" applyFont="1" applyFill="1" applyBorder="1" applyAlignment="1">
      <alignment horizontal="center" vertical="center" wrapText="1" readingOrder="1"/>
    </xf>
    <xf numFmtId="0" fontId="27" fillId="17" borderId="61" xfId="0" applyFont="1" applyFill="1" applyBorder="1" applyAlignment="1">
      <alignment horizontal="center" vertical="center" wrapText="1" readingOrder="1"/>
    </xf>
    <xf numFmtId="2" fontId="28" fillId="0" borderId="0" xfId="0" applyNumberFormat="1" applyFont="1" applyAlignment="1">
      <alignment horizontal="center" vertical="center"/>
    </xf>
    <xf numFmtId="0" fontId="31" fillId="17" borderId="9" xfId="0" applyFont="1" applyFill="1" applyBorder="1" applyAlignment="1">
      <alignment horizontal="center" vertical="center" wrapText="1" readingOrder="1"/>
    </xf>
    <xf numFmtId="0" fontId="31" fillId="16" borderId="61" xfId="0" applyFont="1" applyFill="1" applyBorder="1" applyAlignment="1">
      <alignment horizontal="center" vertical="center" wrapText="1" readingOrder="1"/>
    </xf>
    <xf numFmtId="0" fontId="31" fillId="17" borderId="61" xfId="0" applyFont="1" applyFill="1" applyBorder="1" applyAlignment="1">
      <alignment horizontal="center" vertical="center" wrapText="1" readingOrder="1"/>
    </xf>
    <xf numFmtId="2" fontId="31" fillId="21" borderId="66" xfId="0" applyNumberFormat="1" applyFont="1" applyFill="1" applyBorder="1" applyAlignment="1">
      <alignment horizontal="center" vertical="center" wrapText="1" readingOrder="1"/>
    </xf>
    <xf numFmtId="2" fontId="31" fillId="22" borderId="67" xfId="0" applyNumberFormat="1" applyFont="1" applyFill="1" applyBorder="1" applyAlignment="1">
      <alignment horizontal="center" vertical="center" wrapText="1" readingOrder="1"/>
    </xf>
    <xf numFmtId="0" fontId="2" fillId="0" borderId="50" xfId="1" applyFont="1" applyFill="1" applyBorder="1" applyAlignment="1">
      <alignment horizontal="left" vertical="center"/>
    </xf>
    <xf numFmtId="0" fontId="2" fillId="0" borderId="53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32" fillId="0" borderId="47" xfId="1" applyFont="1" applyFill="1" applyBorder="1" applyAlignment="1">
      <alignment vertical="center" wrapText="1"/>
    </xf>
    <xf numFmtId="0" fontId="32" fillId="0" borderId="48" xfId="1" applyFont="1" applyFill="1" applyBorder="1" applyAlignment="1">
      <alignment horizontal="center" vertical="center" wrapText="1"/>
    </xf>
    <xf numFmtId="0" fontId="32" fillId="0" borderId="49" xfId="1" applyFont="1" applyFill="1" applyBorder="1" applyAlignment="1">
      <alignment horizontal="center" vertical="center" wrapText="1"/>
    </xf>
    <xf numFmtId="0" fontId="34" fillId="28" borderId="0" xfId="0" applyFont="1" applyFill="1" applyAlignment="1">
      <alignment readingOrder="1"/>
    </xf>
    <xf numFmtId="0" fontId="36" fillId="0" borderId="0" xfId="0" applyFont="1" applyAlignment="1">
      <alignment readingOrder="1"/>
    </xf>
    <xf numFmtId="0" fontId="36" fillId="0" borderId="85" xfId="0" applyFont="1" applyBorder="1" applyAlignment="1">
      <alignment readingOrder="1"/>
    </xf>
    <xf numFmtId="0" fontId="34" fillId="28" borderId="0" xfId="0" applyFont="1" applyFill="1" applyAlignment="1">
      <alignment wrapText="1" readingOrder="1"/>
    </xf>
    <xf numFmtId="0" fontId="35" fillId="0" borderId="0" xfId="0" applyFont="1" applyAlignment="1">
      <alignment wrapText="1" readingOrder="1"/>
    </xf>
    <xf numFmtId="0" fontId="35" fillId="0" borderId="85" xfId="0" applyFont="1" applyBorder="1" applyAlignment="1">
      <alignment wrapText="1" readingOrder="1"/>
    </xf>
    <xf numFmtId="0" fontId="36" fillId="0" borderId="0" xfId="0" applyFont="1" applyAlignment="1">
      <alignment wrapText="1" readingOrder="1"/>
    </xf>
    <xf numFmtId="0" fontId="36" fillId="0" borderId="85" xfId="0" applyFont="1" applyBorder="1" applyAlignment="1">
      <alignment wrapText="1" readingOrder="1"/>
    </xf>
    <xf numFmtId="0" fontId="33" fillId="20" borderId="86" xfId="1" applyFont="1" applyFill="1" applyBorder="1" applyAlignment="1">
      <alignment vertical="center" wrapText="1"/>
    </xf>
    <xf numFmtId="0" fontId="33" fillId="20" borderId="87" xfId="1" applyFont="1" applyFill="1" applyBorder="1" applyAlignment="1">
      <alignment horizontal="center" vertical="center" wrapText="1"/>
    </xf>
    <xf numFmtId="0" fontId="33" fillId="20" borderId="88" xfId="1" applyFont="1" applyFill="1" applyBorder="1" applyAlignment="1">
      <alignment horizontal="center" vertical="center" wrapText="1"/>
    </xf>
    <xf numFmtId="0" fontId="33" fillId="20" borderId="89" xfId="1" applyFont="1" applyFill="1" applyBorder="1" applyAlignment="1">
      <alignment horizontal="center" vertical="center" wrapText="1"/>
    </xf>
    <xf numFmtId="0" fontId="2" fillId="0" borderId="90" xfId="1" applyFont="1" applyFill="1" applyBorder="1" applyAlignment="1">
      <alignment horizontal="left" vertical="center"/>
    </xf>
    <xf numFmtId="0" fontId="2" fillId="0" borderId="91" xfId="1" applyFont="1" applyFill="1" applyBorder="1" applyAlignment="1">
      <alignment horizontal="center" vertical="center"/>
    </xf>
    <xf numFmtId="0" fontId="8" fillId="0" borderId="91" xfId="1" applyFont="1" applyFill="1" applyBorder="1" applyAlignment="1">
      <alignment horizontal="center" vertical="center"/>
    </xf>
    <xf numFmtId="0" fontId="2" fillId="20" borderId="92" xfId="1" applyFont="1" applyFill="1" applyBorder="1" applyAlignment="1">
      <alignment horizontal="left" vertical="center"/>
    </xf>
    <xf numFmtId="0" fontId="12" fillId="20" borderId="93" xfId="0" applyFont="1" applyFill="1" applyBorder="1" applyAlignment="1">
      <alignment horizontal="center"/>
    </xf>
    <xf numFmtId="0" fontId="2" fillId="20" borderId="94" xfId="1" applyFont="1" applyFill="1" applyBorder="1" applyAlignment="1">
      <alignment horizontal="center" vertical="center"/>
    </xf>
    <xf numFmtId="0" fontId="2" fillId="20" borderId="95" xfId="1" applyFont="1" applyFill="1" applyBorder="1" applyAlignment="1">
      <alignment horizontal="center" vertical="center"/>
    </xf>
  </cellXfs>
  <cellStyles count="2">
    <cellStyle name="Normal" xfId="0" builtinId="0"/>
    <cellStyle name="Salida" xfId="1" builtinId="21"/>
  </cellStyles>
  <dxfs count="15">
    <dxf>
      <font>
        <sz val="14"/>
      </font>
      <fill>
        <patternFill patternType="none"/>
      </fill>
    </dxf>
    <dxf>
      <font>
        <sz val="14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family val="2"/>
        <scheme val="maj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sz val="14"/>
      </font>
      <fill>
        <patternFill patternType="none"/>
      </fill>
    </dxf>
    <dxf>
      <font>
        <sz val="14"/>
        <color rgb="FF000000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610EF-6817-4B2E-B656-E8D570C0908B}" name="Tabla1" displayName="Tabla1" ref="B148:F155" totalsRowShown="0" headerRowDxfId="14" dataDxfId="13" headerRowBorderDxfId="12" totalsRowBorderDxfId="11">
  <autoFilter ref="B148:F155" xr:uid="{C0F610EF-6817-4B2E-B656-E8D570C0908B}"/>
  <tableColumns count="5">
    <tableColumn id="1" xr3:uid="{BB7A4C98-26BC-45B1-AA9E-174EB71BBBE8}" name="ESTADO" dataDxfId="10"/>
    <tableColumn id="2" xr3:uid="{9831EEBE-394E-4024-8502-36803BEFC3A9}" name="DCCI" dataDxfId="9"/>
    <tableColumn id="3" xr3:uid="{F9C66D03-3D51-49C0-BA34-E9515E02A369}" name="DCCII" dataDxfId="8"/>
    <tableColumn id="4" xr3:uid="{C65AA2B4-6378-4E31-B4C1-5E60BAEAFB5F}" name="DCP" dataDxfId="7"/>
    <tableColumn id="5" xr3:uid="{5B6E40F0-70D9-4280-AA31-9C31AEC07C46}" name="Columna1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30:D33" totalsRowShown="0" headerRowDxfId="5" dataDxfId="4" tableBorderDxfId="3">
  <autoFilter ref="B30:D33" xr:uid="{4A29EFC3-58A2-4431-8B0F-60680F58676D}"/>
  <tableColumns count="3">
    <tableColumn id="1" xr3:uid="{3999BB60-4785-4A8A-8BB8-25B1BCAE28BC}" name="PROGRAMACIÓN Marzo" dataDxfId="2"/>
    <tableColumn id="2" xr3:uid="{F732DAB3-91EE-4831-A922-809480FA0AA3}" name="Exp" dataDxfId="1"/>
    <tableColumn id="3" xr3:uid="{49934A55-18D3-4DBE-8E1A-477105D80918}" name="Columna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P155"/>
  <sheetViews>
    <sheetView tabSelected="1" zoomScale="85" zoomScaleNormal="85" workbookViewId="0">
      <pane xSplit="2" topLeftCell="C4" activePane="topRight" state="frozen"/>
      <selection pane="topRight" activeCell="E15" sqref="E15"/>
    </sheetView>
  </sheetViews>
  <sheetFormatPr defaultColWidth="10.85546875" defaultRowHeight="18.75" outlineLevelRow="1"/>
  <cols>
    <col min="1" max="1" width="10.85546875" style="57"/>
    <col min="2" max="2" width="23.5703125" style="57" customWidth="1"/>
    <col min="3" max="3" width="25.140625" style="57" customWidth="1"/>
    <col min="4" max="4" width="21.7109375" style="57" customWidth="1"/>
    <col min="5" max="5" width="20.85546875" style="57" customWidth="1"/>
    <col min="6" max="6" width="14.42578125" style="57" customWidth="1"/>
    <col min="7" max="7" width="16" style="57" customWidth="1"/>
    <col min="8" max="8" width="19.140625" style="57" customWidth="1"/>
    <col min="9" max="12" width="15.7109375" style="57" customWidth="1"/>
    <col min="13" max="13" width="28" style="57" customWidth="1"/>
    <col min="14" max="14" width="20.5703125" style="57" customWidth="1"/>
    <col min="15" max="15" width="18.7109375" style="57" customWidth="1"/>
    <col min="16" max="17" width="10.85546875" style="57"/>
    <col min="18" max="18" width="33.28515625" style="57" customWidth="1"/>
    <col min="19" max="16384" width="10.85546875" style="57"/>
  </cols>
  <sheetData>
    <row r="2" spans="1:8">
      <c r="B2" s="66" t="s">
        <v>0</v>
      </c>
      <c r="C2" s="66"/>
      <c r="D2" s="66"/>
      <c r="E2" s="66"/>
      <c r="F2" s="67"/>
      <c r="G2" s="67"/>
    </row>
    <row r="4" spans="1:8">
      <c r="B4" s="68" t="s">
        <v>1</v>
      </c>
      <c r="C4" s="68"/>
      <c r="D4" s="69"/>
      <c r="E4" s="69"/>
      <c r="H4" s="57" t="s">
        <v>2</v>
      </c>
    </row>
    <row r="6" spans="1:8" ht="20.25">
      <c r="A6" s="57">
        <v>1</v>
      </c>
      <c r="B6" s="70"/>
      <c r="C6" s="71" t="s">
        <v>3</v>
      </c>
      <c r="D6" s="71" t="s">
        <v>4</v>
      </c>
      <c r="E6" s="71" t="s">
        <v>5</v>
      </c>
      <c r="G6" s="70"/>
      <c r="H6" s="71" t="s">
        <v>4</v>
      </c>
    </row>
    <row r="7" spans="1:8" ht="20.25">
      <c r="B7" s="72" t="s">
        <v>6</v>
      </c>
      <c r="C7" s="73">
        <v>769</v>
      </c>
      <c r="D7" s="73">
        <v>506</v>
      </c>
      <c r="E7" s="73">
        <v>477</v>
      </c>
      <c r="G7" s="72" t="s">
        <v>6</v>
      </c>
      <c r="H7" s="73"/>
    </row>
    <row r="8" spans="1:8" ht="41.25">
      <c r="B8" s="74" t="s">
        <v>7</v>
      </c>
      <c r="C8" s="75">
        <v>741</v>
      </c>
      <c r="D8" s="75">
        <v>162</v>
      </c>
      <c r="E8" s="75">
        <v>14</v>
      </c>
      <c r="G8" s="74" t="s">
        <v>7</v>
      </c>
      <c r="H8" s="75"/>
    </row>
    <row r="9" spans="1:8" ht="20.25">
      <c r="B9" s="74" t="s">
        <v>8</v>
      </c>
      <c r="C9" s="76">
        <v>5</v>
      </c>
      <c r="D9" s="75">
        <v>1</v>
      </c>
      <c r="E9" s="76"/>
      <c r="G9" s="74" t="s">
        <v>8</v>
      </c>
      <c r="H9" s="75"/>
    </row>
    <row r="10" spans="1:8" ht="20.25">
      <c r="B10" s="77" t="s">
        <v>9</v>
      </c>
      <c r="C10" s="76">
        <f>SUM(C7:C9)</f>
        <v>1515</v>
      </c>
      <c r="D10" s="76">
        <f>SUM(D7:D9)</f>
        <v>669</v>
      </c>
      <c r="E10" s="76">
        <v>491</v>
      </c>
      <c r="G10" s="77" t="s">
        <v>9</v>
      </c>
      <c r="H10" s="76"/>
    </row>
    <row r="12" spans="1:8">
      <c r="B12" s="68" t="s">
        <v>10</v>
      </c>
      <c r="C12" s="68"/>
      <c r="D12" s="69"/>
      <c r="E12" s="69"/>
    </row>
    <row r="13" spans="1:8">
      <c r="B13" s="78"/>
      <c r="C13" s="78"/>
    </row>
    <row r="14" spans="1:8" ht="20.25">
      <c r="A14" s="57">
        <v>2</v>
      </c>
      <c r="B14" s="79">
        <v>45689</v>
      </c>
      <c r="C14" s="71" t="s">
        <v>3</v>
      </c>
      <c r="D14" s="71" t="s">
        <v>4</v>
      </c>
      <c r="E14" s="71" t="s">
        <v>5</v>
      </c>
    </row>
    <row r="15" spans="1:8" ht="20.25">
      <c r="B15" s="80" t="s">
        <v>11</v>
      </c>
      <c r="C15" s="215">
        <v>198</v>
      </c>
      <c r="D15" s="216">
        <v>95</v>
      </c>
      <c r="E15" s="216">
        <v>28</v>
      </c>
      <c r="F15" s="57" t="s">
        <v>12</v>
      </c>
    </row>
    <row r="16" spans="1:8" ht="20.25">
      <c r="B16" s="81" t="s">
        <v>13</v>
      </c>
      <c r="C16" s="82">
        <v>12.17</v>
      </c>
      <c r="D16" s="83">
        <f>4.2+4.7</f>
        <v>8.9</v>
      </c>
      <c r="E16" s="197">
        <v>4.3</v>
      </c>
    </row>
    <row r="17" spans="1:13" ht="20.25">
      <c r="B17" s="80" t="s">
        <v>14</v>
      </c>
      <c r="C17" s="202" t="s">
        <v>15</v>
      </c>
      <c r="D17" s="84">
        <f>+D15/D16</f>
        <v>10.674157303370785</v>
      </c>
      <c r="E17" s="84" t="s">
        <v>16</v>
      </c>
    </row>
    <row r="18" spans="1:13" ht="41.25">
      <c r="B18" s="85" t="s">
        <v>17</v>
      </c>
      <c r="I18" s="86"/>
    </row>
    <row r="19" spans="1:13">
      <c r="B19" s="87"/>
      <c r="I19" s="86"/>
    </row>
    <row r="20" spans="1:13" hidden="1" outlineLevel="1">
      <c r="B20" s="67" t="s">
        <v>18</v>
      </c>
    </row>
    <row r="21" spans="1:13" ht="20.25" hidden="1" outlineLevel="1">
      <c r="A21" s="57">
        <v>3</v>
      </c>
      <c r="B21" s="88" t="s">
        <v>19</v>
      </c>
      <c r="C21" s="89"/>
      <c r="D21" s="89"/>
      <c r="E21" s="89"/>
      <c r="F21" s="89"/>
      <c r="G21" s="89"/>
      <c r="H21" s="90"/>
    </row>
    <row r="22" spans="1:13" ht="20.25" hidden="1" outlineLevel="1">
      <c r="B22" s="91" t="s">
        <v>20</v>
      </c>
      <c r="C22" s="92" t="s">
        <v>3</v>
      </c>
      <c r="D22" s="93"/>
      <c r="E22" s="92" t="s">
        <v>4</v>
      </c>
      <c r="F22" s="93"/>
      <c r="G22" s="92" t="s">
        <v>5</v>
      </c>
      <c r="H22" s="94"/>
    </row>
    <row r="23" spans="1:13" ht="62.25" hidden="1" outlineLevel="1">
      <c r="B23" s="91" t="s">
        <v>21</v>
      </c>
      <c r="C23" s="95" t="s">
        <v>6</v>
      </c>
      <c r="D23" s="95" t="s">
        <v>22</v>
      </c>
      <c r="E23" s="95" t="s">
        <v>6</v>
      </c>
      <c r="F23" s="95" t="s">
        <v>23</v>
      </c>
      <c r="G23" s="95" t="s">
        <v>6</v>
      </c>
      <c r="H23" s="96" t="s">
        <v>24</v>
      </c>
    </row>
    <row r="24" spans="1:13" ht="20.25" hidden="1" outlineLevel="1">
      <c r="B24" s="97" t="s">
        <v>25</v>
      </c>
      <c r="C24" s="98"/>
      <c r="D24" s="99"/>
      <c r="E24" s="99"/>
      <c r="F24" s="99"/>
      <c r="G24" s="99"/>
      <c r="H24" s="100"/>
    </row>
    <row r="25" spans="1:13" ht="20.25" hidden="1" outlineLevel="1">
      <c r="B25" s="101" t="s">
        <v>26</v>
      </c>
      <c r="C25" s="102"/>
      <c r="D25" s="102"/>
      <c r="E25" s="102"/>
      <c r="F25" s="102"/>
      <c r="G25" s="102"/>
      <c r="H25" s="103"/>
      <c r="M25" s="67"/>
    </row>
    <row r="26" spans="1:13" ht="20.25" hidden="1" outlineLevel="1">
      <c r="B26" s="104" t="s">
        <v>27</v>
      </c>
      <c r="C26" s="105"/>
      <c r="D26" s="105"/>
      <c r="E26" s="105"/>
      <c r="F26" s="105"/>
      <c r="G26" s="105"/>
      <c r="H26" s="106"/>
    </row>
    <row r="27" spans="1:13" collapsed="1">
      <c r="B27" s="107"/>
      <c r="C27" s="108"/>
      <c r="D27" s="108"/>
      <c r="E27" s="108"/>
      <c r="F27" s="108"/>
      <c r="G27" s="108"/>
      <c r="H27" s="108"/>
    </row>
    <row r="28" spans="1:13">
      <c r="B28" s="107"/>
      <c r="C28" s="108"/>
      <c r="D28" s="108"/>
      <c r="E28" s="108"/>
      <c r="F28" s="108"/>
      <c r="G28" s="108"/>
      <c r="H28" s="108"/>
    </row>
    <row r="30" spans="1:13">
      <c r="B30" s="42" t="s">
        <v>28</v>
      </c>
      <c r="C30" s="43" t="s">
        <v>29</v>
      </c>
      <c r="D30" s="58" t="s">
        <v>30</v>
      </c>
    </row>
    <row r="31" spans="1:13" ht="20.25">
      <c r="A31" s="57">
        <v>4</v>
      </c>
      <c r="B31" s="25" t="s">
        <v>3</v>
      </c>
      <c r="C31" s="27">
        <v>200</v>
      </c>
    </row>
    <row r="32" spans="1:13" ht="20.25">
      <c r="B32" s="26" t="s">
        <v>4</v>
      </c>
      <c r="C32" s="27">
        <v>104</v>
      </c>
    </row>
    <row r="33" spans="1:9" ht="20.25">
      <c r="B33" s="28" t="s">
        <v>5</v>
      </c>
      <c r="C33" s="29">
        <v>21</v>
      </c>
    </row>
    <row r="36" spans="1:9">
      <c r="B36" s="67" t="s">
        <v>31</v>
      </c>
    </row>
    <row r="37" spans="1:9" ht="41.25">
      <c r="A37" s="57">
        <v>5</v>
      </c>
      <c r="B37" s="109" t="s">
        <v>20</v>
      </c>
      <c r="C37" s="109" t="s">
        <v>32</v>
      </c>
      <c r="D37" s="109" t="s">
        <v>33</v>
      </c>
      <c r="E37" s="109" t="s">
        <v>34</v>
      </c>
      <c r="F37" s="109" t="s">
        <v>35</v>
      </c>
    </row>
    <row r="38" spans="1:9" ht="20.25">
      <c r="B38" s="109" t="s">
        <v>3</v>
      </c>
      <c r="C38" s="110"/>
      <c r="D38" s="110"/>
      <c r="E38" s="110"/>
      <c r="F38" s="110"/>
    </row>
    <row r="39" spans="1:9" ht="20.25">
      <c r="B39" s="109" t="s">
        <v>4</v>
      </c>
      <c r="C39" s="111"/>
      <c r="D39" s="111"/>
      <c r="E39" s="111">
        <v>1</v>
      </c>
      <c r="F39" s="111"/>
    </row>
    <row r="40" spans="1:9" ht="20.25">
      <c r="B40" s="109" t="s">
        <v>5</v>
      </c>
      <c r="C40" s="111">
        <v>0</v>
      </c>
      <c r="D40" s="111">
        <v>0</v>
      </c>
      <c r="E40" s="111">
        <v>0</v>
      </c>
      <c r="F40" s="111">
        <v>0</v>
      </c>
    </row>
    <row r="41" spans="1:9">
      <c r="B41" s="112"/>
    </row>
    <row r="42" spans="1:9">
      <c r="B42" s="67"/>
    </row>
    <row r="44" spans="1:9">
      <c r="B44" s="67" t="s">
        <v>36</v>
      </c>
    </row>
    <row r="45" spans="1:9">
      <c r="A45" s="57">
        <v>6</v>
      </c>
      <c r="B45" s="113" t="s">
        <v>3</v>
      </c>
      <c r="C45" s="113"/>
      <c r="E45" s="113" t="s">
        <v>4</v>
      </c>
      <c r="F45" s="70"/>
      <c r="H45" s="113" t="s">
        <v>5</v>
      </c>
      <c r="I45" s="70"/>
    </row>
    <row r="46" spans="1:9" ht="27.75" customHeight="1">
      <c r="B46" s="114" t="s">
        <v>37</v>
      </c>
      <c r="C46" s="115"/>
      <c r="E46" s="114" t="s">
        <v>37</v>
      </c>
      <c r="F46" s="115">
        <v>18</v>
      </c>
      <c r="H46" s="114" t="s">
        <v>37</v>
      </c>
      <c r="I46" s="115"/>
    </row>
    <row r="47" spans="1:9" ht="36" customHeight="1">
      <c r="B47" s="116" t="s">
        <v>7</v>
      </c>
      <c r="C47" s="117">
        <v>741</v>
      </c>
      <c r="E47" s="116" t="s">
        <v>7</v>
      </c>
      <c r="F47" s="117">
        <v>162</v>
      </c>
      <c r="H47" s="116" t="s">
        <v>7</v>
      </c>
      <c r="I47" s="117"/>
    </row>
    <row r="48" spans="1:9" ht="19.5" customHeight="1">
      <c r="B48" s="118" t="s">
        <v>38</v>
      </c>
      <c r="C48" s="119">
        <v>5</v>
      </c>
      <c r="E48" s="118" t="s">
        <v>38</v>
      </c>
      <c r="F48" s="120">
        <v>8</v>
      </c>
      <c r="H48" s="118" t="s">
        <v>38</v>
      </c>
      <c r="I48" s="120">
        <v>0</v>
      </c>
    </row>
    <row r="51" spans="1:14">
      <c r="B51" s="67" t="s">
        <v>39</v>
      </c>
    </row>
    <row r="52" spans="1:14" s="125" customFormat="1" ht="41.25">
      <c r="A52" s="125">
        <v>7</v>
      </c>
      <c r="B52" s="121" t="s">
        <v>40</v>
      </c>
      <c r="C52" s="122" t="s">
        <v>41</v>
      </c>
      <c r="D52" s="122" t="s">
        <v>42</v>
      </c>
      <c r="E52" s="122" t="s">
        <v>43</v>
      </c>
      <c r="F52" s="122" t="s">
        <v>44</v>
      </c>
      <c r="G52" s="123" t="s">
        <v>45</v>
      </c>
      <c r="J52" s="121" t="s">
        <v>40</v>
      </c>
      <c r="K52" s="122" t="s">
        <v>41</v>
      </c>
      <c r="L52" s="122" t="s">
        <v>42</v>
      </c>
      <c r="M52" s="122" t="s">
        <v>46</v>
      </c>
      <c r="N52" s="123" t="s">
        <v>45</v>
      </c>
    </row>
    <row r="53" spans="1:14" ht="36.75" customHeight="1">
      <c r="B53" s="124" t="s">
        <v>47</v>
      </c>
      <c r="C53" s="229" t="s">
        <v>48</v>
      </c>
      <c r="D53" s="229">
        <v>78</v>
      </c>
      <c r="E53" s="236" t="s">
        <v>49</v>
      </c>
      <c r="F53" s="236" t="s">
        <v>50</v>
      </c>
      <c r="G53" s="240" t="s">
        <v>51</v>
      </c>
      <c r="J53" s="124" t="s">
        <v>47</v>
      </c>
      <c r="K53" s="189" t="s">
        <v>48</v>
      </c>
      <c r="L53" s="189">
        <v>63</v>
      </c>
      <c r="M53" s="190" t="s">
        <v>52</v>
      </c>
      <c r="N53" s="189" t="s">
        <v>53</v>
      </c>
    </row>
    <row r="54" spans="1:14" ht="36.75" customHeight="1">
      <c r="B54" s="124" t="s">
        <v>54</v>
      </c>
      <c r="C54" s="230" t="s">
        <v>55</v>
      </c>
      <c r="D54" s="230">
        <v>61</v>
      </c>
      <c r="E54" s="237" t="s">
        <v>56</v>
      </c>
      <c r="F54" s="237" t="s">
        <v>50</v>
      </c>
      <c r="G54" s="241" t="s">
        <v>57</v>
      </c>
      <c r="J54" s="124" t="s">
        <v>54</v>
      </c>
      <c r="K54" s="191" t="s">
        <v>55</v>
      </c>
      <c r="L54" s="191">
        <v>52</v>
      </c>
      <c r="M54" s="192" t="s">
        <v>58</v>
      </c>
      <c r="N54" s="193" t="s">
        <v>59</v>
      </c>
    </row>
    <row r="55" spans="1:14" ht="36.75" customHeight="1">
      <c r="B55" s="124" t="s">
        <v>60</v>
      </c>
      <c r="C55" s="231" t="s">
        <v>61</v>
      </c>
      <c r="D55" s="231">
        <v>59</v>
      </c>
      <c r="E55" s="238">
        <v>4</v>
      </c>
      <c r="F55" s="238" t="s">
        <v>50</v>
      </c>
      <c r="G55" s="242" t="s">
        <v>62</v>
      </c>
      <c r="J55" s="124" t="s">
        <v>60</v>
      </c>
      <c r="K55" s="193" t="s">
        <v>61</v>
      </c>
      <c r="L55" s="193">
        <v>61</v>
      </c>
      <c r="M55" s="194" t="s">
        <v>52</v>
      </c>
      <c r="N55" s="193" t="s">
        <v>63</v>
      </c>
    </row>
    <row r="56" spans="1:14" ht="27.75" customHeight="1">
      <c r="C56" s="226"/>
      <c r="D56" s="226"/>
      <c r="E56" s="226"/>
      <c r="F56" s="226"/>
      <c r="G56" s="239"/>
      <c r="K56" s="125"/>
      <c r="N56" s="126"/>
    </row>
    <row r="57" spans="1:14" s="125" customFormat="1" ht="42" customHeight="1">
      <c r="A57" s="125">
        <v>8</v>
      </c>
      <c r="B57" s="127" t="s">
        <v>40</v>
      </c>
      <c r="C57" s="217" t="s">
        <v>41</v>
      </c>
      <c r="D57" s="217" t="s">
        <v>42</v>
      </c>
      <c r="E57" s="217" t="s">
        <v>46</v>
      </c>
      <c r="F57" s="217" t="s">
        <v>44</v>
      </c>
      <c r="G57" s="217" t="s">
        <v>45</v>
      </c>
      <c r="J57" s="127" t="s">
        <v>40</v>
      </c>
      <c r="K57" s="127" t="s">
        <v>41</v>
      </c>
      <c r="L57" s="127" t="s">
        <v>42</v>
      </c>
      <c r="M57" s="127" t="s">
        <v>46</v>
      </c>
      <c r="N57" s="127" t="s">
        <v>45</v>
      </c>
    </row>
    <row r="58" spans="1:14" ht="35.25" customHeight="1">
      <c r="B58" s="128" t="s">
        <v>64</v>
      </c>
      <c r="C58" s="218" t="s">
        <v>65</v>
      </c>
      <c r="D58" s="219">
        <v>44</v>
      </c>
      <c r="E58" s="220">
        <v>4.2</v>
      </c>
      <c r="F58" s="221"/>
      <c r="G58" s="243">
        <f>+D58/E58</f>
        <v>10.476190476190476</v>
      </c>
      <c r="J58" s="128" t="s">
        <v>64</v>
      </c>
      <c r="K58" s="178" t="s">
        <v>65</v>
      </c>
      <c r="L58" s="179">
        <v>36</v>
      </c>
      <c r="M58" s="180">
        <v>4</v>
      </c>
      <c r="N58" s="180">
        <f>+L58/M58</f>
        <v>9</v>
      </c>
    </row>
    <row r="59" spans="1:14" ht="35.25" customHeight="1">
      <c r="B59" s="129" t="s">
        <v>66</v>
      </c>
      <c r="C59" s="222" t="s">
        <v>67</v>
      </c>
      <c r="D59" s="223">
        <v>51</v>
      </c>
      <c r="E59" s="224">
        <v>4.7</v>
      </c>
      <c r="F59" s="225"/>
      <c r="G59" s="244">
        <f>+D59/E59</f>
        <v>10.851063829787234</v>
      </c>
      <c r="J59" s="129" t="s">
        <v>66</v>
      </c>
      <c r="K59" s="181" t="s">
        <v>67</v>
      </c>
      <c r="L59" s="182">
        <v>49</v>
      </c>
      <c r="M59" s="183">
        <v>4.5999999999999996</v>
      </c>
      <c r="N59" s="184">
        <f>+L59/M59</f>
        <v>10.652173913043478</v>
      </c>
    </row>
    <row r="60" spans="1:14" ht="27.75" customHeight="1">
      <c r="C60" s="226"/>
      <c r="D60" s="226"/>
      <c r="E60" s="226"/>
      <c r="F60" s="226"/>
      <c r="G60" s="226"/>
      <c r="K60" s="125"/>
      <c r="L60" s="30"/>
      <c r="M60" s="30"/>
      <c r="N60" s="30"/>
    </row>
    <row r="61" spans="1:14" s="125" customFormat="1" ht="48" customHeight="1">
      <c r="A61" s="125">
        <v>9</v>
      </c>
      <c r="B61" s="130" t="s">
        <v>40</v>
      </c>
      <c r="C61" s="227" t="s">
        <v>41</v>
      </c>
      <c r="D61" s="227" t="s">
        <v>42</v>
      </c>
      <c r="E61" s="227" t="s">
        <v>46</v>
      </c>
      <c r="F61" s="227" t="s">
        <v>44</v>
      </c>
      <c r="G61" s="228" t="s">
        <v>45</v>
      </c>
      <c r="J61" s="130" t="s">
        <v>40</v>
      </c>
      <c r="K61" s="131" t="s">
        <v>41</v>
      </c>
      <c r="L61" s="131" t="s">
        <v>42</v>
      </c>
      <c r="M61" s="131" t="s">
        <v>46</v>
      </c>
      <c r="N61" s="154" t="s">
        <v>45</v>
      </c>
    </row>
    <row r="62" spans="1:14" ht="48.75" customHeight="1">
      <c r="B62" s="132" t="s">
        <v>68</v>
      </c>
      <c r="C62" s="232" t="s">
        <v>69</v>
      </c>
      <c r="D62" s="233">
        <v>28</v>
      </c>
      <c r="E62" s="234" t="s">
        <v>70</v>
      </c>
      <c r="F62" s="234" t="s">
        <v>71</v>
      </c>
      <c r="G62" s="235" t="s">
        <v>16</v>
      </c>
      <c r="J62" s="132" t="s">
        <v>68</v>
      </c>
      <c r="K62" s="187" t="s">
        <v>69</v>
      </c>
      <c r="L62" s="185">
        <v>58</v>
      </c>
      <c r="M62" s="186">
        <v>4.2949999999999999</v>
      </c>
      <c r="N62" s="188">
        <f>L62/M62</f>
        <v>13.50407450523865</v>
      </c>
    </row>
    <row r="63" spans="1:14" ht="33" customHeight="1">
      <c r="B63" s="133" t="s">
        <v>72</v>
      </c>
    </row>
    <row r="66" spans="1:7">
      <c r="B66" s="67" t="s">
        <v>73</v>
      </c>
    </row>
    <row r="68" spans="1:7" ht="30.95" customHeight="1">
      <c r="A68" s="57">
        <v>10</v>
      </c>
      <c r="B68" s="121" t="s">
        <v>40</v>
      </c>
      <c r="C68" s="122" t="s">
        <v>41</v>
      </c>
      <c r="D68" s="122" t="s">
        <v>74</v>
      </c>
      <c r="E68" s="134" t="s">
        <v>75</v>
      </c>
      <c r="F68" s="122" t="s">
        <v>76</v>
      </c>
      <c r="G68" s="123" t="s">
        <v>44</v>
      </c>
    </row>
    <row r="69" spans="1:7" ht="36" customHeight="1">
      <c r="B69" s="124" t="s">
        <v>47</v>
      </c>
      <c r="C69" s="135" t="s">
        <v>48</v>
      </c>
      <c r="D69" s="60"/>
      <c r="E69" s="136"/>
      <c r="F69" s="137"/>
      <c r="G69" s="61"/>
    </row>
    <row r="70" spans="1:7" ht="38.450000000000003" customHeight="1">
      <c r="B70" s="124" t="s">
        <v>54</v>
      </c>
      <c r="C70" s="138" t="s">
        <v>55</v>
      </c>
      <c r="D70" s="62"/>
      <c r="E70" s="139"/>
      <c r="F70" s="137"/>
      <c r="G70" s="63"/>
    </row>
    <row r="71" spans="1:7" ht="30.6" customHeight="1">
      <c r="B71" s="124" t="s">
        <v>60</v>
      </c>
      <c r="C71" s="135" t="s">
        <v>61</v>
      </c>
      <c r="D71" s="64"/>
      <c r="E71" s="140"/>
      <c r="F71" s="137"/>
      <c r="G71" s="65"/>
    </row>
    <row r="72" spans="1:7" ht="18.75" customHeight="1">
      <c r="E72" s="30"/>
    </row>
    <row r="74" spans="1:7" ht="30.6" customHeight="1">
      <c r="A74" s="57">
        <v>11</v>
      </c>
      <c r="B74" s="141" t="s">
        <v>40</v>
      </c>
      <c r="C74" s="142" t="s">
        <v>41</v>
      </c>
      <c r="D74" s="142" t="s">
        <v>74</v>
      </c>
      <c r="E74" s="142" t="s">
        <v>77</v>
      </c>
      <c r="F74" s="142" t="s">
        <v>78</v>
      </c>
      <c r="G74" s="143" t="s">
        <v>44</v>
      </c>
    </row>
    <row r="75" spans="1:7" ht="24.75" customHeight="1">
      <c r="B75" s="144" t="s">
        <v>64</v>
      </c>
      <c r="C75" s="145" t="s">
        <v>65</v>
      </c>
      <c r="D75" s="146">
        <v>44</v>
      </c>
      <c r="E75" s="147"/>
      <c r="F75" s="148"/>
      <c r="G75" s="148"/>
    </row>
    <row r="76" spans="1:7" ht="24.75" customHeight="1">
      <c r="B76" s="144" t="s">
        <v>66</v>
      </c>
      <c r="C76" s="149" t="s">
        <v>79</v>
      </c>
      <c r="D76" s="150">
        <v>51</v>
      </c>
      <c r="E76" s="151"/>
      <c r="F76" s="152"/>
      <c r="G76" s="152"/>
    </row>
    <row r="77" spans="1:7" ht="24.75" customHeight="1">
      <c r="D77" s="30"/>
      <c r="E77" s="30"/>
    </row>
    <row r="79" spans="1:7" ht="32.450000000000003" customHeight="1">
      <c r="A79" s="57">
        <v>12</v>
      </c>
      <c r="B79" s="153" t="s">
        <v>40</v>
      </c>
      <c r="C79" s="131" t="s">
        <v>41</v>
      </c>
      <c r="D79" s="131" t="s">
        <v>74</v>
      </c>
      <c r="E79" s="131" t="s">
        <v>77</v>
      </c>
      <c r="F79" s="131" t="s">
        <v>80</v>
      </c>
      <c r="G79" s="154" t="s">
        <v>44</v>
      </c>
    </row>
    <row r="80" spans="1:7" ht="33" customHeight="1">
      <c r="B80" s="155" t="s">
        <v>68</v>
      </c>
      <c r="C80" s="156" t="s">
        <v>81</v>
      </c>
      <c r="D80" s="157">
        <v>0</v>
      </c>
      <c r="E80" s="157">
        <v>0</v>
      </c>
      <c r="F80" s="157">
        <v>0</v>
      </c>
      <c r="G80" s="157">
        <v>0</v>
      </c>
    </row>
    <row r="82" spans="2:7">
      <c r="B82" s="78"/>
      <c r="C82" s="78"/>
      <c r="D82" s="78"/>
      <c r="E82" s="78"/>
      <c r="F82" s="78"/>
      <c r="G82" s="78"/>
    </row>
    <row r="83" spans="2:7" ht="21.95" customHeight="1">
      <c r="B83" s="203" t="s">
        <v>82</v>
      </c>
      <c r="C83" s="208" t="s">
        <v>83</v>
      </c>
      <c r="D83" s="158"/>
      <c r="E83" s="158"/>
      <c r="F83" s="158"/>
      <c r="G83" s="159"/>
    </row>
    <row r="84" spans="2:7">
      <c r="B84" s="204" t="s">
        <v>84</v>
      </c>
      <c r="C84" s="209">
        <v>78</v>
      </c>
      <c r="D84" s="158"/>
      <c r="E84" s="158"/>
      <c r="F84" s="158"/>
      <c r="G84" s="159"/>
    </row>
    <row r="85" spans="2:7">
      <c r="B85" s="205" t="s">
        <v>85</v>
      </c>
      <c r="C85" s="210">
        <v>17</v>
      </c>
      <c r="D85" s="33"/>
      <c r="E85" s="34"/>
      <c r="F85" s="35"/>
      <c r="G85" s="30"/>
    </row>
    <row r="86" spans="2:7">
      <c r="B86" s="206" t="s">
        <v>86</v>
      </c>
      <c r="C86" s="210">
        <v>18</v>
      </c>
      <c r="D86" s="33"/>
      <c r="E86" s="34"/>
      <c r="F86" s="35"/>
      <c r="G86" s="30"/>
    </row>
    <row r="87" spans="2:7">
      <c r="B87" s="206" t="s">
        <v>87</v>
      </c>
      <c r="C87" s="210">
        <v>12</v>
      </c>
      <c r="D87" s="33"/>
      <c r="E87" s="34"/>
      <c r="F87" s="35"/>
      <c r="G87" s="30"/>
    </row>
    <row r="88" spans="2:7">
      <c r="B88" s="206" t="s">
        <v>88</v>
      </c>
      <c r="C88" s="210">
        <v>13</v>
      </c>
      <c r="D88" s="33"/>
      <c r="E88" s="34"/>
      <c r="F88" s="35"/>
      <c r="G88" s="30"/>
    </row>
    <row r="89" spans="2:7">
      <c r="B89" s="206" t="s">
        <v>89</v>
      </c>
      <c r="C89" s="210">
        <v>11</v>
      </c>
      <c r="D89" s="36"/>
      <c r="E89" s="34"/>
      <c r="F89" s="35"/>
      <c r="G89" s="30"/>
    </row>
    <row r="90" spans="2:7">
      <c r="B90" s="206" t="s">
        <v>90</v>
      </c>
      <c r="C90" s="210">
        <v>7</v>
      </c>
      <c r="D90" s="33"/>
      <c r="E90" s="34"/>
      <c r="F90" s="35"/>
      <c r="G90" s="30"/>
    </row>
    <row r="91" spans="2:7">
      <c r="B91" s="204" t="s">
        <v>91</v>
      </c>
      <c r="C91" s="211">
        <v>59</v>
      </c>
      <c r="D91" s="33"/>
      <c r="E91" s="34"/>
      <c r="F91" s="35"/>
      <c r="G91" s="30"/>
    </row>
    <row r="92" spans="2:7">
      <c r="B92" s="205" t="s">
        <v>92</v>
      </c>
      <c r="C92" s="212">
        <v>17</v>
      </c>
      <c r="D92" s="33"/>
      <c r="E92" s="34"/>
      <c r="F92" s="35"/>
      <c r="G92" s="30"/>
    </row>
    <row r="93" spans="2:7">
      <c r="B93" s="206" t="s">
        <v>93</v>
      </c>
      <c r="C93" s="210">
        <v>10</v>
      </c>
      <c r="D93" s="158"/>
      <c r="E93" s="158"/>
      <c r="F93" s="158"/>
      <c r="G93" s="159"/>
    </row>
    <row r="94" spans="2:7">
      <c r="B94" s="206" t="s">
        <v>94</v>
      </c>
      <c r="C94" s="210">
        <v>3</v>
      </c>
      <c r="D94" s="33"/>
      <c r="E94" s="34"/>
      <c r="F94" s="35"/>
      <c r="G94" s="30"/>
    </row>
    <row r="95" spans="2:7">
      <c r="B95" s="206" t="s">
        <v>95</v>
      </c>
      <c r="C95" s="210">
        <v>8</v>
      </c>
      <c r="D95" s="33"/>
      <c r="E95" s="34"/>
      <c r="F95" s="35"/>
      <c r="G95" s="30"/>
    </row>
    <row r="96" spans="2:7">
      <c r="B96" s="206" t="s">
        <v>96</v>
      </c>
      <c r="C96" s="210">
        <v>8</v>
      </c>
      <c r="D96" s="36"/>
      <c r="E96" s="34"/>
      <c r="F96" s="35"/>
      <c r="G96" s="30"/>
    </row>
    <row r="97" spans="2:7">
      <c r="B97" s="206" t="s">
        <v>97</v>
      </c>
      <c r="C97" s="210">
        <v>8</v>
      </c>
      <c r="D97" s="33"/>
      <c r="E97" s="34"/>
      <c r="F97" s="35"/>
      <c r="G97" s="30"/>
    </row>
    <row r="98" spans="2:7">
      <c r="B98" s="206" t="s">
        <v>98</v>
      </c>
      <c r="C98" s="210">
        <v>5</v>
      </c>
      <c r="D98" s="33"/>
      <c r="E98" s="34"/>
      <c r="F98" s="35"/>
      <c r="G98" s="30"/>
    </row>
    <row r="99" spans="2:7">
      <c r="B99" s="204" t="s">
        <v>99</v>
      </c>
      <c r="C99" s="211">
        <v>61</v>
      </c>
      <c r="D99" s="36"/>
      <c r="E99" s="34"/>
      <c r="F99" s="35"/>
      <c r="G99" s="30"/>
    </row>
    <row r="100" spans="2:7">
      <c r="B100" s="205" t="s">
        <v>100</v>
      </c>
      <c r="C100" s="210">
        <v>9</v>
      </c>
      <c r="D100" s="158"/>
      <c r="E100" s="158"/>
      <c r="F100" s="158"/>
      <c r="G100" s="159"/>
    </row>
    <row r="101" spans="2:7">
      <c r="B101" s="206" t="s">
        <v>101</v>
      </c>
      <c r="C101" s="210">
        <v>11</v>
      </c>
      <c r="D101" s="33"/>
      <c r="E101" s="34"/>
      <c r="F101" s="35"/>
      <c r="G101" s="30"/>
    </row>
    <row r="102" spans="2:7">
      <c r="B102" s="206" t="s">
        <v>102</v>
      </c>
      <c r="C102" s="210">
        <v>7</v>
      </c>
      <c r="D102" s="33"/>
      <c r="E102" s="34"/>
      <c r="F102" s="35"/>
      <c r="G102" s="30"/>
    </row>
    <row r="103" spans="2:7">
      <c r="B103" s="206" t="s">
        <v>103</v>
      </c>
      <c r="C103" s="210">
        <v>18</v>
      </c>
      <c r="D103" s="36"/>
      <c r="E103" s="34"/>
      <c r="F103" s="35"/>
      <c r="G103" s="30"/>
    </row>
    <row r="104" spans="2:7">
      <c r="B104" s="207" t="s">
        <v>104</v>
      </c>
      <c r="C104" s="213">
        <v>16</v>
      </c>
      <c r="D104" s="33"/>
      <c r="E104" s="34"/>
      <c r="F104" s="35"/>
      <c r="G104" s="30"/>
    </row>
    <row r="105" spans="2:7">
      <c r="B105" s="203" t="s">
        <v>105</v>
      </c>
      <c r="C105" s="214">
        <v>198</v>
      </c>
      <c r="D105" s="36"/>
      <c r="E105" s="34"/>
      <c r="F105" s="35"/>
      <c r="G105" s="30"/>
    </row>
    <row r="106" spans="2:7" ht="7.5" customHeight="1">
      <c r="B106" s="160"/>
      <c r="C106" s="160"/>
      <c r="D106" s="36"/>
      <c r="E106" s="34"/>
      <c r="F106" s="35"/>
      <c r="G106" s="30"/>
    </row>
    <row r="107" spans="2:7" ht="18.75" customHeight="1">
      <c r="B107" s="33"/>
      <c r="C107" s="33"/>
      <c r="D107" s="33"/>
      <c r="E107" s="34"/>
      <c r="F107" s="37"/>
      <c r="G107" s="32"/>
    </row>
    <row r="108" spans="2:7" ht="22.5" customHeight="1">
      <c r="B108" s="38"/>
      <c r="C108" s="39"/>
      <c r="D108" s="40"/>
      <c r="E108" s="41"/>
      <c r="F108" s="15"/>
      <c r="G108" s="16"/>
    </row>
    <row r="109" spans="2:7" ht="41.25">
      <c r="B109" s="161" t="s">
        <v>106</v>
      </c>
      <c r="C109" s="17" t="s">
        <v>107</v>
      </c>
      <c r="D109" s="18" t="s">
        <v>108</v>
      </c>
      <c r="E109" s="19" t="s">
        <v>109</v>
      </c>
      <c r="F109" s="20" t="s">
        <v>110</v>
      </c>
      <c r="G109" s="44">
        <f>SUM(G110:G115)</f>
        <v>44</v>
      </c>
    </row>
    <row r="110" spans="2:7">
      <c r="B110" s="161"/>
      <c r="C110" s="21" t="s">
        <v>64</v>
      </c>
      <c r="D110" s="10" t="s">
        <v>111</v>
      </c>
      <c r="E110" s="8" t="s">
        <v>112</v>
      </c>
      <c r="F110" s="9" t="s">
        <v>113</v>
      </c>
      <c r="G110" s="45">
        <v>9</v>
      </c>
    </row>
    <row r="111" spans="2:7">
      <c r="B111" s="161"/>
      <c r="C111" s="21" t="s">
        <v>64</v>
      </c>
      <c r="D111" s="10" t="s">
        <v>114</v>
      </c>
      <c r="E111" s="8" t="s">
        <v>115</v>
      </c>
      <c r="F111" s="9" t="s">
        <v>113</v>
      </c>
      <c r="G111" s="45">
        <v>6</v>
      </c>
    </row>
    <row r="112" spans="2:7">
      <c r="B112" s="161"/>
      <c r="C112" s="21" t="s">
        <v>64</v>
      </c>
      <c r="D112" s="10" t="s">
        <v>116</v>
      </c>
      <c r="E112" s="8" t="s">
        <v>117</v>
      </c>
      <c r="F112" s="9" t="s">
        <v>118</v>
      </c>
      <c r="G112" s="45">
        <v>7</v>
      </c>
    </row>
    <row r="113" spans="2:8">
      <c r="B113" s="161"/>
      <c r="C113" s="21" t="s">
        <v>64</v>
      </c>
      <c r="D113" s="10" t="s">
        <v>119</v>
      </c>
      <c r="E113" s="8" t="s">
        <v>120</v>
      </c>
      <c r="F113" s="9" t="s">
        <v>121</v>
      </c>
      <c r="G113" s="45">
        <v>8</v>
      </c>
    </row>
    <row r="114" spans="2:8">
      <c r="B114" s="161"/>
      <c r="C114" s="21" t="s">
        <v>64</v>
      </c>
      <c r="D114" s="10" t="s">
        <v>122</v>
      </c>
      <c r="E114" s="8" t="s">
        <v>123</v>
      </c>
      <c r="F114" s="9" t="s">
        <v>121</v>
      </c>
      <c r="G114" s="46">
        <v>7</v>
      </c>
    </row>
    <row r="115" spans="2:8">
      <c r="B115" s="161"/>
      <c r="C115" s="21" t="s">
        <v>64</v>
      </c>
      <c r="D115" s="10" t="s">
        <v>124</v>
      </c>
      <c r="E115" s="8" t="s">
        <v>125</v>
      </c>
      <c r="F115" s="9" t="s">
        <v>113</v>
      </c>
      <c r="G115" s="46">
        <v>7</v>
      </c>
    </row>
    <row r="116" spans="2:8" ht="20.25">
      <c r="B116" s="161"/>
      <c r="C116" s="4" t="s">
        <v>66</v>
      </c>
      <c r="D116" s="5" t="s">
        <v>126</v>
      </c>
      <c r="E116" s="6" t="s">
        <v>127</v>
      </c>
      <c r="F116" s="7" t="s">
        <v>110</v>
      </c>
      <c r="G116" s="47">
        <f>SUM(G117:G122)</f>
        <v>51</v>
      </c>
    </row>
    <row r="117" spans="2:8">
      <c r="B117" s="161"/>
      <c r="C117" s="21" t="s">
        <v>66</v>
      </c>
      <c r="D117" s="10" t="s">
        <v>128</v>
      </c>
      <c r="E117" s="8" t="s">
        <v>129</v>
      </c>
      <c r="F117" s="9" t="s">
        <v>130</v>
      </c>
      <c r="G117" s="45">
        <v>4</v>
      </c>
    </row>
    <row r="118" spans="2:8">
      <c r="B118" s="161"/>
      <c r="C118" s="21" t="s">
        <v>66</v>
      </c>
      <c r="D118" s="10" t="s">
        <v>131</v>
      </c>
      <c r="E118" s="8" t="s">
        <v>132</v>
      </c>
      <c r="F118" s="9" t="s">
        <v>113</v>
      </c>
      <c r="G118" s="45">
        <v>9</v>
      </c>
    </row>
    <row r="119" spans="2:8">
      <c r="B119" s="161"/>
      <c r="C119" s="21" t="s">
        <v>66</v>
      </c>
      <c r="D119" s="10" t="s">
        <v>133</v>
      </c>
      <c r="E119" s="8" t="s">
        <v>134</v>
      </c>
      <c r="F119" s="9" t="s">
        <v>118</v>
      </c>
      <c r="G119" s="45">
        <v>13</v>
      </c>
    </row>
    <row r="120" spans="2:8">
      <c r="B120" s="161"/>
      <c r="C120" s="21" t="s">
        <v>66</v>
      </c>
      <c r="D120" s="10" t="s">
        <v>135</v>
      </c>
      <c r="E120" s="8" t="s">
        <v>136</v>
      </c>
      <c r="F120" s="9" t="s">
        <v>113</v>
      </c>
      <c r="G120" s="45">
        <v>7</v>
      </c>
    </row>
    <row r="121" spans="2:8">
      <c r="B121" s="161"/>
      <c r="C121" s="21" t="s">
        <v>66</v>
      </c>
      <c r="D121" s="10" t="s">
        <v>137</v>
      </c>
      <c r="E121" s="8" t="s">
        <v>138</v>
      </c>
      <c r="F121" s="9" t="s">
        <v>139</v>
      </c>
      <c r="G121" s="45">
        <v>9</v>
      </c>
    </row>
    <row r="122" spans="2:8">
      <c r="B122" s="161"/>
      <c r="C122" s="21" t="s">
        <v>64</v>
      </c>
      <c r="D122" s="10" t="s">
        <v>140</v>
      </c>
      <c r="E122" s="8" t="s">
        <v>141</v>
      </c>
      <c r="F122" s="9" t="s">
        <v>113</v>
      </c>
      <c r="G122" s="45">
        <v>9</v>
      </c>
    </row>
    <row r="123" spans="2:8" ht="15" customHeight="1">
      <c r="B123" s="162" t="s">
        <v>142</v>
      </c>
      <c r="C123" s="22"/>
      <c r="D123" s="13"/>
      <c r="E123" s="14"/>
      <c r="F123" s="15"/>
      <c r="G123" s="54">
        <f>+G116+G109</f>
        <v>95</v>
      </c>
    </row>
    <row r="124" spans="2:8" ht="65.25" customHeight="1">
      <c r="B124" s="163" t="s">
        <v>143</v>
      </c>
      <c r="C124" s="17" t="s">
        <v>144</v>
      </c>
      <c r="D124" s="18" t="s">
        <v>145</v>
      </c>
      <c r="E124" s="19" t="s">
        <v>146</v>
      </c>
      <c r="F124" s="50" t="s">
        <v>147</v>
      </c>
      <c r="G124" s="55"/>
      <c r="H124" s="30"/>
    </row>
    <row r="125" spans="2:8" ht="26.25" customHeight="1">
      <c r="B125" s="163"/>
      <c r="C125" s="21" t="s">
        <v>68</v>
      </c>
      <c r="D125" s="10" t="s">
        <v>148</v>
      </c>
      <c r="E125" s="8" t="s">
        <v>149</v>
      </c>
      <c r="F125" s="51" t="s">
        <v>139</v>
      </c>
      <c r="G125" s="199">
        <v>3</v>
      </c>
    </row>
    <row r="126" spans="2:8">
      <c r="B126" s="163"/>
      <c r="C126" s="21" t="s">
        <v>68</v>
      </c>
      <c r="D126" s="10" t="s">
        <v>150</v>
      </c>
      <c r="E126" s="8" t="s">
        <v>151</v>
      </c>
      <c r="F126" s="51" t="s">
        <v>130</v>
      </c>
      <c r="G126" s="200">
        <v>5</v>
      </c>
    </row>
    <row r="127" spans="2:8">
      <c r="B127" s="163"/>
      <c r="C127" s="21" t="s">
        <v>68</v>
      </c>
      <c r="D127" s="10" t="s">
        <v>152</v>
      </c>
      <c r="E127" s="8" t="s">
        <v>153</v>
      </c>
      <c r="F127" s="51" t="s">
        <v>121</v>
      </c>
      <c r="G127" s="200">
        <v>2</v>
      </c>
      <c r="H127" s="198" t="s">
        <v>12</v>
      </c>
    </row>
    <row r="128" spans="2:8">
      <c r="B128" s="163"/>
      <c r="C128" s="21" t="s">
        <v>68</v>
      </c>
      <c r="D128" s="10" t="s">
        <v>154</v>
      </c>
      <c r="E128" s="8" t="s">
        <v>155</v>
      </c>
      <c r="F128" s="51" t="s">
        <v>130</v>
      </c>
      <c r="G128" s="200">
        <v>10</v>
      </c>
      <c r="H128" s="198"/>
    </row>
    <row r="129" spans="2:8">
      <c r="B129" s="163"/>
      <c r="C129" s="21" t="s">
        <v>68</v>
      </c>
      <c r="D129" s="12" t="s">
        <v>156</v>
      </c>
      <c r="E129" s="8" t="s">
        <v>157</v>
      </c>
      <c r="F129" s="51" t="s">
        <v>139</v>
      </c>
      <c r="G129" s="200">
        <v>7</v>
      </c>
      <c r="H129" s="198"/>
    </row>
    <row r="130" spans="2:8">
      <c r="B130" s="163"/>
      <c r="C130" s="10" t="s">
        <v>68</v>
      </c>
      <c r="D130" s="10" t="s">
        <v>158</v>
      </c>
      <c r="E130" s="11" t="s">
        <v>159</v>
      </c>
      <c r="F130" s="52" t="s">
        <v>130</v>
      </c>
      <c r="G130" s="200">
        <v>1</v>
      </c>
      <c r="H130" s="198"/>
    </row>
    <row r="131" spans="2:8" ht="20.25">
      <c r="B131" s="164" t="s">
        <v>142</v>
      </c>
      <c r="C131" s="23"/>
      <c r="D131" s="23"/>
      <c r="E131" s="24"/>
      <c r="F131" s="53"/>
      <c r="G131" s="201">
        <v>28</v>
      </c>
      <c r="H131" s="198" t="s">
        <v>160</v>
      </c>
    </row>
    <row r="132" spans="2:8">
      <c r="B132" s="57" t="s">
        <v>161</v>
      </c>
    </row>
    <row r="133" spans="2:8">
      <c r="B133" s="57" t="s">
        <v>162</v>
      </c>
    </row>
    <row r="134" spans="2:8">
      <c r="B134" s="67"/>
      <c r="H134" s="67"/>
    </row>
    <row r="135" spans="2:8">
      <c r="B135" s="67" t="s">
        <v>163</v>
      </c>
    </row>
    <row r="136" spans="2:8" ht="27" customHeight="1">
      <c r="H136" s="67"/>
    </row>
    <row r="137" spans="2:8" ht="27" customHeight="1">
      <c r="B137" s="165"/>
      <c r="C137" s="166" t="s">
        <v>164</v>
      </c>
      <c r="D137" s="166"/>
      <c r="H137" s="67"/>
    </row>
    <row r="138" spans="2:8" ht="36" customHeight="1">
      <c r="B138" s="167"/>
      <c r="C138" s="168" t="s">
        <v>165</v>
      </c>
      <c r="D138" s="168" t="s">
        <v>166</v>
      </c>
      <c r="H138" s="67"/>
    </row>
    <row r="139" spans="2:8" ht="36" customHeight="1">
      <c r="B139" s="169" t="s">
        <v>3</v>
      </c>
      <c r="C139" s="170"/>
      <c r="D139" s="170"/>
      <c r="H139" s="67"/>
    </row>
    <row r="140" spans="2:8" ht="87" customHeight="1">
      <c r="B140" s="171" t="s">
        <v>4</v>
      </c>
      <c r="C140" s="172"/>
      <c r="D140" s="173"/>
      <c r="H140" s="67"/>
    </row>
    <row r="141" spans="2:8" ht="102.75">
      <c r="B141" s="174" t="s">
        <v>5</v>
      </c>
      <c r="C141" s="175" t="s">
        <v>167</v>
      </c>
      <c r="D141" s="173" t="s">
        <v>168</v>
      </c>
    </row>
    <row r="142" spans="2:8" ht="28.5" customHeight="1">
      <c r="B142" s="176" t="s">
        <v>9</v>
      </c>
      <c r="C142" s="176"/>
      <c r="D142" s="176"/>
    </row>
    <row r="143" spans="2:8" ht="17.25" customHeight="1">
      <c r="B143" s="107"/>
      <c r="C143" s="107"/>
      <c r="D143" s="107"/>
    </row>
    <row r="144" spans="2:8" ht="17.25" customHeight="1">
      <c r="B144" s="107"/>
      <c r="C144" s="107"/>
      <c r="D144" s="107"/>
    </row>
    <row r="146" spans="2:16">
      <c r="B146" s="67" t="s">
        <v>169</v>
      </c>
      <c r="E146" s="67" t="s">
        <v>169</v>
      </c>
      <c r="H146" s="67"/>
      <c r="J146" s="177"/>
      <c r="K146" s="177"/>
    </row>
    <row r="148" spans="2:16" ht="45" customHeight="1">
      <c r="B148" s="248" t="s">
        <v>170</v>
      </c>
      <c r="C148" s="249" t="s">
        <v>3</v>
      </c>
      <c r="D148" s="249" t="s">
        <v>4</v>
      </c>
      <c r="E148" s="250" t="s">
        <v>5</v>
      </c>
      <c r="F148" s="57" t="s">
        <v>30</v>
      </c>
      <c r="H148" s="259" t="s">
        <v>170</v>
      </c>
      <c r="I148" s="260" t="s">
        <v>3</v>
      </c>
      <c r="J148" s="260" t="s">
        <v>4</v>
      </c>
      <c r="K148" s="261" t="s">
        <v>5</v>
      </c>
      <c r="L148" s="262" t="s">
        <v>171</v>
      </c>
      <c r="N148" s="254" t="s">
        <v>172</v>
      </c>
      <c r="O148" s="254" t="s">
        <v>173</v>
      </c>
      <c r="P148" s="251" t="s">
        <v>174</v>
      </c>
    </row>
    <row r="149" spans="2:16" ht="28.5">
      <c r="B149" s="245" t="s">
        <v>175</v>
      </c>
      <c r="C149" s="1">
        <v>173</v>
      </c>
      <c r="D149" s="48">
        <v>73</v>
      </c>
      <c r="E149" s="2"/>
      <c r="H149" s="263" t="s">
        <v>176</v>
      </c>
      <c r="I149" s="1">
        <v>173</v>
      </c>
      <c r="J149" s="2">
        <v>73</v>
      </c>
      <c r="K149" s="2">
        <v>27</v>
      </c>
      <c r="L149" s="264">
        <f>SUM(I149:K149)</f>
        <v>273</v>
      </c>
      <c r="N149" s="255" t="s">
        <v>3</v>
      </c>
      <c r="O149" s="257">
        <v>190</v>
      </c>
      <c r="P149" s="252">
        <v>380</v>
      </c>
    </row>
    <row r="150" spans="2:16" ht="28.5">
      <c r="B150" s="245" t="s">
        <v>177</v>
      </c>
      <c r="C150" s="1">
        <v>9</v>
      </c>
      <c r="D150" s="48">
        <v>2</v>
      </c>
      <c r="E150" s="2"/>
      <c r="H150" s="263" t="s">
        <v>178</v>
      </c>
      <c r="I150" s="1">
        <v>9</v>
      </c>
      <c r="J150" s="2">
        <v>2</v>
      </c>
      <c r="K150" s="2"/>
      <c r="L150" s="264">
        <f t="shared" ref="L150:L153" si="0">SUM(I150:K150)</f>
        <v>11</v>
      </c>
      <c r="N150" s="255" t="s">
        <v>4</v>
      </c>
      <c r="O150" s="257">
        <v>104</v>
      </c>
      <c r="P150" s="252">
        <v>200</v>
      </c>
    </row>
    <row r="151" spans="2:16" ht="28.5">
      <c r="B151" s="245" t="s">
        <v>179</v>
      </c>
      <c r="C151" s="49">
        <v>6</v>
      </c>
      <c r="D151" s="48">
        <v>6</v>
      </c>
      <c r="E151" s="2">
        <v>1</v>
      </c>
      <c r="H151" s="263" t="s">
        <v>180</v>
      </c>
      <c r="I151" s="49">
        <v>6</v>
      </c>
      <c r="J151" s="2">
        <v>6</v>
      </c>
      <c r="K151" s="2">
        <v>1</v>
      </c>
      <c r="L151" s="264">
        <f t="shared" si="0"/>
        <v>13</v>
      </c>
      <c r="N151" s="256" t="s">
        <v>5</v>
      </c>
      <c r="O151" s="258">
        <v>21</v>
      </c>
      <c r="P151" s="253">
        <v>40</v>
      </c>
    </row>
    <row r="152" spans="2:16" ht="26.25" customHeight="1">
      <c r="B152" s="245" t="s">
        <v>181</v>
      </c>
      <c r="C152" s="195">
        <v>10</v>
      </c>
      <c r="D152" s="195">
        <v>14</v>
      </c>
      <c r="E152" s="196"/>
      <c r="H152" s="263" t="s">
        <v>182</v>
      </c>
      <c r="I152" s="195">
        <v>10</v>
      </c>
      <c r="J152" s="195">
        <v>14</v>
      </c>
      <c r="K152" s="196"/>
      <c r="L152" s="265">
        <f t="shared" si="0"/>
        <v>24</v>
      </c>
    </row>
    <row r="153" spans="2:16">
      <c r="B153" s="246" t="s">
        <v>171</v>
      </c>
      <c r="C153" s="49">
        <f>SUBTOTAL(109,C149:C152)</f>
        <v>198</v>
      </c>
      <c r="D153" s="49">
        <f>SUBTOTAL(109,D149:D152)</f>
        <v>95</v>
      </c>
      <c r="E153" s="3">
        <v>1</v>
      </c>
      <c r="H153" s="266" t="s">
        <v>171</v>
      </c>
      <c r="I153" s="267">
        <f>SUBTOTAL(109,I149:I152)</f>
        <v>198</v>
      </c>
      <c r="J153" s="267">
        <f>SUBTOTAL(109,J149:J152)</f>
        <v>95</v>
      </c>
      <c r="K153" s="268">
        <v>1</v>
      </c>
      <c r="L153" s="269">
        <f t="shared" si="0"/>
        <v>294</v>
      </c>
    </row>
    <row r="154" spans="2:16">
      <c r="B154" s="247" t="s">
        <v>183</v>
      </c>
      <c r="C154" s="56"/>
      <c r="D154" s="31"/>
      <c r="E154" s="31"/>
    </row>
    <row r="155" spans="2:16" ht="57" customHeight="1">
      <c r="B155" s="59" t="s">
        <v>184</v>
      </c>
      <c r="C155" s="31"/>
      <c r="D155" s="31"/>
      <c r="E155" s="31"/>
    </row>
  </sheetData>
  <conditionalFormatting sqref="A61 A6 A14 A21 A31 A37 A45 A52 A57 A68 A74 A79">
    <cfRule type="iconSet" priority="5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58AEC-F1AD-4D26-86F9-F9C1A74AAE7E}"/>
</file>

<file path=customXml/itemProps2.xml><?xml version="1.0" encoding="utf-8"?>
<ds:datastoreItem xmlns:ds="http://schemas.openxmlformats.org/officeDocument/2006/customXml" ds:itemID="{C76DD3C3-7E9C-4689-AC7E-B2E4377A90E2}"/>
</file>

<file path=customXml/itemProps3.xml><?xml version="1.0" encoding="utf-8"?>
<ds:datastoreItem xmlns:ds="http://schemas.openxmlformats.org/officeDocument/2006/customXml" ds:itemID="{D5B830D8-62A0-47CE-8C06-2E280D1114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2025-05-06T23:50:35Z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