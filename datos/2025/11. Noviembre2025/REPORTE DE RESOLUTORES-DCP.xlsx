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\data\DATA\División de Controversias\PROGRAMACIÓN DE CASOS Y PRODUCCIÓN\2025\Noviembre\"/>
    </mc:Choice>
  </mc:AlternateContent>
  <xr:revisionPtr revIDLastSave="0" documentId="13_ncr:1_{01B835AB-2FBE-460C-8578-111B4DD70A15}" xr6:coauthVersionLast="47" xr6:coauthVersionMax="47" xr10:uidLastSave="{00000000-0000-0000-0000-000000000000}"/>
  <bookViews>
    <workbookView xWindow="-110" yWindow="-110" windowWidth="19420" windowHeight="10420" tabRatio="744" activeTab="2" xr2:uid="{0E900B61-4C67-4333-84FF-E1DD34DC1655}"/>
  </bookViews>
  <sheets>
    <sheet name="RESUMEN_OCTUBRE" sheetId="13" r:id="rId1"/>
    <sheet name="Stock_reclamo" sheetId="12" r:id="rId2"/>
    <sheet name="Producción Octubre" sheetId="14" r:id="rId3"/>
    <sheet name="Feriados y Materias" sheetId="7" r:id="rId4"/>
  </sheets>
  <externalReferences>
    <externalReference r:id="rId5"/>
  </externalReferences>
  <definedNames>
    <definedName name="_xlnm._FilterDatabase" localSheetId="2" hidden="1">'Producción Octubre'!$A$1:$AC$31</definedName>
    <definedName name="Feriado">'Feriados y Materias'!#REF!</definedName>
    <definedName name="festivo">'Feriados y Materias'!#REF!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4" l="1"/>
  <c r="H30" i="14"/>
  <c r="Y29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H935" i="12"/>
  <c r="H934" i="12"/>
  <c r="H933" i="12"/>
  <c r="H932" i="12"/>
  <c r="H931" i="12"/>
  <c r="H930" i="12"/>
  <c r="H929" i="12"/>
  <c r="H928" i="12"/>
  <c r="H927" i="12"/>
  <c r="H926" i="12"/>
  <c r="H925" i="12"/>
  <c r="H924" i="12"/>
  <c r="H923" i="12"/>
  <c r="H922" i="12"/>
  <c r="H921" i="12"/>
  <c r="H920" i="12"/>
  <c r="H919" i="12"/>
  <c r="H918" i="12"/>
  <c r="H917" i="12"/>
  <c r="H916" i="12"/>
  <c r="H915" i="12"/>
  <c r="H914" i="12"/>
  <c r="H913" i="12"/>
  <c r="H912" i="12"/>
  <c r="H911" i="12"/>
  <c r="H910" i="12"/>
  <c r="H909" i="12"/>
  <c r="H908" i="12"/>
  <c r="H907" i="12"/>
  <c r="H906" i="12"/>
  <c r="H905" i="12"/>
  <c r="H904" i="12"/>
  <c r="H903" i="12"/>
  <c r="H902" i="12"/>
  <c r="H901" i="12"/>
  <c r="H900" i="12"/>
  <c r="H899" i="12"/>
  <c r="H898" i="12"/>
  <c r="H897" i="12"/>
  <c r="H896" i="12"/>
  <c r="H895" i="12"/>
  <c r="H894" i="12"/>
  <c r="H893" i="12"/>
  <c r="H892" i="12"/>
  <c r="H891" i="12"/>
  <c r="H890" i="12"/>
  <c r="H889" i="12"/>
  <c r="H888" i="12"/>
  <c r="H887" i="12"/>
  <c r="H886" i="12"/>
  <c r="H885" i="12"/>
  <c r="H884" i="12"/>
  <c r="H883" i="12"/>
  <c r="H882" i="12"/>
  <c r="H881" i="12"/>
  <c r="H880" i="12"/>
  <c r="H879" i="12"/>
  <c r="H878" i="12"/>
  <c r="H877" i="12"/>
  <c r="H876" i="12"/>
  <c r="H875" i="12"/>
  <c r="H874" i="12"/>
  <c r="H873" i="12"/>
  <c r="H872" i="12"/>
  <c r="H871" i="12"/>
  <c r="H870" i="12"/>
  <c r="H869" i="12"/>
  <c r="H868" i="12"/>
  <c r="H867" i="12"/>
  <c r="H866" i="12"/>
  <c r="H865" i="12"/>
  <c r="H864" i="12"/>
  <c r="H863" i="12"/>
  <c r="H862" i="12"/>
  <c r="H861" i="12"/>
  <c r="H860" i="12"/>
  <c r="H859" i="12"/>
  <c r="H858" i="12"/>
  <c r="H857" i="12"/>
  <c r="H856" i="12"/>
  <c r="H855" i="12"/>
  <c r="H854" i="12"/>
  <c r="H853" i="12"/>
  <c r="H852" i="12"/>
  <c r="H851" i="12"/>
  <c r="H850" i="12"/>
  <c r="H849" i="12"/>
  <c r="H848" i="12"/>
  <c r="H847" i="12"/>
  <c r="H846" i="12"/>
  <c r="H845" i="12"/>
  <c r="H844" i="12"/>
  <c r="H843" i="12"/>
  <c r="H842" i="12"/>
  <c r="H841" i="12"/>
  <c r="H840" i="12"/>
  <c r="H839" i="12"/>
  <c r="H838" i="12"/>
  <c r="H837" i="12"/>
  <c r="H836" i="12"/>
  <c r="H835" i="12"/>
  <c r="H834" i="12"/>
  <c r="H833" i="12"/>
  <c r="H832" i="12"/>
  <c r="H831" i="12"/>
  <c r="H830" i="12"/>
  <c r="H829" i="12"/>
  <c r="H828" i="12"/>
  <c r="H827" i="12"/>
  <c r="H826" i="12"/>
  <c r="H825" i="12"/>
  <c r="H824" i="12"/>
  <c r="H823" i="12"/>
  <c r="H822" i="12"/>
  <c r="H821" i="12"/>
  <c r="H820" i="12"/>
  <c r="H819" i="12"/>
  <c r="H818" i="12"/>
  <c r="H817" i="12"/>
  <c r="H816" i="12"/>
  <c r="H815" i="12"/>
  <c r="H814" i="12"/>
  <c r="H813" i="12"/>
  <c r="H812" i="12"/>
  <c r="H811" i="12"/>
  <c r="H810" i="12"/>
  <c r="H809" i="12"/>
  <c r="H808" i="12"/>
  <c r="H807" i="12"/>
  <c r="H806" i="12"/>
  <c r="H805" i="12"/>
  <c r="H804" i="12"/>
  <c r="H803" i="12"/>
  <c r="H802" i="12"/>
  <c r="H801" i="12"/>
  <c r="H800" i="12"/>
  <c r="H799" i="12"/>
  <c r="H798" i="12"/>
  <c r="H797" i="12"/>
  <c r="H796" i="12"/>
  <c r="H795" i="12"/>
  <c r="H794" i="12"/>
  <c r="H793" i="12"/>
  <c r="H792" i="12"/>
  <c r="H791" i="12"/>
  <c r="H790" i="12"/>
  <c r="H789" i="12"/>
  <c r="H788" i="12"/>
  <c r="H787" i="12"/>
  <c r="H786" i="12"/>
  <c r="H785" i="12"/>
  <c r="H784" i="12"/>
  <c r="H783" i="12"/>
  <c r="H782" i="12"/>
  <c r="H781" i="12"/>
  <c r="H780" i="12"/>
  <c r="H779" i="12"/>
  <c r="H778" i="12"/>
  <c r="H777" i="12"/>
  <c r="H776" i="12"/>
  <c r="H775" i="12"/>
  <c r="H774" i="12"/>
  <c r="H773" i="12"/>
  <c r="H772" i="12"/>
  <c r="H771" i="12"/>
  <c r="H770" i="12"/>
  <c r="H769" i="12"/>
  <c r="H768" i="12"/>
  <c r="H767" i="12"/>
  <c r="H766" i="12"/>
  <c r="H765" i="12"/>
  <c r="H764" i="12"/>
  <c r="H763" i="12"/>
  <c r="H762" i="12"/>
  <c r="H761" i="12"/>
  <c r="H760" i="12"/>
  <c r="H759" i="12"/>
  <c r="H758" i="12"/>
  <c r="H757" i="12"/>
  <c r="H756" i="12"/>
  <c r="H755" i="12"/>
  <c r="H754" i="12"/>
  <c r="H753" i="12"/>
  <c r="H752" i="12"/>
  <c r="H751" i="12"/>
  <c r="H750" i="12"/>
  <c r="H749" i="12"/>
  <c r="H748" i="12"/>
  <c r="H747" i="12"/>
  <c r="H746" i="12"/>
  <c r="H745" i="12"/>
  <c r="H744" i="12"/>
  <c r="H743" i="12"/>
  <c r="H742" i="12"/>
  <c r="H741" i="12"/>
  <c r="H740" i="12"/>
  <c r="H739" i="12"/>
  <c r="H738" i="12"/>
  <c r="H737" i="12"/>
  <c r="H736" i="12"/>
  <c r="H735" i="12"/>
  <c r="H734" i="12"/>
  <c r="H733" i="12"/>
  <c r="H732" i="12"/>
  <c r="H731" i="12"/>
  <c r="H730" i="12"/>
  <c r="H729" i="12"/>
  <c r="H728" i="12"/>
  <c r="H722" i="12"/>
  <c r="H721" i="12"/>
  <c r="H720" i="12"/>
  <c r="H719" i="12"/>
  <c r="H718" i="12"/>
  <c r="H717" i="12"/>
  <c r="H716" i="12"/>
  <c r="H715" i="12"/>
  <c r="H714" i="12"/>
  <c r="H713" i="12"/>
  <c r="H712" i="12"/>
  <c r="H711" i="12"/>
  <c r="H710" i="12"/>
  <c r="H709" i="12"/>
  <c r="H708" i="12"/>
  <c r="H707" i="12"/>
  <c r="H706" i="12"/>
  <c r="H705" i="12"/>
  <c r="H704" i="12"/>
  <c r="H703" i="12"/>
  <c r="H702" i="12"/>
  <c r="H701" i="12"/>
  <c r="H700" i="12"/>
  <c r="H699" i="12"/>
  <c r="H698" i="12"/>
  <c r="H697" i="12"/>
  <c r="H696" i="12"/>
  <c r="H695" i="12"/>
  <c r="H694" i="12"/>
  <c r="H693" i="12"/>
  <c r="H692" i="12"/>
  <c r="H691" i="12"/>
  <c r="H690" i="12"/>
  <c r="H689" i="12"/>
  <c r="H688" i="12"/>
  <c r="H687" i="12"/>
  <c r="H686" i="12"/>
  <c r="H685" i="12"/>
  <c r="H684" i="12"/>
  <c r="H683" i="12"/>
  <c r="H682" i="12"/>
  <c r="H681" i="12"/>
  <c r="H680" i="12"/>
  <c r="H679" i="12"/>
  <c r="H678" i="12"/>
  <c r="H677" i="12"/>
  <c r="H676" i="12"/>
  <c r="H675" i="12"/>
  <c r="H674" i="12"/>
  <c r="H673" i="12"/>
  <c r="H672" i="12"/>
  <c r="H671" i="12"/>
  <c r="H670" i="12"/>
  <c r="H669" i="12"/>
  <c r="H668" i="12"/>
  <c r="H667" i="12"/>
  <c r="H666" i="12"/>
  <c r="H665" i="12"/>
  <c r="H664" i="12"/>
  <c r="H663" i="12"/>
  <c r="H662" i="12"/>
  <c r="H661" i="12"/>
  <c r="H660" i="12"/>
  <c r="H659" i="12"/>
  <c r="H658" i="12"/>
  <c r="H657" i="12"/>
  <c r="H656" i="12"/>
  <c r="H655" i="12"/>
  <c r="H654" i="12"/>
  <c r="H653" i="12"/>
  <c r="H652" i="12"/>
  <c r="H651" i="12"/>
  <c r="H650" i="12"/>
  <c r="H649" i="12"/>
  <c r="H648" i="12"/>
  <c r="H647" i="12"/>
  <c r="H646" i="12"/>
  <c r="H645" i="12"/>
  <c r="H644" i="12"/>
  <c r="H643" i="12"/>
  <c r="H642" i="12"/>
  <c r="H641" i="12"/>
  <c r="H640" i="12"/>
  <c r="H639" i="12"/>
  <c r="H638" i="12"/>
  <c r="H637" i="12"/>
  <c r="H636" i="12"/>
  <c r="H635" i="12"/>
  <c r="H634" i="12"/>
  <c r="H633" i="12"/>
  <c r="H632" i="12"/>
  <c r="H631" i="12"/>
  <c r="H630" i="12"/>
  <c r="H629" i="12"/>
  <c r="H628" i="12"/>
  <c r="H627" i="12"/>
  <c r="H626" i="12"/>
  <c r="H625" i="12"/>
  <c r="H624" i="12"/>
  <c r="H623" i="12"/>
  <c r="H622" i="12"/>
  <c r="H621" i="12"/>
  <c r="H620" i="12"/>
  <c r="H619" i="12"/>
  <c r="H618" i="12"/>
  <c r="H617" i="12"/>
  <c r="H616" i="12"/>
  <c r="H615" i="12"/>
  <c r="H614" i="12"/>
  <c r="H613" i="12"/>
  <c r="H612" i="12"/>
  <c r="H611" i="12"/>
  <c r="H610" i="12"/>
  <c r="H609" i="12"/>
  <c r="H608" i="12"/>
  <c r="H607" i="12"/>
  <c r="H606" i="12"/>
  <c r="H605" i="12"/>
  <c r="H604" i="12"/>
  <c r="H603" i="12"/>
  <c r="H602" i="12"/>
  <c r="H601" i="12"/>
  <c r="H600" i="12"/>
  <c r="H599" i="12"/>
  <c r="H598" i="12"/>
  <c r="H597" i="12"/>
  <c r="H596" i="12"/>
  <c r="H595" i="12"/>
  <c r="H594" i="12"/>
  <c r="H593" i="12"/>
  <c r="H592" i="12"/>
  <c r="H591" i="12"/>
  <c r="H590" i="12"/>
  <c r="H589" i="12"/>
  <c r="H588" i="12"/>
  <c r="H587" i="12"/>
  <c r="H586" i="12"/>
  <c r="H585" i="12"/>
  <c r="H584" i="12"/>
  <c r="H583" i="12"/>
  <c r="H582" i="12"/>
  <c r="H581" i="12"/>
  <c r="H580" i="12"/>
  <c r="H579" i="12"/>
  <c r="H578" i="12"/>
  <c r="H577" i="12"/>
  <c r="H576" i="12"/>
  <c r="H575" i="12"/>
  <c r="H574" i="12"/>
  <c r="H573" i="12"/>
  <c r="H572" i="12"/>
  <c r="H571" i="12"/>
  <c r="H570" i="12"/>
  <c r="H569" i="12"/>
  <c r="H568" i="12"/>
  <c r="H567" i="12"/>
  <c r="H566" i="12"/>
  <c r="H565" i="12"/>
  <c r="H564" i="12"/>
  <c r="H563" i="12"/>
  <c r="H562" i="12"/>
  <c r="H561" i="12"/>
  <c r="H560" i="12"/>
  <c r="H559" i="12"/>
  <c r="H558" i="12"/>
  <c r="H557" i="12"/>
  <c r="H556" i="12"/>
  <c r="H555" i="12"/>
  <c r="H554" i="12"/>
  <c r="H553" i="12"/>
  <c r="H552" i="12"/>
  <c r="H551" i="12"/>
  <c r="H550" i="12"/>
  <c r="H549" i="12"/>
  <c r="H548" i="12"/>
  <c r="H547" i="12"/>
  <c r="H546" i="12"/>
  <c r="H545" i="12"/>
  <c r="H544" i="12"/>
  <c r="H543" i="12"/>
  <c r="H542" i="12"/>
  <c r="H541" i="12"/>
  <c r="H540" i="12"/>
  <c r="H539" i="12"/>
  <c r="H538" i="12"/>
  <c r="H537" i="12"/>
  <c r="H536" i="12"/>
  <c r="H535" i="12"/>
  <c r="H534" i="12"/>
  <c r="H533" i="12"/>
  <c r="H532" i="12"/>
  <c r="H531" i="12"/>
  <c r="H530" i="12"/>
  <c r="H529" i="12"/>
  <c r="H528" i="12"/>
  <c r="H527" i="12"/>
  <c r="H526" i="12"/>
  <c r="H525" i="12"/>
  <c r="H524" i="12"/>
  <c r="H523" i="12"/>
  <c r="H522" i="12"/>
  <c r="H521" i="12"/>
  <c r="H520" i="12"/>
  <c r="H519" i="12"/>
  <c r="H518" i="12"/>
  <c r="H517" i="12"/>
  <c r="H516" i="12"/>
  <c r="H515" i="12"/>
  <c r="H514" i="12"/>
  <c r="H513" i="12"/>
  <c r="H512" i="12"/>
  <c r="H511" i="12"/>
  <c r="H510" i="12"/>
  <c r="H509" i="12"/>
  <c r="H508" i="12"/>
  <c r="H507" i="12"/>
  <c r="H506" i="12"/>
  <c r="H505" i="12"/>
  <c r="H504" i="12"/>
  <c r="H503" i="12"/>
  <c r="H502" i="12"/>
  <c r="H501" i="12"/>
  <c r="H500" i="12"/>
  <c r="H499" i="12"/>
  <c r="H498" i="12"/>
  <c r="H497" i="12"/>
  <c r="H496" i="12"/>
  <c r="H495" i="12"/>
  <c r="H494" i="12"/>
  <c r="H493" i="12"/>
  <c r="H492" i="12"/>
  <c r="H491" i="12"/>
  <c r="H490" i="12"/>
  <c r="H489" i="12"/>
  <c r="H488" i="12"/>
  <c r="H487" i="12"/>
  <c r="H486" i="12"/>
  <c r="H485" i="12"/>
  <c r="H484" i="12"/>
  <c r="H483" i="12"/>
  <c r="H482" i="12"/>
  <c r="H481" i="12"/>
  <c r="H480" i="12"/>
  <c r="H479" i="12"/>
  <c r="H478" i="12"/>
  <c r="H477" i="12"/>
  <c r="H476" i="12"/>
  <c r="H475" i="12"/>
  <c r="H474" i="12"/>
  <c r="H473" i="12"/>
  <c r="H472" i="12"/>
  <c r="H471" i="12"/>
  <c r="H470" i="12"/>
  <c r="H469" i="12"/>
  <c r="H468" i="12"/>
  <c r="H467" i="12"/>
  <c r="H466" i="12"/>
  <c r="H465" i="12"/>
  <c r="H464" i="12"/>
  <c r="H463" i="12"/>
  <c r="H462" i="12"/>
  <c r="H461" i="12"/>
  <c r="H460" i="12"/>
  <c r="H459" i="12"/>
  <c r="H458" i="12"/>
  <c r="H457" i="12"/>
  <c r="H456" i="12"/>
  <c r="H455" i="12"/>
  <c r="H454" i="12"/>
  <c r="H453" i="12"/>
  <c r="H452" i="12"/>
  <c r="H451" i="12"/>
  <c r="H450" i="12"/>
  <c r="H449" i="12"/>
  <c r="H448" i="12"/>
  <c r="H447" i="12"/>
  <c r="H446" i="12"/>
  <c r="H445" i="12"/>
  <c r="H444" i="12"/>
  <c r="H443" i="12"/>
  <c r="H442" i="12"/>
  <c r="H441" i="12"/>
  <c r="H440" i="12"/>
  <c r="H439" i="12"/>
  <c r="H438" i="12"/>
  <c r="H437" i="12"/>
  <c r="H436" i="12"/>
  <c r="H435" i="12"/>
  <c r="H434" i="12"/>
  <c r="H433" i="12"/>
  <c r="H432" i="12"/>
  <c r="H431" i="12"/>
  <c r="H430" i="12"/>
  <c r="H429" i="12"/>
  <c r="H428" i="12"/>
  <c r="H427" i="12"/>
  <c r="H426" i="12"/>
  <c r="H425" i="12"/>
  <c r="H424" i="12"/>
  <c r="H423" i="12"/>
  <c r="H422" i="12"/>
  <c r="H421" i="12"/>
  <c r="H420" i="12"/>
  <c r="H419" i="12"/>
  <c r="H418" i="12"/>
  <c r="H417" i="12"/>
  <c r="H416" i="12"/>
  <c r="H415" i="12"/>
  <c r="H414" i="12"/>
  <c r="H413" i="12"/>
  <c r="H412" i="12"/>
  <c r="H411" i="12"/>
  <c r="H410" i="12"/>
  <c r="H409" i="12"/>
  <c r="H408" i="12"/>
  <c r="H407" i="12"/>
  <c r="H406" i="12"/>
  <c r="H405" i="12"/>
  <c r="H404" i="12"/>
  <c r="H403" i="12"/>
  <c r="H402" i="12"/>
  <c r="H401" i="12"/>
  <c r="H400" i="12"/>
  <c r="H399" i="12"/>
  <c r="H398" i="12"/>
  <c r="H397" i="12"/>
  <c r="H396" i="12"/>
  <c r="H395" i="12"/>
  <c r="H394" i="12"/>
  <c r="H393" i="12"/>
  <c r="H392" i="12"/>
  <c r="H391" i="12"/>
  <c r="H390" i="12"/>
  <c r="H389" i="12"/>
  <c r="H388" i="12"/>
  <c r="H387" i="12"/>
  <c r="H386" i="12"/>
  <c r="H385" i="12"/>
  <c r="H384" i="12"/>
  <c r="H383" i="12"/>
  <c r="H382" i="12"/>
  <c r="H381" i="12"/>
  <c r="H380" i="12"/>
  <c r="H379" i="12"/>
  <c r="H378" i="12"/>
  <c r="H377" i="12"/>
  <c r="H376" i="12"/>
  <c r="H375" i="12"/>
  <c r="H374" i="12"/>
  <c r="H373" i="12"/>
  <c r="H372" i="12"/>
  <c r="H371" i="12"/>
  <c r="H370" i="12"/>
  <c r="H369" i="12"/>
  <c r="H368" i="12"/>
  <c r="H367" i="12"/>
  <c r="H366" i="12"/>
  <c r="H365" i="12"/>
  <c r="H364" i="12"/>
  <c r="H363" i="12"/>
  <c r="H362" i="12"/>
  <c r="H361" i="12"/>
  <c r="H360" i="12"/>
  <c r="H359" i="12"/>
  <c r="H358" i="12"/>
  <c r="H357" i="12"/>
  <c r="H356" i="12"/>
  <c r="H355" i="12"/>
  <c r="H354" i="12"/>
  <c r="H353" i="12"/>
  <c r="H352" i="12"/>
  <c r="H351" i="12"/>
  <c r="H350" i="12"/>
  <c r="H349" i="12"/>
  <c r="H348" i="12"/>
  <c r="H347" i="12"/>
  <c r="H346" i="12"/>
  <c r="H345" i="12"/>
  <c r="H344" i="12"/>
  <c r="H343" i="12"/>
  <c r="H342" i="12"/>
  <c r="H341" i="12"/>
  <c r="H340" i="12"/>
  <c r="H339" i="12"/>
  <c r="H338" i="12"/>
  <c r="H337" i="12"/>
  <c r="H336" i="12"/>
  <c r="H335" i="12"/>
  <c r="H334" i="12"/>
  <c r="H333" i="12"/>
  <c r="H332" i="12"/>
  <c r="H331" i="12"/>
  <c r="H330" i="12"/>
  <c r="H329" i="12"/>
  <c r="H328" i="12"/>
  <c r="H327" i="12"/>
  <c r="H326" i="12"/>
  <c r="H325" i="12"/>
  <c r="H324" i="12"/>
  <c r="H323" i="12"/>
  <c r="H322" i="12"/>
  <c r="H321" i="12"/>
  <c r="H320" i="12"/>
  <c r="H319" i="12"/>
  <c r="H318" i="12"/>
  <c r="H317" i="12"/>
  <c r="H316" i="12"/>
  <c r="H315" i="12"/>
  <c r="H314" i="12"/>
  <c r="H313" i="12"/>
  <c r="H312" i="12"/>
  <c r="H311" i="12"/>
  <c r="H310" i="12"/>
  <c r="H309" i="12"/>
  <c r="H308" i="12"/>
  <c r="H307" i="12"/>
  <c r="H306" i="12"/>
  <c r="H305" i="12"/>
  <c r="H304" i="12"/>
  <c r="H303" i="12"/>
  <c r="H302" i="12"/>
  <c r="H301" i="12"/>
  <c r="H300" i="12"/>
  <c r="H299" i="12"/>
  <c r="H298" i="12"/>
  <c r="H297" i="12"/>
  <c r="H296" i="12"/>
  <c r="H295" i="12"/>
  <c r="H294" i="12"/>
  <c r="H293" i="12"/>
  <c r="H292" i="12"/>
  <c r="H291" i="12"/>
  <c r="H290" i="12"/>
  <c r="H289" i="12"/>
  <c r="H288" i="12"/>
  <c r="H287" i="12"/>
  <c r="H286" i="12"/>
  <c r="H285" i="12"/>
  <c r="H284" i="12"/>
  <c r="H283" i="12"/>
  <c r="H282" i="12"/>
  <c r="H281" i="12"/>
  <c r="H280" i="12"/>
  <c r="H279" i="12"/>
  <c r="H278" i="12"/>
  <c r="H277" i="12"/>
  <c r="H276" i="12"/>
  <c r="H275" i="12"/>
  <c r="H274" i="12"/>
  <c r="H273" i="12"/>
  <c r="H272" i="12"/>
  <c r="H271" i="12"/>
  <c r="H270" i="12"/>
  <c r="H269" i="12"/>
  <c r="H268" i="12"/>
  <c r="H267" i="12"/>
  <c r="H266" i="12"/>
  <c r="H265" i="12"/>
  <c r="H264" i="12"/>
  <c r="H263" i="12"/>
  <c r="H262" i="12"/>
  <c r="H261" i="12"/>
  <c r="H260" i="12"/>
  <c r="H259" i="12"/>
  <c r="H258" i="12"/>
  <c r="H257" i="12"/>
  <c r="H256" i="12"/>
  <c r="H255" i="12"/>
  <c r="H254" i="12"/>
  <c r="H253" i="12"/>
  <c r="H252" i="12"/>
  <c r="H251" i="12"/>
  <c r="H250" i="12"/>
  <c r="H249" i="12"/>
  <c r="H248" i="12"/>
  <c r="H247" i="12"/>
  <c r="H246" i="12"/>
  <c r="H245" i="12"/>
  <c r="H244" i="12"/>
  <c r="H243" i="12"/>
  <c r="H242" i="12"/>
  <c r="H241" i="12"/>
  <c r="H240" i="12"/>
  <c r="H239" i="12"/>
  <c r="H238" i="12"/>
  <c r="H237" i="12"/>
  <c r="H236" i="12"/>
  <c r="H235" i="12"/>
  <c r="H234" i="12"/>
  <c r="H233" i="12"/>
  <c r="H232" i="12"/>
  <c r="H231" i="12"/>
  <c r="H230" i="12"/>
  <c r="H229" i="12"/>
  <c r="H228" i="12"/>
  <c r="H227" i="12"/>
  <c r="H226" i="12"/>
  <c r="H225" i="12"/>
  <c r="H224" i="12"/>
  <c r="H223" i="12"/>
  <c r="H222" i="12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H192" i="12"/>
  <c r="H191" i="12"/>
  <c r="H190" i="12"/>
  <c r="H189" i="12"/>
  <c r="H188" i="12"/>
  <c r="H187" i="12"/>
  <c r="H186" i="12"/>
  <c r="H185" i="12"/>
  <c r="H184" i="12"/>
  <c r="H183" i="12"/>
  <c r="H182" i="12"/>
  <c r="H181" i="12"/>
  <c r="H180" i="12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B37" i="13"/>
  <c r="B15" i="13"/>
  <c r="B8" i="13"/>
</calcChain>
</file>

<file path=xl/sharedStrings.xml><?xml version="1.0" encoding="utf-8"?>
<sst xmlns="http://schemas.openxmlformats.org/spreadsheetml/2006/main" count="9138" uniqueCount="1441">
  <si>
    <t>ORIGEN DE RECLAMO INCA</t>
  </si>
  <si>
    <t>Indicador de OEA</t>
  </si>
  <si>
    <t>Tipo de documento</t>
  </si>
  <si>
    <t>Número documento</t>
  </si>
  <si>
    <t>Nombre o Razón Social</t>
  </si>
  <si>
    <t>Número de Expediente</t>
  </si>
  <si>
    <t xml:space="preserve">Fecha de Presentación </t>
  </si>
  <si>
    <t>Fecha_vencimiento</t>
  </si>
  <si>
    <t>RUC</t>
  </si>
  <si>
    <t>estado (vencido/no vencido)</t>
  </si>
  <si>
    <t>Resolutor</t>
  </si>
  <si>
    <t>Supervisión</t>
  </si>
  <si>
    <t>División</t>
  </si>
  <si>
    <t>Número de Resolución</t>
  </si>
  <si>
    <t>Fecha de emisión de RI</t>
  </si>
  <si>
    <t>Fecha de depósito en SINE</t>
  </si>
  <si>
    <t>No</t>
  </si>
  <si>
    <t xml:space="preserve">Fecha </t>
  </si>
  <si>
    <t>Feriado</t>
  </si>
  <si>
    <t>Jueves Santo</t>
  </si>
  <si>
    <t>Viernes Santo</t>
  </si>
  <si>
    <t>Día del Trabajo</t>
  </si>
  <si>
    <t>San Pedro y San Pablo</t>
  </si>
  <si>
    <t>Independencia del Perú</t>
  </si>
  <si>
    <t>Día de las Fuerzas Armadas</t>
  </si>
  <si>
    <t>Santa Rosa de Lima</t>
  </si>
  <si>
    <t>Día de Todos los Santos</t>
  </si>
  <si>
    <t>Día de la Inmaculada Concepción</t>
  </si>
  <si>
    <t>Batalla de Ayacucho</t>
  </si>
  <si>
    <t>Navidad</t>
  </si>
  <si>
    <t>Año Nuevo</t>
  </si>
  <si>
    <t>Combate de Angamos</t>
  </si>
  <si>
    <t>No vencido</t>
  </si>
  <si>
    <t>7U7300</t>
  </si>
  <si>
    <t>Día de la Bandera</t>
  </si>
  <si>
    <t>Día de la Fuerza Aérea del Perú</t>
  </si>
  <si>
    <t>Batalla de Junín</t>
  </si>
  <si>
    <t>RESULTADO</t>
  </si>
  <si>
    <t>COMPLEJIDAD</t>
  </si>
  <si>
    <t>INFUNDADO</t>
  </si>
  <si>
    <t>FUNDADO</t>
  </si>
  <si>
    <t>Q</t>
  </si>
  <si>
    <t>CONCEPTO</t>
  </si>
  <si>
    <t>C. SANCHEZ FERRER</t>
  </si>
  <si>
    <t>AJUSTE DE VALOR - OMC</t>
  </si>
  <si>
    <t>AJUSTE DE VALOR LEY DE DELITOS ADUANEROS</t>
  </si>
  <si>
    <t>CLASIFICACION ARANCELARIA MULTA</t>
  </si>
  <si>
    <t>CLASIFICACION ARANCELARIA TRIBUTOS</t>
  </si>
  <si>
    <t>COMISO LDA</t>
  </si>
  <si>
    <t>COMISO LGA</t>
  </si>
  <si>
    <t>DEVOLUCION - AJUSTE DE VALOR</t>
  </si>
  <si>
    <t>DEVOLUCIONES - TPI</t>
  </si>
  <si>
    <t>DEVOLUCIONES OTRAS</t>
  </si>
  <si>
    <t>DISPOSICIÓN DE MERCANCÍAS</t>
  </si>
  <si>
    <t>DRAWBACK - RESTITUCIÓN DE DERECHOS ARANCELARIOS</t>
  </si>
  <si>
    <t>INAFECTACIONES EXONERACIONES -TPN</t>
  </si>
  <si>
    <t>ISC - DERECHOS ESPECIFICOS</t>
  </si>
  <si>
    <t>LEGAJAMIENTO O RECTIFICACION DE OFICIO</t>
  </si>
  <si>
    <t>LEY_28194_MEDIOS DE PAGO FINANCIEROS</t>
  </si>
  <si>
    <t>MERCANCIA RESTRINGIDA Y/O PROHIBIDA</t>
  </si>
  <si>
    <t>MULTA _LDA</t>
  </si>
  <si>
    <t>MULTA _LGA</t>
  </si>
  <si>
    <t>OTRAS SANCIONES LEY GENERAL DE ADUANAS</t>
  </si>
  <si>
    <t>OTRAS SANCIONES_LEY_DELITOS_ADUANEROS</t>
  </si>
  <si>
    <t>OTROS_NO_CONTEMPLADOS_EN_LOS_DEMÁS_DESCRIPTORES</t>
  </si>
  <si>
    <t>PECO _LEY DE AMAZONÍA</t>
  </si>
  <si>
    <t>PÉRDIDA_FRACCIONAMIENTO_EXTINCIÓN</t>
  </si>
  <si>
    <t>PRESCRIPCION</t>
  </si>
  <si>
    <t>PROCESAL (Desistimiento, Abandono, Carece de objeto, Archivo)</t>
  </si>
  <si>
    <t>REEMBARQUE</t>
  </si>
  <si>
    <t>RÉGIMEN_GRADUALIDAD</t>
  </si>
  <si>
    <t>REGÍMENES ADUANEROS</t>
  </si>
  <si>
    <t>REGÍMENES ESPECIALES</t>
  </si>
  <si>
    <t>SANCIÓN_NO_DECLARAR_DINERO_INGRESO_SALIDA_PAÍS</t>
  </si>
  <si>
    <t>TRATADOS INTERNACIONALES (TPI)</t>
  </si>
  <si>
    <t>ALTA</t>
  </si>
  <si>
    <t>Monto Reclamado Multa S/.</t>
  </si>
  <si>
    <t>4594 CARLOS ALBERTO, LOPEZ CORNELIO</t>
  </si>
  <si>
    <t>4990-CECILIA PATRICIA, PANTOJA URIZAR GARFIAS</t>
  </si>
  <si>
    <t>Dia de la Independencia</t>
  </si>
  <si>
    <t>Inmaculada Concepción</t>
  </si>
  <si>
    <t>20513251506</t>
  </si>
  <si>
    <t>VALERO PERU S.A.C.</t>
  </si>
  <si>
    <t>20100128218</t>
  </si>
  <si>
    <t>PETROLEOS DEL PERU PETROPERU SA</t>
  </si>
  <si>
    <t>20100147514</t>
  </si>
  <si>
    <t>SOUTHERN PERU COPPER CORPORATION, SUCURSAL DEL PERÚ</t>
  </si>
  <si>
    <t>20543754332</t>
  </si>
  <si>
    <t>VENTUS CORP PERU S.A.C.</t>
  </si>
  <si>
    <t>4700-CARLOS ENRIQUE, MAURO SAMPEN</t>
  </si>
  <si>
    <t>20501887286</t>
  </si>
  <si>
    <t>DIAGNOSTICA PERUANA S.A.C.</t>
  </si>
  <si>
    <t>Nro de Programa</t>
  </si>
  <si>
    <t>7575-EVELYN JANET, PACHECO TENA</t>
  </si>
  <si>
    <t>SUBTEMA</t>
  </si>
  <si>
    <t>SUB TEMA</t>
  </si>
  <si>
    <t>AREA DE ORIGEN</t>
  </si>
  <si>
    <t>OMC- Gastos de Ingeniería</t>
  </si>
  <si>
    <t>OMC- Regalías</t>
  </si>
  <si>
    <t>Prevención</t>
  </si>
  <si>
    <t>OMC- Valoración Empresas Vinculadas</t>
  </si>
  <si>
    <t>Recaudación</t>
  </si>
  <si>
    <t>Ajuste de Valor 1ro método</t>
  </si>
  <si>
    <t>Tributos Internos</t>
  </si>
  <si>
    <t>Ajuste de Valor 2do método</t>
  </si>
  <si>
    <t>Ajuste de Valor 3er método</t>
  </si>
  <si>
    <t>Ajuste de Valor 4to método</t>
  </si>
  <si>
    <t>Ajuste de Valor 5to método</t>
  </si>
  <si>
    <t>Ajuste de Valor 6to método</t>
  </si>
  <si>
    <t>Ajuste de valor pagos adicionales LDA.</t>
  </si>
  <si>
    <t>Ajuste de valor pagos adicionales OMC.</t>
  </si>
  <si>
    <t>Admisión temporal para perfeccionamiento activo</t>
  </si>
  <si>
    <t>Admisión Temporal para Reexportar mismo estado</t>
  </si>
  <si>
    <t>Antidumping/derechos compensatorios/salvaguardias</t>
  </si>
  <si>
    <t>Diplomáticos</t>
  </si>
  <si>
    <t>Donaciones</t>
  </si>
  <si>
    <t>Drawback - encargo a terceros</t>
  </si>
  <si>
    <t>Drawback - insumo con tpi</t>
  </si>
  <si>
    <t>Drawback - mercancía no sujeta a restitución</t>
  </si>
  <si>
    <t>Drawback - no productor exportador</t>
  </si>
  <si>
    <t>Drawback- 20 millones</t>
  </si>
  <si>
    <t>Duplicidad de criterio</t>
  </si>
  <si>
    <t>Impuesto al rodaje (IRO)</t>
  </si>
  <si>
    <t>LDA - Cierre de local</t>
  </si>
  <si>
    <t>LDA - Multa conductor</t>
  </si>
  <si>
    <t>LDA - Receptación</t>
  </si>
  <si>
    <t>LDA - Suspensión Licencia de Conducir</t>
  </si>
  <si>
    <t>LDA- Multa emp. Transportes</t>
  </si>
  <si>
    <t>Material de guerra</t>
  </si>
  <si>
    <t>Ley de Migraciones</t>
  </si>
  <si>
    <t>Mercancía restringida</t>
  </si>
  <si>
    <t>Mercancía prohibida</t>
  </si>
  <si>
    <t>No comunicar salida de vehículo con carga. (Almacenes aduaneros)</t>
  </si>
  <si>
    <t>No mantener requisitos OCE</t>
  </si>
  <si>
    <t>No proporcionar información dentro de plazo</t>
  </si>
  <si>
    <t>Origen - Requisitos de negociación</t>
  </si>
  <si>
    <t>Origen (incluye C.O.)</t>
  </si>
  <si>
    <t>Origen - Expedición directa</t>
  </si>
  <si>
    <t>Reposición de Mercancias en Franquicia</t>
  </si>
  <si>
    <t>Responsabilidad solidaria</t>
  </si>
  <si>
    <t>Sector Educación</t>
  </si>
  <si>
    <t>TLC</t>
  </si>
  <si>
    <t>Origen</t>
  </si>
  <si>
    <t>Drawback - Notas de crédito_ otras deducciones</t>
  </si>
  <si>
    <t>Drawback - Insumo importado no incoporado o no consumido</t>
  </si>
  <si>
    <t>16/06/2025</t>
  </si>
  <si>
    <t>20/06/2025</t>
  </si>
  <si>
    <t>10237030465</t>
  </si>
  <si>
    <t>MALLQUI CCENTE ALBERTO</t>
  </si>
  <si>
    <t>10/07/2025</t>
  </si>
  <si>
    <t>11/07/2025</t>
  </si>
  <si>
    <t>20548112509</t>
  </si>
  <si>
    <t>ZOETIS S.R.L.</t>
  </si>
  <si>
    <t>30/07/2025</t>
  </si>
  <si>
    <t>7148-JESUS ANGEL, GARCIA RODRIGUEZ</t>
  </si>
  <si>
    <t>Fiscalización</t>
  </si>
  <si>
    <t>FUNDADO EN PARTE</t>
  </si>
  <si>
    <t>No cosignar código aprobados correcta liquidación</t>
  </si>
  <si>
    <t>13/08/2025</t>
  </si>
  <si>
    <t>20506006024</t>
  </si>
  <si>
    <t>AUTOMOTORES GILDEMEISTER PERU S.A.C.</t>
  </si>
  <si>
    <t>20/08/2025</t>
  </si>
  <si>
    <t>27/08/2025</t>
  </si>
  <si>
    <t>28/08/2025</t>
  </si>
  <si>
    <t>29/08/2025</t>
  </si>
  <si>
    <t>Carece de documentación aduanera pertinente.</t>
  </si>
  <si>
    <t>11/09/2025</t>
  </si>
  <si>
    <t>12/09/2025</t>
  </si>
  <si>
    <t>23/09/2025</t>
  </si>
  <si>
    <t>2694-GUSTAVO RICARDO, BERNUY NUÑEZ</t>
  </si>
  <si>
    <t>30/09/2025</t>
  </si>
  <si>
    <t>Condiciones de la transacción.</t>
  </si>
  <si>
    <t>20101520898</t>
  </si>
  <si>
    <t>FARGOLINE SOCIEDAD ANONIMA - FARGOLINE S.A.</t>
  </si>
  <si>
    <t>Mes RD</t>
  </si>
  <si>
    <t>Año RD</t>
  </si>
  <si>
    <t>Monto Reclamado  Tributos S/.</t>
  </si>
  <si>
    <t>MEDIANA</t>
  </si>
  <si>
    <t>BAJA</t>
  </si>
  <si>
    <t>Item</t>
  </si>
  <si>
    <t>7660-MARCO LUCIO, FOURNIER CASTILLO</t>
  </si>
  <si>
    <t>A favor de SUNAT Tributos S/</t>
  </si>
  <si>
    <t>A favor de SUNAT Multa S/</t>
  </si>
  <si>
    <t>A favor de Contribuyente Tributos S/</t>
  </si>
  <si>
    <t>A favor de Contribuyente Multa S/</t>
  </si>
  <si>
    <t>DIFICULTAD</t>
  </si>
  <si>
    <t>MULTA ALTA</t>
  </si>
  <si>
    <t>TEMA</t>
  </si>
  <si>
    <t>EVALUACION DE FONDO</t>
  </si>
  <si>
    <t>Etapa del Recurso</t>
  </si>
  <si>
    <t>Resolutor asignado</t>
  </si>
  <si>
    <t>Supervisor</t>
  </si>
  <si>
    <t>RECLAMACIÓN</t>
  </si>
  <si>
    <t>4700 CARLOS ENRIQUE, MAURO SAMPEN</t>
  </si>
  <si>
    <t>7660 MARCO LUCIO, FOURNIER CASTILLO</t>
  </si>
  <si>
    <t>2694 GUSTAVO RICARDO, BERNUY NUÑEZ</t>
  </si>
  <si>
    <t>20601634237</t>
  </si>
  <si>
    <t>GRUPO CASAMAT E.I.R.L.</t>
  </si>
  <si>
    <t>4090340017682</t>
  </si>
  <si>
    <t>09/06/2025</t>
  </si>
  <si>
    <t>7148 JESUS ANGEL, GARCIA RODRIGUEZ</t>
  </si>
  <si>
    <t>4090340017889</t>
  </si>
  <si>
    <t>12/06/2025</t>
  </si>
  <si>
    <t>7575 EVELYN JANET, PACHECO TENA</t>
  </si>
  <si>
    <t>20171586608</t>
  </si>
  <si>
    <t>DISTRIBUIDORA DROGUERIA SAGITARIO S.R.L.</t>
  </si>
  <si>
    <t>4090340018572</t>
  </si>
  <si>
    <t>4090340018575</t>
  </si>
  <si>
    <t>4090340018576</t>
  </si>
  <si>
    <t>4090340018578</t>
  </si>
  <si>
    <t>4090340017859</t>
  </si>
  <si>
    <t>4090340017873</t>
  </si>
  <si>
    <t>4090340017930</t>
  </si>
  <si>
    <t>4090340017933</t>
  </si>
  <si>
    <t>4090340017935</t>
  </si>
  <si>
    <t>4090340018340</t>
  </si>
  <si>
    <t>10739880667</t>
  </si>
  <si>
    <t>PARIGUANA CASTILLO PAMELA</t>
  </si>
  <si>
    <t>4090340020458</t>
  </si>
  <si>
    <t>23/06/2025</t>
  </si>
  <si>
    <t>4090340018478</t>
  </si>
  <si>
    <t>10471898959</t>
  </si>
  <si>
    <t>YAPUCHURA VELASQUEZ JUAN CARLOS</t>
  </si>
  <si>
    <t>4090340018513</t>
  </si>
  <si>
    <t>4090340018516</t>
  </si>
  <si>
    <t>4090340018517</t>
  </si>
  <si>
    <t>20601693357</t>
  </si>
  <si>
    <t>MOTORS &amp; PARTS INDUSTRIES PERU S.A.C.</t>
  </si>
  <si>
    <t>4090340018746</t>
  </si>
  <si>
    <t>24/07/2025</t>
  </si>
  <si>
    <t>4090340018858</t>
  </si>
  <si>
    <t>20612931951</t>
  </si>
  <si>
    <t>TECNOLOGIA Y TENDENCIA S.A.C.</t>
  </si>
  <si>
    <t>4090340018974</t>
  </si>
  <si>
    <t>01/08/2025</t>
  </si>
  <si>
    <t>20603855575</t>
  </si>
  <si>
    <t>CARGO WAY LOGISTICS PERU S.A.C.</t>
  </si>
  <si>
    <t>4090340018930</t>
  </si>
  <si>
    <t>04/08/2025</t>
  </si>
  <si>
    <t>20604126267</t>
  </si>
  <si>
    <t>IMPORTACIONES DAPHSU E.I.R.L.</t>
  </si>
  <si>
    <t>4090340018931</t>
  </si>
  <si>
    <t>20519461545</t>
  </si>
  <si>
    <t>NEW TRADE PERU S.A.C.</t>
  </si>
  <si>
    <t>4090340019185</t>
  </si>
  <si>
    <t>05/08/2025</t>
  </si>
  <si>
    <t>4090340019261</t>
  </si>
  <si>
    <t>08/08/2025</t>
  </si>
  <si>
    <t>4090340019200</t>
  </si>
  <si>
    <t>20501900487</t>
  </si>
  <si>
    <t>HIPRA PERU S.A.C.</t>
  </si>
  <si>
    <t>4090340019096</t>
  </si>
  <si>
    <t>11/08/2025</t>
  </si>
  <si>
    <t>20612266264</t>
  </si>
  <si>
    <t>RTH IMPORTACIONES SOCIEDAD ANÓNIMA CERRADA</t>
  </si>
  <si>
    <t>4090340019078</t>
  </si>
  <si>
    <t>20518940229</t>
  </si>
  <si>
    <t>SOUDAL PERU S.A.</t>
  </si>
  <si>
    <t>4090340019126</t>
  </si>
  <si>
    <t>12/08/2025</t>
  </si>
  <si>
    <t>4090340019085</t>
  </si>
  <si>
    <t>4990 CECILIA PATRICIA, PANTOJA URIZAR GARFIAS</t>
  </si>
  <si>
    <t>20451643577</t>
  </si>
  <si>
    <t>BRAFA IMPORT EXPORT S.A.C</t>
  </si>
  <si>
    <t>4090340019088</t>
  </si>
  <si>
    <t>4090340019101</t>
  </si>
  <si>
    <t>20601799040</t>
  </si>
  <si>
    <t>ASOCIACION DE PRODUCTORES AGROINDUSTRIALES KALLPA-APAGRO</t>
  </si>
  <si>
    <t>4090340019181</t>
  </si>
  <si>
    <t>4090340019184</t>
  </si>
  <si>
    <t>20340584237</t>
  </si>
  <si>
    <t>CAMPOSOL S.A.</t>
  </si>
  <si>
    <t>4090340019127</t>
  </si>
  <si>
    <t>20554201220</t>
  </si>
  <si>
    <t>DIFER PERU SOCIEDAD ANONIMA CERRADA - DIFER PERU S.A.C.</t>
  </si>
  <si>
    <t>4090340019130</t>
  </si>
  <si>
    <t>4090340019132</t>
  </si>
  <si>
    <t>4090340019139</t>
  </si>
  <si>
    <t>4090340019145</t>
  </si>
  <si>
    <t>4090340019146</t>
  </si>
  <si>
    <t>4090340019163</t>
  </si>
  <si>
    <t>4090340019113</t>
  </si>
  <si>
    <t>4090340019114</t>
  </si>
  <si>
    <t>4090340019115</t>
  </si>
  <si>
    <t>4090340019116</t>
  </si>
  <si>
    <t>4090340019117</t>
  </si>
  <si>
    <t>4090340019118</t>
  </si>
  <si>
    <t>4090340019182</t>
  </si>
  <si>
    <t>14/08/2025</t>
  </si>
  <si>
    <t>4090340019183</t>
  </si>
  <si>
    <t>4090340019147</t>
  </si>
  <si>
    <t>4090340019148</t>
  </si>
  <si>
    <t>4090340019150</t>
  </si>
  <si>
    <t>4090340019152</t>
  </si>
  <si>
    <t>4090340019154</t>
  </si>
  <si>
    <t>4090340019156</t>
  </si>
  <si>
    <t>4090340019157</t>
  </si>
  <si>
    <t>4090340019159</t>
  </si>
  <si>
    <t>4090340019160</t>
  </si>
  <si>
    <t>4090340019161</t>
  </si>
  <si>
    <t>4090340019162</t>
  </si>
  <si>
    <t>4090340019166</t>
  </si>
  <si>
    <t>4090340019167</t>
  </si>
  <si>
    <t>4090340019168</t>
  </si>
  <si>
    <t>4090340019169</t>
  </si>
  <si>
    <t>4090340019170</t>
  </si>
  <si>
    <t>4090340019171</t>
  </si>
  <si>
    <t>4090340019173</t>
  </si>
  <si>
    <t>4090340019174</t>
  </si>
  <si>
    <t>4090340019175</t>
  </si>
  <si>
    <t>4090340019176</t>
  </si>
  <si>
    <t>20538245951</t>
  </si>
  <si>
    <t>LATIN INTERNATIONAL TRADE E.I.R.L.</t>
  </si>
  <si>
    <t>4090340019304</t>
  </si>
  <si>
    <t>4090340019305</t>
  </si>
  <si>
    <t>20515108794</t>
  </si>
  <si>
    <t>COLOMBINA DEL PERU S.A.C.</t>
  </si>
  <si>
    <t>4090340019276</t>
  </si>
  <si>
    <t>4090340019284</t>
  </si>
  <si>
    <t>4090340019285</t>
  </si>
  <si>
    <t>20611336561</t>
  </si>
  <si>
    <t>EQUIPAMIENTO ILUMI S.A.C.</t>
  </si>
  <si>
    <t>4090340019387</t>
  </si>
  <si>
    <t>20552580151</t>
  </si>
  <si>
    <t>FEI IMPORT &amp; EXPORT S.A.C.</t>
  </si>
  <si>
    <t>4090340020179</t>
  </si>
  <si>
    <t>4090340019934</t>
  </si>
  <si>
    <t>4090340019935</t>
  </si>
  <si>
    <t>4090340019936</t>
  </si>
  <si>
    <t>4090340019937</t>
  </si>
  <si>
    <t>4090340019938</t>
  </si>
  <si>
    <t>4090340019939</t>
  </si>
  <si>
    <t>4090340019940</t>
  </si>
  <si>
    <t>4090340019941</t>
  </si>
  <si>
    <t>4090340019942</t>
  </si>
  <si>
    <t>4090340019712</t>
  </si>
  <si>
    <t>4090340019707</t>
  </si>
  <si>
    <t>4090340019944</t>
  </si>
  <si>
    <t>4090340019945</t>
  </si>
  <si>
    <t>4090340019946</t>
  </si>
  <si>
    <t>4090340019948</t>
  </si>
  <si>
    <t>4090340019949</t>
  </si>
  <si>
    <t>4090340019950</t>
  </si>
  <si>
    <t>4090340019951</t>
  </si>
  <si>
    <t>4090340019952</t>
  </si>
  <si>
    <t>4090340019953</t>
  </si>
  <si>
    <t>4090340019955</t>
  </si>
  <si>
    <t>4090340019719</t>
  </si>
  <si>
    <t>4090340019957</t>
  </si>
  <si>
    <t>4090340019958</t>
  </si>
  <si>
    <t>4090340019960</t>
  </si>
  <si>
    <t>4090340019691</t>
  </si>
  <si>
    <t>4090340019961</t>
  </si>
  <si>
    <t>4090340019692</t>
  </si>
  <si>
    <t>4090340019715</t>
  </si>
  <si>
    <t>4090340019962</t>
  </si>
  <si>
    <t>4090340019964</t>
  </si>
  <si>
    <t>4090340019693</t>
  </si>
  <si>
    <t>4090340019966</t>
  </si>
  <si>
    <t>4090340019967</t>
  </si>
  <si>
    <t>4090340019968</t>
  </si>
  <si>
    <t>4090340019969</t>
  </si>
  <si>
    <t>4090340019970</t>
  </si>
  <si>
    <t>4090340019971</t>
  </si>
  <si>
    <t>4090340019718</t>
  </si>
  <si>
    <t>4090340019974</t>
  </si>
  <si>
    <t>4090340019975</t>
  </si>
  <si>
    <t>4090340019720</t>
  </si>
  <si>
    <t>4090340019976</t>
  </si>
  <si>
    <t>4090340019694</t>
  </si>
  <si>
    <t>4090340019977</t>
  </si>
  <si>
    <t>4090340019978</t>
  </si>
  <si>
    <t>4090340019979</t>
  </si>
  <si>
    <t>4090340019980</t>
  </si>
  <si>
    <t>4090340019981</t>
  </si>
  <si>
    <t>4090340019982</t>
  </si>
  <si>
    <t>4090340019695</t>
  </si>
  <si>
    <t>4090340019984</t>
  </si>
  <si>
    <t>4090340019985</t>
  </si>
  <si>
    <t>4090340019986</t>
  </si>
  <si>
    <t>4090340019988</t>
  </si>
  <si>
    <t>4090340019989</t>
  </si>
  <si>
    <t>4090340019990</t>
  </si>
  <si>
    <t>4090340019991</t>
  </si>
  <si>
    <t>4090340019993</t>
  </si>
  <si>
    <t>4090340019995</t>
  </si>
  <si>
    <t>4090340019996</t>
  </si>
  <si>
    <t>4090340019998</t>
  </si>
  <si>
    <t>4090340019999</t>
  </si>
  <si>
    <t>4090340020000</t>
  </si>
  <si>
    <t>4090340020001</t>
  </si>
  <si>
    <t>4090340020002</t>
  </si>
  <si>
    <t>4090340020003</t>
  </si>
  <si>
    <t>4090340020005</t>
  </si>
  <si>
    <t>4090340020006</t>
  </si>
  <si>
    <t>4090340020007</t>
  </si>
  <si>
    <t>4090340020009</t>
  </si>
  <si>
    <t>4090340020010</t>
  </si>
  <si>
    <t>4090340020011</t>
  </si>
  <si>
    <t>4090340020012</t>
  </si>
  <si>
    <t>4090340020014</t>
  </si>
  <si>
    <t>4090340020015</t>
  </si>
  <si>
    <t>4090340020016</t>
  </si>
  <si>
    <t>4090340020018</t>
  </si>
  <si>
    <t>4090340020019</t>
  </si>
  <si>
    <t>4090340019697</t>
  </si>
  <si>
    <t>4090340020020</t>
  </si>
  <si>
    <t>4090340020021</t>
  </si>
  <si>
    <t>4090340020022</t>
  </si>
  <si>
    <t>4090340020023</t>
  </si>
  <si>
    <t>4090340019555</t>
  </si>
  <si>
    <t>4090340020025</t>
  </si>
  <si>
    <t>4090340020026</t>
  </si>
  <si>
    <t>4090340020027</t>
  </si>
  <si>
    <t>4090340020030</t>
  </si>
  <si>
    <t>4090340019737</t>
  </si>
  <si>
    <t>4090340020158</t>
  </si>
  <si>
    <t>4090340020034</t>
  </si>
  <si>
    <t>4090340019725</t>
  </si>
  <si>
    <t>4090340020036</t>
  </si>
  <si>
    <t>4090340020041</t>
  </si>
  <si>
    <t>4090340020042</t>
  </si>
  <si>
    <t>4090340019557</t>
  </si>
  <si>
    <t>4090340020044</t>
  </si>
  <si>
    <t>4090340019699</t>
  </si>
  <si>
    <t>4090340020047</t>
  </si>
  <si>
    <t>4090340019559</t>
  </si>
  <si>
    <t>4090340019700</t>
  </si>
  <si>
    <t>4090340019745</t>
  </si>
  <si>
    <t>4090340020054</t>
  </si>
  <si>
    <t>4090340019701</t>
  </si>
  <si>
    <t>4090340019703</t>
  </si>
  <si>
    <t>4090340019560</t>
  </si>
  <si>
    <t>4090340019735</t>
  </si>
  <si>
    <t>4090340020060</t>
  </si>
  <si>
    <t>4090340019739</t>
  </si>
  <si>
    <t>4090340020064</t>
  </si>
  <si>
    <t>4090340019732</t>
  </si>
  <si>
    <t>4090340019751</t>
  </si>
  <si>
    <t>4090340020066</t>
  </si>
  <si>
    <t>4090340019733</t>
  </si>
  <si>
    <t>4090340019561</t>
  </si>
  <si>
    <t>4090340019704</t>
  </si>
  <si>
    <t>4090340020069</t>
  </si>
  <si>
    <t>4090340020070</t>
  </si>
  <si>
    <t>4090340019562</t>
  </si>
  <si>
    <t>4090340019746</t>
  </si>
  <si>
    <t>4090340020072</t>
  </si>
  <si>
    <t>4090340019744</t>
  </si>
  <si>
    <t>4090340020073</t>
  </si>
  <si>
    <t>4090340019563</t>
  </si>
  <si>
    <t>4090340019747</t>
  </si>
  <si>
    <t>4090340020074</t>
  </si>
  <si>
    <t>4090340019564</t>
  </si>
  <si>
    <t>4090340019708</t>
  </si>
  <si>
    <t>4090340019709</t>
  </si>
  <si>
    <t>4090340020075</t>
  </si>
  <si>
    <t>4090340019565</t>
  </si>
  <si>
    <t>4090340019711</t>
  </si>
  <si>
    <t>4090340019566</t>
  </si>
  <si>
    <t>4090340020076</t>
  </si>
  <si>
    <t>4090340020077</t>
  </si>
  <si>
    <t>4090340019713</t>
  </si>
  <si>
    <t>4090340019567</t>
  </si>
  <si>
    <t>4090340020078</t>
  </si>
  <si>
    <t>4090340019568</t>
  </si>
  <si>
    <t>4090340020079</t>
  </si>
  <si>
    <t>4090340019717</t>
  </si>
  <si>
    <t>4090340019569</t>
  </si>
  <si>
    <t>4090340019721</t>
  </si>
  <si>
    <t>4090340019722</t>
  </si>
  <si>
    <t>4090340020080</t>
  </si>
  <si>
    <t>4090340019570</t>
  </si>
  <si>
    <t>4090340019571</t>
  </si>
  <si>
    <t>4090340019724</t>
  </si>
  <si>
    <t>4090340019572</t>
  </si>
  <si>
    <t>4090340019726</t>
  </si>
  <si>
    <t>4090340019573</t>
  </si>
  <si>
    <t>4090340019574</t>
  </si>
  <si>
    <t>4090340019727</t>
  </si>
  <si>
    <t>4090340019575</t>
  </si>
  <si>
    <t>4090340019734</t>
  </si>
  <si>
    <t>4090340019576</t>
  </si>
  <si>
    <t>4090340019577</t>
  </si>
  <si>
    <t>4090340020083</t>
  </si>
  <si>
    <t>4090340019578</t>
  </si>
  <si>
    <t>4090340019740</t>
  </si>
  <si>
    <t>4090340019579</t>
  </si>
  <si>
    <t>4090340019742</t>
  </si>
  <si>
    <t>4090340019580</t>
  </si>
  <si>
    <t>4090340019582</t>
  </si>
  <si>
    <t>4090340019748</t>
  </si>
  <si>
    <t>4090340019583</t>
  </si>
  <si>
    <t>4090340019584</t>
  </si>
  <si>
    <t>4090340019586</t>
  </si>
  <si>
    <t>4090340019749</t>
  </si>
  <si>
    <t>4090340019587</t>
  </si>
  <si>
    <t>4090340019588</t>
  </si>
  <si>
    <t>4090340019750</t>
  </si>
  <si>
    <t>4090340019589</t>
  </si>
  <si>
    <t>4090340019752</t>
  </si>
  <si>
    <t>4090340019753</t>
  </si>
  <si>
    <t>4090340019754</t>
  </si>
  <si>
    <t>4090340019755</t>
  </si>
  <si>
    <t>4090340019756</t>
  </si>
  <si>
    <t>4090340019757</t>
  </si>
  <si>
    <t>4090340019758</t>
  </si>
  <si>
    <t>4090340019759</t>
  </si>
  <si>
    <t>4090340019760</t>
  </si>
  <si>
    <t>4090340019761</t>
  </si>
  <si>
    <t>4090340019762</t>
  </si>
  <si>
    <t>4090340019763</t>
  </si>
  <si>
    <t>4090340019764</t>
  </si>
  <si>
    <t>4090340019765</t>
  </si>
  <si>
    <t>4090340019766</t>
  </si>
  <si>
    <t>4090340019767</t>
  </si>
  <si>
    <t>4090340019768</t>
  </si>
  <si>
    <t>4090340019769</t>
  </si>
  <si>
    <t>4090340020088</t>
  </si>
  <si>
    <t>4090340019770</t>
  </si>
  <si>
    <t>4090340019771</t>
  </si>
  <si>
    <t>4090340019772</t>
  </si>
  <si>
    <t>4090340019774</t>
  </si>
  <si>
    <t>4090340019775</t>
  </si>
  <si>
    <t>4090340019602</t>
  </si>
  <si>
    <t>4090340019777</t>
  </si>
  <si>
    <t>4090340019778</t>
  </si>
  <si>
    <t>4090340019779</t>
  </si>
  <si>
    <t>4090340019780</t>
  </si>
  <si>
    <t>4090340019604</t>
  </si>
  <si>
    <t>4090340019782</t>
  </si>
  <si>
    <t>4090340019783</t>
  </si>
  <si>
    <t>4090340019784</t>
  </si>
  <si>
    <t>4090340019785</t>
  </si>
  <si>
    <t>4090340019786</t>
  </si>
  <si>
    <t>4090340019606</t>
  </si>
  <si>
    <t>4090340019607</t>
  </si>
  <si>
    <t>4090340019789</t>
  </si>
  <si>
    <t>4090340019790</t>
  </si>
  <si>
    <t>4090340019791</t>
  </si>
  <si>
    <t>4090340019793</t>
  </si>
  <si>
    <t>4090340020089</t>
  </si>
  <si>
    <t>4090340019794</t>
  </si>
  <si>
    <t>4090340019608</t>
  </si>
  <si>
    <t>4090340019795</t>
  </si>
  <si>
    <t>4090340019609</t>
  </si>
  <si>
    <t>4090340019796</t>
  </si>
  <si>
    <t>4090340019797</t>
  </si>
  <si>
    <t>4090340019610</t>
  </si>
  <si>
    <t>4090340019611</t>
  </si>
  <si>
    <t>4090340019798</t>
  </si>
  <si>
    <t>4090340019799</t>
  </si>
  <si>
    <t>4090340019613</t>
  </si>
  <si>
    <t>4090340019800</t>
  </si>
  <si>
    <t>4090340019614</t>
  </si>
  <si>
    <t>4090340019801</t>
  </si>
  <si>
    <t>4090340019802</t>
  </si>
  <si>
    <t>4090340019803</t>
  </si>
  <si>
    <t>4090340019804</t>
  </si>
  <si>
    <t>4090340019806</t>
  </si>
  <si>
    <t>4090340019805</t>
  </si>
  <si>
    <t>4090340019615</t>
  </si>
  <si>
    <t>4090340019807</t>
  </si>
  <si>
    <t>4090340019808</t>
  </si>
  <si>
    <t>4090340019616</t>
  </si>
  <si>
    <t>4090340019617</t>
  </si>
  <si>
    <t>4090340019809</t>
  </si>
  <si>
    <t>4090340019810</t>
  </si>
  <si>
    <t>4090340019811</t>
  </si>
  <si>
    <t>4090340019618</t>
  </si>
  <si>
    <t>4090340019619</t>
  </si>
  <si>
    <t>4090340019812</t>
  </si>
  <si>
    <t>4090340019813</t>
  </si>
  <si>
    <t>4090340019814</t>
  </si>
  <si>
    <t>4090340019620</t>
  </si>
  <si>
    <t>4090340019621</t>
  </si>
  <si>
    <t>4090340019815</t>
  </si>
  <si>
    <t>4090340019816</t>
  </si>
  <si>
    <t>4090340019817</t>
  </si>
  <si>
    <t>4090340019622</t>
  </si>
  <si>
    <t>4090340019818</t>
  </si>
  <si>
    <t>4090340019819</t>
  </si>
  <si>
    <t>4090340019623</t>
  </si>
  <si>
    <t>4090340019820</t>
  </si>
  <si>
    <t>4090340019624</t>
  </si>
  <si>
    <t>4090340019821</t>
  </si>
  <si>
    <t>4090340019823</t>
  </si>
  <si>
    <t>4090340019625</t>
  </si>
  <si>
    <t>4090340019824</t>
  </si>
  <si>
    <t>4090340019825</t>
  </si>
  <si>
    <t>4090340019626</t>
  </si>
  <si>
    <t>4090340019826</t>
  </si>
  <si>
    <t>4090340019828</t>
  </si>
  <si>
    <t>4090340019829</t>
  </si>
  <si>
    <t>4090340019628</t>
  </si>
  <si>
    <t>4090340019627</t>
  </si>
  <si>
    <t>4090340019830</t>
  </si>
  <si>
    <t>4090340019629</t>
  </si>
  <si>
    <t>4090340019630</t>
  </si>
  <si>
    <t>4090340019831</t>
  </si>
  <si>
    <t>4090340019832</t>
  </si>
  <si>
    <t>4090340019833</t>
  </si>
  <si>
    <t>4090340019834</t>
  </si>
  <si>
    <t>4090340019835</t>
  </si>
  <si>
    <t>4090340019837</t>
  </si>
  <si>
    <t>4090340019838</t>
  </si>
  <si>
    <t>4090340019839</t>
  </si>
  <si>
    <t>4090340019840</t>
  </si>
  <si>
    <t>4090340019842</t>
  </si>
  <si>
    <t>4090340019843</t>
  </si>
  <si>
    <t>4090340019845</t>
  </si>
  <si>
    <t>4090340019846</t>
  </si>
  <si>
    <t>4090340019631</t>
  </si>
  <si>
    <t>4090340019847</t>
  </si>
  <si>
    <t>4090340019849</t>
  </si>
  <si>
    <t>4090340019850</t>
  </si>
  <si>
    <t>4090340020094</t>
  </si>
  <si>
    <t>4090340019851</t>
  </si>
  <si>
    <t>4090340019632</t>
  </si>
  <si>
    <t>4090340019852</t>
  </si>
  <si>
    <t>4090340019853</t>
  </si>
  <si>
    <t>4090340019854</t>
  </si>
  <si>
    <t>4090340019855</t>
  </si>
  <si>
    <t>4090340019633</t>
  </si>
  <si>
    <t>4090340019856</t>
  </si>
  <si>
    <t>4090340019857</t>
  </si>
  <si>
    <t>4090340019858</t>
  </si>
  <si>
    <t>4090340019860</t>
  </si>
  <si>
    <t>4090340020095</t>
  </si>
  <si>
    <t>4090340019861</t>
  </si>
  <si>
    <t>4090340019863</t>
  </si>
  <si>
    <t>4090340019862</t>
  </si>
  <si>
    <t>4090340019864</t>
  </si>
  <si>
    <t>4090340019865</t>
  </si>
  <si>
    <t>4090340019866</t>
  </si>
  <si>
    <t>4090340019634</t>
  </si>
  <si>
    <t>4090340019868</t>
  </si>
  <si>
    <t>4090340019869</t>
  </si>
  <si>
    <t>4090340019635</t>
  </si>
  <si>
    <t>4090340019636</t>
  </si>
  <si>
    <t>4090340019870</t>
  </si>
  <si>
    <t>4090340019871</t>
  </si>
  <si>
    <t>4090340019872</t>
  </si>
  <si>
    <t>4090340019637</t>
  </si>
  <si>
    <t>4090340019638</t>
  </si>
  <si>
    <t>4090340019639</t>
  </si>
  <si>
    <t>4090340019873</t>
  </si>
  <si>
    <t>4090340019641</t>
  </si>
  <si>
    <t>4090340019642</t>
  </si>
  <si>
    <t>4090340019874</t>
  </si>
  <si>
    <t>4090340019875</t>
  </si>
  <si>
    <t>4090340019644</t>
  </si>
  <si>
    <t>4090340019876</t>
  </si>
  <si>
    <t>4090340019645</t>
  </si>
  <si>
    <t>4090340019646</t>
  </si>
  <si>
    <t>4090340019647</t>
  </si>
  <si>
    <t>4090340019648</t>
  </si>
  <si>
    <t>4090340020098</t>
  </si>
  <si>
    <t>4090340019877</t>
  </si>
  <si>
    <t>4090340019878</t>
  </si>
  <si>
    <t>4090340019879</t>
  </si>
  <si>
    <t>4090340019880</t>
  </si>
  <si>
    <t>4090340019649</t>
  </si>
  <si>
    <t>4090340020099</t>
  </si>
  <si>
    <t>4090340019881</t>
  </si>
  <si>
    <t>4090340019650</t>
  </si>
  <si>
    <t>4090340019883</t>
  </si>
  <si>
    <t>4090340019884</t>
  </si>
  <si>
    <t>4090340019885</t>
  </si>
  <si>
    <t>4090340020100</t>
  </si>
  <si>
    <t>4090340019886</t>
  </si>
  <si>
    <t>4090340019887</t>
  </si>
  <si>
    <t>4090340019656</t>
  </si>
  <si>
    <t>4090340019889</t>
  </si>
  <si>
    <t>4090340019890</t>
  </si>
  <si>
    <t>4090340019891</t>
  </si>
  <si>
    <t>4090340019892</t>
  </si>
  <si>
    <t>4090340019652</t>
  </si>
  <si>
    <t>4090340019894</t>
  </si>
  <si>
    <t>4090340019895</t>
  </si>
  <si>
    <t>4090340019896</t>
  </si>
  <si>
    <t>4090340019897</t>
  </si>
  <si>
    <t>4090340019899</t>
  </si>
  <si>
    <t>4090340019900</t>
  </si>
  <si>
    <t>4090340019651</t>
  </si>
  <si>
    <t>4090340019901</t>
  </si>
  <si>
    <t>4090340019903</t>
  </si>
  <si>
    <t>4090340019904</t>
  </si>
  <si>
    <t>4090340019905</t>
  </si>
  <si>
    <t>4090340019906</t>
  </si>
  <si>
    <t>4090340019907</t>
  </si>
  <si>
    <t>4090340019908</t>
  </si>
  <si>
    <t>4090340019909</t>
  </si>
  <si>
    <t>4090340019910</t>
  </si>
  <si>
    <t>4090340019660</t>
  </si>
  <si>
    <t>4090340019911</t>
  </si>
  <si>
    <t>4090340019912</t>
  </si>
  <si>
    <t>4090340019913</t>
  </si>
  <si>
    <t>4090340019914</t>
  </si>
  <si>
    <t>4090340019915</t>
  </si>
  <si>
    <t>4090340019916</t>
  </si>
  <si>
    <t>4090340019917</t>
  </si>
  <si>
    <t>4090340019918</t>
  </si>
  <si>
    <t>4090340019919</t>
  </si>
  <si>
    <t>4090340019657</t>
  </si>
  <si>
    <t>4090340019659</t>
  </si>
  <si>
    <t>4090340019921</t>
  </si>
  <si>
    <t>4090340019922</t>
  </si>
  <si>
    <t>4090340019661</t>
  </si>
  <si>
    <t>4090340019662</t>
  </si>
  <si>
    <t>4090340019663</t>
  </si>
  <si>
    <t>4090340019664</t>
  </si>
  <si>
    <t>4090340019665</t>
  </si>
  <si>
    <t>4090340019666</t>
  </si>
  <si>
    <t>4090340019667</t>
  </si>
  <si>
    <t>4090340019668</t>
  </si>
  <si>
    <t>4090340019669</t>
  </si>
  <si>
    <t>4090340019670</t>
  </si>
  <si>
    <t>4090340019671</t>
  </si>
  <si>
    <t>4090340019673</t>
  </si>
  <si>
    <t>4090340019674</t>
  </si>
  <si>
    <t>4090340019675</t>
  </si>
  <si>
    <t>4090340019676</t>
  </si>
  <si>
    <t>4090340019679</t>
  </si>
  <si>
    <t>4090340019680</t>
  </si>
  <si>
    <t>4090340019681</t>
  </si>
  <si>
    <t>4090340019687</t>
  </si>
  <si>
    <t>4090340019689</t>
  </si>
  <si>
    <t>4090340020029</t>
  </si>
  <si>
    <t>30/08/2025</t>
  </si>
  <si>
    <t>4090340020048</t>
  </si>
  <si>
    <t>4090340020051</t>
  </si>
  <si>
    <t>4090340020052</t>
  </si>
  <si>
    <t>4090340020056</t>
  </si>
  <si>
    <t>4090340020057</t>
  </si>
  <si>
    <t>4090340020059</t>
  </si>
  <si>
    <t>4090340020061</t>
  </si>
  <si>
    <t>4090340020062</t>
  </si>
  <si>
    <t>4090340020065</t>
  </si>
  <si>
    <t>4090340020067</t>
  </si>
  <si>
    <t>4090340020068</t>
  </si>
  <si>
    <t>4090340020071</t>
  </si>
  <si>
    <t>20612548260</t>
  </si>
  <si>
    <t>JQ PERUVIAN HANDS E.I.R.L.</t>
  </si>
  <si>
    <t>4090340020058</t>
  </si>
  <si>
    <t>01/09/2025</t>
  </si>
  <si>
    <t>20464408623</t>
  </si>
  <si>
    <t>BAIRES S.A.C.</t>
  </si>
  <si>
    <t>4090340020167</t>
  </si>
  <si>
    <t>04/09/2025</t>
  </si>
  <si>
    <t>20220168655</t>
  </si>
  <si>
    <t>COMERCIAL CARRASCO E I R L</t>
  </si>
  <si>
    <t>4090340020307</t>
  </si>
  <si>
    <t>09/09/2025</t>
  </si>
  <si>
    <t>4090340020312</t>
  </si>
  <si>
    <t>4090340020573</t>
  </si>
  <si>
    <t>20478088800</t>
  </si>
  <si>
    <t>YACZ CARGO SAC</t>
  </si>
  <si>
    <t>4090340020373</t>
  </si>
  <si>
    <t>20610431799</t>
  </si>
  <si>
    <t>COMPAÑIA IMPORTADORA DE ALIMENTOS S.A.C.</t>
  </si>
  <si>
    <t>4090340020413</t>
  </si>
  <si>
    <t>20101951872</t>
  </si>
  <si>
    <t>EMPRESAS COMERCIALES S.A. Y/O EMCOMER S.A.</t>
  </si>
  <si>
    <t>4090340020641</t>
  </si>
  <si>
    <t>4090340020643</t>
  </si>
  <si>
    <t>20511520003</t>
  </si>
  <si>
    <t>TEXTILES OLINDA S.A.C.</t>
  </si>
  <si>
    <t>4090340020426</t>
  </si>
  <si>
    <t>4090340020451</t>
  </si>
  <si>
    <t>4090340020452</t>
  </si>
  <si>
    <t>20507646051</t>
  </si>
  <si>
    <t>TERMINALES PORTUARIOS PERUANOS SAC</t>
  </si>
  <si>
    <t>4090340020639</t>
  </si>
  <si>
    <t>19/09/2025</t>
  </si>
  <si>
    <t>4090340020640</t>
  </si>
  <si>
    <t>20542257416</t>
  </si>
  <si>
    <t>EMPRESA INDUSTRIAL ORO VERDE SOCIEDAD ANONIMA CERRADA</t>
  </si>
  <si>
    <t>4090340020680</t>
  </si>
  <si>
    <t>22/09/2025</t>
  </si>
  <si>
    <t>20516625121</t>
  </si>
  <si>
    <t>PRODUCTOS PARA TAPICERIA Y COLCHONERIA SOCIEDAD ANONIMA CERRADA - PROTACOL S.A.C.</t>
  </si>
  <si>
    <t>4090340020722</t>
  </si>
  <si>
    <t>4090340020728</t>
  </si>
  <si>
    <t>20606922869</t>
  </si>
  <si>
    <t>MERCOCELL S.A.C.</t>
  </si>
  <si>
    <t>4090340020729</t>
  </si>
  <si>
    <t>24/09/2025</t>
  </si>
  <si>
    <t>4090340020878</t>
  </si>
  <si>
    <t>25/09/2025</t>
  </si>
  <si>
    <t>4090340020831</t>
  </si>
  <si>
    <t>ADMISIBILIDAD</t>
  </si>
  <si>
    <t>491B FIORELA OLGA, OCROSPOMA CARBAJAL</t>
  </si>
  <si>
    <t>PASAPORTE</t>
  </si>
  <si>
    <t>VE48842</t>
  </si>
  <si>
    <t>ALI ALVAREZ LIBERTAD DE LOS ANGELES</t>
  </si>
  <si>
    <t>4090340019500</t>
  </si>
  <si>
    <t>20508186089</t>
  </si>
  <si>
    <t>TRANSGLOBAL CUSTOMS LOGISTIC AGENCIA DE ADUANAS SOCIEDAD ANONIMA CERRADA</t>
  </si>
  <si>
    <t>4090340019547</t>
  </si>
  <si>
    <t>20104902864</t>
  </si>
  <si>
    <t>EXPORTADORA FRUTICOLA DEL SUR SA</t>
  </si>
  <si>
    <t>4090340019690</t>
  </si>
  <si>
    <t>4090340019716</t>
  </si>
  <si>
    <t>4090340020236</t>
  </si>
  <si>
    <t>20503729874</t>
  </si>
  <si>
    <t>AMERICA IMPORT E.I.R.L</t>
  </si>
  <si>
    <t>4090340020319</t>
  </si>
  <si>
    <t>08/09/2025</t>
  </si>
  <si>
    <t>4090340020320</t>
  </si>
  <si>
    <t>4090340020321</t>
  </si>
  <si>
    <t>4090340020322</t>
  </si>
  <si>
    <t>20144961146</t>
  </si>
  <si>
    <t>CORPORACION RODASUR S.A.C</t>
  </si>
  <si>
    <t>4090340021046</t>
  </si>
  <si>
    <t>4090340020745</t>
  </si>
  <si>
    <t>20552283377</t>
  </si>
  <si>
    <t>POWER REFLE SOCIEDAD ANONIMA CERRADA</t>
  </si>
  <si>
    <t>4090340020741</t>
  </si>
  <si>
    <t>4090340020742</t>
  </si>
  <si>
    <t>4090340020743</t>
  </si>
  <si>
    <t>4090340020746</t>
  </si>
  <si>
    <t>4090340020747</t>
  </si>
  <si>
    <t>4090340020748</t>
  </si>
  <si>
    <t>4090340020758</t>
  </si>
  <si>
    <t>4090340020761</t>
  </si>
  <si>
    <t>4090340020764</t>
  </si>
  <si>
    <t>4090340020765</t>
  </si>
  <si>
    <t>4090340020766</t>
  </si>
  <si>
    <t>4090340020767</t>
  </si>
  <si>
    <t>4090340020769</t>
  </si>
  <si>
    <t>4090340020772</t>
  </si>
  <si>
    <t>4090340020773</t>
  </si>
  <si>
    <t>4090340020774</t>
  </si>
  <si>
    <t>4090340020776</t>
  </si>
  <si>
    <t>4090340020777</t>
  </si>
  <si>
    <t>4090340020778</t>
  </si>
  <si>
    <t>4090340020779</t>
  </si>
  <si>
    <t>4090340020780</t>
  </si>
  <si>
    <t>4090340020781</t>
  </si>
  <si>
    <t>4090340020782</t>
  </si>
  <si>
    <t>4090340020783</t>
  </si>
  <si>
    <t>4090340020784</t>
  </si>
  <si>
    <t>4090340020786</t>
  </si>
  <si>
    <t>4090340020788</t>
  </si>
  <si>
    <t>4090340020789</t>
  </si>
  <si>
    <t>4090340020790</t>
  </si>
  <si>
    <t>4090340020791</t>
  </si>
  <si>
    <t>4090340020792</t>
  </si>
  <si>
    <t>4090340020793</t>
  </si>
  <si>
    <t>4090340020794</t>
  </si>
  <si>
    <t>4090340020795</t>
  </si>
  <si>
    <t>4090340020796</t>
  </si>
  <si>
    <t>4090340020797</t>
  </si>
  <si>
    <t>4090340020798</t>
  </si>
  <si>
    <t>4090340020799</t>
  </si>
  <si>
    <t>4090340020800</t>
  </si>
  <si>
    <t>4090340020802</t>
  </si>
  <si>
    <t>4090340020803</t>
  </si>
  <si>
    <t>4090340020804</t>
  </si>
  <si>
    <t>4090340020805</t>
  </si>
  <si>
    <t>4090340020806</t>
  </si>
  <si>
    <t>4090340020807</t>
  </si>
  <si>
    <t>4090340020808</t>
  </si>
  <si>
    <t>4090340020809</t>
  </si>
  <si>
    <t>4090340020810</t>
  </si>
  <si>
    <t>4090340020812</t>
  </si>
  <si>
    <t>4090340020814</t>
  </si>
  <si>
    <t>4090340020828</t>
  </si>
  <si>
    <t>4090340020829</t>
  </si>
  <si>
    <t>4090340020731</t>
  </si>
  <si>
    <t>4090340020732</t>
  </si>
  <si>
    <t>4090340020733</t>
  </si>
  <si>
    <t>4090340020734</t>
  </si>
  <si>
    <t>4090340020735</t>
  </si>
  <si>
    <t>4090340020736</t>
  </si>
  <si>
    <t>4090340020737</t>
  </si>
  <si>
    <t>4090340020738</t>
  </si>
  <si>
    <t>4090340020739</t>
  </si>
  <si>
    <t>4090340020740</t>
  </si>
  <si>
    <t>4090340020837</t>
  </si>
  <si>
    <t>4090340020838</t>
  </si>
  <si>
    <t>4090340020840</t>
  </si>
  <si>
    <t>4090340020843</t>
  </si>
  <si>
    <t>4090340020844</t>
  </si>
  <si>
    <t>20538616959</t>
  </si>
  <si>
    <t>CRF ADUANAS S.A.C.</t>
  </si>
  <si>
    <t>4090340020756</t>
  </si>
  <si>
    <t>4090340020846</t>
  </si>
  <si>
    <t>4090340020848</t>
  </si>
  <si>
    <t>4090340020852</t>
  </si>
  <si>
    <t>4090340020853</t>
  </si>
  <si>
    <t>4090340020854</t>
  </si>
  <si>
    <t>4090340020855</t>
  </si>
  <si>
    <t>4090340020856</t>
  </si>
  <si>
    <t>26/09/2025</t>
  </si>
  <si>
    <t>4090340020857</t>
  </si>
  <si>
    <t>4090340020858</t>
  </si>
  <si>
    <t>4090340020859</t>
  </si>
  <si>
    <t>4090340020860</t>
  </si>
  <si>
    <t>4090340020861</t>
  </si>
  <si>
    <t>4090340020862</t>
  </si>
  <si>
    <t>4090340020863</t>
  </si>
  <si>
    <t>4090340020864</t>
  </si>
  <si>
    <t>4090340020865</t>
  </si>
  <si>
    <t>4090340020866</t>
  </si>
  <si>
    <t>4090340020868</t>
  </si>
  <si>
    <t>4090340020869</t>
  </si>
  <si>
    <t>4090340020870</t>
  </si>
  <si>
    <t>4090340020871</t>
  </si>
  <si>
    <t>4090340020872</t>
  </si>
  <si>
    <t>4090340020873</t>
  </si>
  <si>
    <t>4090340020874</t>
  </si>
  <si>
    <t>4090340020875</t>
  </si>
  <si>
    <t>4090340020932</t>
  </si>
  <si>
    <t>4090340020880</t>
  </si>
  <si>
    <t>4090340020881</t>
  </si>
  <si>
    <t>4090340020882</t>
  </si>
  <si>
    <t>4090340020883</t>
  </si>
  <si>
    <t>4090340020884</t>
  </si>
  <si>
    <t>4090340020885</t>
  </si>
  <si>
    <t>4090340020886</t>
  </si>
  <si>
    <t>4090340020887</t>
  </si>
  <si>
    <t>4090340020888</t>
  </si>
  <si>
    <t>4090340020889</t>
  </si>
  <si>
    <t>4090340020890</t>
  </si>
  <si>
    <t>4090340020897</t>
  </si>
  <si>
    <t>4090340020900</t>
  </si>
  <si>
    <t>4090340020902</t>
  </si>
  <si>
    <t>4090340020903</t>
  </si>
  <si>
    <t>4090340020904</t>
  </si>
  <si>
    <t>4090340020905</t>
  </si>
  <si>
    <t>4090340020906</t>
  </si>
  <si>
    <t>4090340020907</t>
  </si>
  <si>
    <t>20604718237</t>
  </si>
  <si>
    <t>KAMARY MEDICAL S.A.C.</t>
  </si>
  <si>
    <t>4090340020919</t>
  </si>
  <si>
    <t>27/09/2025</t>
  </si>
  <si>
    <t>4090340020938</t>
  </si>
  <si>
    <t>4090340020920</t>
  </si>
  <si>
    <t>4090340020921</t>
  </si>
  <si>
    <t>4090340020934</t>
  </si>
  <si>
    <t>4090340020922</t>
  </si>
  <si>
    <t>4090340020910</t>
  </si>
  <si>
    <t>29/09/2025</t>
  </si>
  <si>
    <t>4090340020928</t>
  </si>
  <si>
    <t>4090340020911</t>
  </si>
  <si>
    <t>4090340020912</t>
  </si>
  <si>
    <t>4090340020960</t>
  </si>
  <si>
    <t>4090340020914</t>
  </si>
  <si>
    <t>4090340020917</t>
  </si>
  <si>
    <t>4090340020962</t>
  </si>
  <si>
    <t>4090340020963</t>
  </si>
  <si>
    <t>4090340020964</t>
  </si>
  <si>
    <t>4090340020965</t>
  </si>
  <si>
    <t>4090340020966</t>
  </si>
  <si>
    <t>4090340020967</t>
  </si>
  <si>
    <t>4090340020970</t>
  </si>
  <si>
    <t>4090340020972</t>
  </si>
  <si>
    <t>4090340020974</t>
  </si>
  <si>
    <t>20602852106</t>
  </si>
  <si>
    <t>FORMAMOS ACERO AREQUIPA SOCIEDAD ANONIMA CERRADA- FORMAMOS ACERO AREQUIPA S.A.C.</t>
  </si>
  <si>
    <t>4090340020981</t>
  </si>
  <si>
    <t>20559943313</t>
  </si>
  <si>
    <t>DISTRIBUIDORA CARRANZA HNOS S.A.C.</t>
  </si>
  <si>
    <t>4090340021126</t>
  </si>
  <si>
    <t>20555368306</t>
  </si>
  <si>
    <t>ALFA GROUP ADUANAS SOCIEDAD ANONIMA CERRADA - ALFA GROUP ADUANAS S.A.C.</t>
  </si>
  <si>
    <t>4090340021277</t>
  </si>
  <si>
    <t>20612755338</t>
  </si>
  <si>
    <t>MASTERPIECE GRAIN SOCIEDAD ANONIMA CERRADA</t>
  </si>
  <si>
    <t>4090340021544</t>
  </si>
  <si>
    <t>20537139120</t>
  </si>
  <si>
    <t>DELTALAB PERU S.A.C.</t>
  </si>
  <si>
    <t>4090340021268</t>
  </si>
  <si>
    <t>4090340021327</t>
  </si>
  <si>
    <t>20611611944</t>
  </si>
  <si>
    <t>STT PERU INNOVA S.R.L.</t>
  </si>
  <si>
    <t>4090340021134</t>
  </si>
  <si>
    <t>02/10/2025</t>
  </si>
  <si>
    <t>20503464129</t>
  </si>
  <si>
    <t>CORIEX DS S.A.C.</t>
  </si>
  <si>
    <t>4090340021142</t>
  </si>
  <si>
    <t>20549305262</t>
  </si>
  <si>
    <t>DA RUN FA SOCIEDAD ANONIMA CERRADA -DA RUN FA S.A.C.</t>
  </si>
  <si>
    <t>4090340021673</t>
  </si>
  <si>
    <t>03/10/2025</t>
  </si>
  <si>
    <t>4090340021677</t>
  </si>
  <si>
    <t>4090340021206</t>
  </si>
  <si>
    <t>06/10/2025</t>
  </si>
  <si>
    <t>4090340021221</t>
  </si>
  <si>
    <t>4090340021224</t>
  </si>
  <si>
    <t>4090340021226</t>
  </si>
  <si>
    <t>4090340021227</t>
  </si>
  <si>
    <t>4090340021229</t>
  </si>
  <si>
    <t>4090340021232</t>
  </si>
  <si>
    <t>20427497888</t>
  </si>
  <si>
    <t>COMERCIAL DENIA S.A.C.</t>
  </si>
  <si>
    <t>4090340021249</t>
  </si>
  <si>
    <t>4090340021188</t>
  </si>
  <si>
    <t>4090340021190</t>
  </si>
  <si>
    <t>4090340021195</t>
  </si>
  <si>
    <t>4090340021196</t>
  </si>
  <si>
    <t>4090340021459</t>
  </si>
  <si>
    <t>10080783103</t>
  </si>
  <si>
    <t>SANCHEZ ORMEÑO ROSA ESTHER</t>
  </si>
  <si>
    <t>4090340021113</t>
  </si>
  <si>
    <t>20600283384</t>
  </si>
  <si>
    <t>YIELD CENTER S.A.C.</t>
  </si>
  <si>
    <t>4090340021135</t>
  </si>
  <si>
    <t>4090340021191</t>
  </si>
  <si>
    <t>4090340021523</t>
  </si>
  <si>
    <t>20600320077</t>
  </si>
  <si>
    <t>IDEAS CALDERAS Y QUEMADORES S.A.C.</t>
  </si>
  <si>
    <t>4090340021384</t>
  </si>
  <si>
    <t>20170072465</t>
  </si>
  <si>
    <t>SOCIEDAD MINERA CERRO VERDE S.A.A.</t>
  </si>
  <si>
    <t>4090340021389</t>
  </si>
  <si>
    <t>4090340021419</t>
  </si>
  <si>
    <t>20608274848</t>
  </si>
  <si>
    <t>IMPORTACIONES HAIMSA S.A.C.</t>
  </si>
  <si>
    <t>4090340021427</t>
  </si>
  <si>
    <t>20297939131</t>
  </si>
  <si>
    <t>COMPLEJO AGROINDUSTRIAL BETA S.A.</t>
  </si>
  <si>
    <t>4090340021513</t>
  </si>
  <si>
    <t>4090340021477</t>
  </si>
  <si>
    <t>4090340021480</t>
  </si>
  <si>
    <t>4090340021481</t>
  </si>
  <si>
    <t>4090340021483</t>
  </si>
  <si>
    <t>4090340021484</t>
  </si>
  <si>
    <t>4090340021486</t>
  </si>
  <si>
    <t>4090340021487</t>
  </si>
  <si>
    <t>4090340021489</t>
  </si>
  <si>
    <t>4090340021490</t>
  </si>
  <si>
    <t>4090340021492</t>
  </si>
  <si>
    <t>4090340021493</t>
  </si>
  <si>
    <t>4090340021495</t>
  </si>
  <si>
    <t>20392995006</t>
  </si>
  <si>
    <t>ZAMINE SERVICE PERU SAC</t>
  </si>
  <si>
    <t>4090340021848</t>
  </si>
  <si>
    <t>20504980694</t>
  </si>
  <si>
    <t>INVERSIONES EL NISSEI S.A.</t>
  </si>
  <si>
    <t>4090340021602</t>
  </si>
  <si>
    <t>4090340021571</t>
  </si>
  <si>
    <t>4090340021572</t>
  </si>
  <si>
    <t>20518778707</t>
  </si>
  <si>
    <t>J VEGA IMPORT S.A.C.</t>
  </si>
  <si>
    <t>4090340021587</t>
  </si>
  <si>
    <t>4090340021573</t>
  </si>
  <si>
    <t>4090340021636</t>
  </si>
  <si>
    <t>4090340021596</t>
  </si>
  <si>
    <t>4090340021652</t>
  </si>
  <si>
    <t>4090340021654</t>
  </si>
  <si>
    <t>20608259512</t>
  </si>
  <si>
    <t>HEAT FACTORY S.A.C.</t>
  </si>
  <si>
    <t>4090340021837</t>
  </si>
  <si>
    <t>20492822907</t>
  </si>
  <si>
    <t>CAP LOGISTIC ADUANAS S.A.C.</t>
  </si>
  <si>
    <t>4090340021782</t>
  </si>
  <si>
    <t>20459424734</t>
  </si>
  <si>
    <t>ALABAMA S.A.</t>
  </si>
  <si>
    <t>4090340021785</t>
  </si>
  <si>
    <t>07/10/2025</t>
  </si>
  <si>
    <t>13/10/2025</t>
  </si>
  <si>
    <t>14/10/2025</t>
  </si>
  <si>
    <t>15/10/2025</t>
  </si>
  <si>
    <t>16/10/2025</t>
  </si>
  <si>
    <t>20/10/2025</t>
  </si>
  <si>
    <t>21/10/2025</t>
  </si>
  <si>
    <t>22/10/2025</t>
  </si>
  <si>
    <t>27/10/2025</t>
  </si>
  <si>
    <t>29/10/2025</t>
  </si>
  <si>
    <t>490B ELIZABETH LAURA, CHOQUE MAMANI</t>
  </si>
  <si>
    <t>4594-CARLOS ALBERTO, LOPEZ CORNELIO</t>
  </si>
  <si>
    <t>28/10/2025</t>
  </si>
  <si>
    <t>31/10/2025</t>
  </si>
  <si>
    <t>EN EVALUACIÓN DE FONDO</t>
  </si>
  <si>
    <t>ORIGEN</t>
  </si>
  <si>
    <t>Q DE EXPEDIENTES</t>
  </si>
  <si>
    <t>INCA</t>
  </si>
  <si>
    <t>Total</t>
  </si>
  <si>
    <t>EN EVALUACIÓN DE ADMISIBILIDAD</t>
  </si>
  <si>
    <t xml:space="preserve">TOTAL </t>
  </si>
  <si>
    <t>RESUMEN ORIGEN INCA</t>
  </si>
  <si>
    <t>RESUMEN RESULTADO</t>
  </si>
  <si>
    <t xml:space="preserve">Total </t>
  </si>
  <si>
    <t>STOCK A 30 DE Noviembre 2025</t>
  </si>
  <si>
    <t>PRODUCCIÓN Noviembre 2025</t>
  </si>
  <si>
    <t>Etiquetas de fila</t>
  </si>
  <si>
    <t>Cuenta de Número de Expediente</t>
  </si>
  <si>
    <t>Total general</t>
  </si>
  <si>
    <t>(*) Se resolvió reclamos por 17.8 millones de soles.</t>
  </si>
  <si>
    <t>NULIDAD</t>
  </si>
  <si>
    <t>C. Sánchez</t>
  </si>
  <si>
    <t>4090340021574</t>
  </si>
  <si>
    <t>4090340021594</t>
  </si>
  <si>
    <t>4090340021578</t>
  </si>
  <si>
    <t>4090340021581</t>
  </si>
  <si>
    <t>4090340021582</t>
  </si>
  <si>
    <t>4090340021583</t>
  </si>
  <si>
    <t>4090340021554</t>
  </si>
  <si>
    <t>4090340021555</t>
  </si>
  <si>
    <t>4090340021556</t>
  </si>
  <si>
    <t>4090340021559</t>
  </si>
  <si>
    <t>4090340021564</t>
  </si>
  <si>
    <t>4090340021561</t>
  </si>
  <si>
    <t>4090340021562</t>
  </si>
  <si>
    <t>20505126069</t>
  </si>
  <si>
    <t>X RAY SALES AND SERVICE S.A.C.</t>
  </si>
  <si>
    <t>4090340022167</t>
  </si>
  <si>
    <t>4090340022169</t>
  </si>
  <si>
    <t>20135699081</t>
  </si>
  <si>
    <t>DISTRIBUIDORA DANY S.A.C.</t>
  </si>
  <si>
    <t>4090340022170</t>
  </si>
  <si>
    <t>20606218371</t>
  </si>
  <si>
    <t>CURIMAPU PERU SOCIEDAD ANONIMA CERRADA</t>
  </si>
  <si>
    <t>4090340022090</t>
  </si>
  <si>
    <t>07/11/2025</t>
  </si>
  <si>
    <t>20601220734</t>
  </si>
  <si>
    <t>BHIP GLOBAL PERU S.A.C.</t>
  </si>
  <si>
    <t>4090340022117</t>
  </si>
  <si>
    <t>10/11/2025</t>
  </si>
  <si>
    <t>4090340022105</t>
  </si>
  <si>
    <t>4090340022197</t>
  </si>
  <si>
    <t>12/11/2025</t>
  </si>
  <si>
    <t>20312239117</t>
  </si>
  <si>
    <t>AQP EXPRESS CARGO S.A.C.</t>
  </si>
  <si>
    <t>4090340022205</t>
  </si>
  <si>
    <t>13/11/2025</t>
  </si>
  <si>
    <t>4090340022206</t>
  </si>
  <si>
    <t>4090340022209</t>
  </si>
  <si>
    <t>10411275561</t>
  </si>
  <si>
    <t>HIDALGO GONZALES DE DAVILA DIANA</t>
  </si>
  <si>
    <t>4090340022389</t>
  </si>
  <si>
    <t>14/11/2025</t>
  </si>
  <si>
    <t>20548335397</t>
  </si>
  <si>
    <t>LOGISTICS CITY S.A.C.</t>
  </si>
  <si>
    <t>4090340022373</t>
  </si>
  <si>
    <t>20/11/2025</t>
  </si>
  <si>
    <t>4090340022376</t>
  </si>
  <si>
    <t>4090340022378</t>
  </si>
  <si>
    <t>4090340022379</t>
  </si>
  <si>
    <t>4090340022381</t>
  </si>
  <si>
    <t>4090340022384</t>
  </si>
  <si>
    <t>4090340022387</t>
  </si>
  <si>
    <t>17FCO4212</t>
  </si>
  <si>
    <t>LE BOUAR YANN DOMINIQUE CHRISTIAN</t>
  </si>
  <si>
    <t>4090340022534</t>
  </si>
  <si>
    <t>24/11/2025</t>
  </si>
  <si>
    <t>10067897876</t>
  </si>
  <si>
    <t>FLORES DURAND YNES YNOCENCIA</t>
  </si>
  <si>
    <t>4090340022550</t>
  </si>
  <si>
    <t>25/11/2025</t>
  </si>
  <si>
    <t>4090340022812</t>
  </si>
  <si>
    <t>20609849666</t>
  </si>
  <si>
    <t>LOU SI QIN EMPRESA INDIVIDUAL DE RESPONSABILIDAD LIMITADA</t>
  </si>
  <si>
    <t>4090340022071</t>
  </si>
  <si>
    <t>06/11/2024</t>
  </si>
  <si>
    <t>REINGRESO</t>
  </si>
  <si>
    <t>A. Aragón</t>
  </si>
  <si>
    <t>20493006976</t>
  </si>
  <si>
    <t>CORPORACION NUEVO ORIENTE S.A.C.</t>
  </si>
  <si>
    <t>4090340022021</t>
  </si>
  <si>
    <t>05/11/2025</t>
  </si>
  <si>
    <t>4090340022023</t>
  </si>
  <si>
    <t>4090340022024</t>
  </si>
  <si>
    <t>4090340022025</t>
  </si>
  <si>
    <t>4090340022026</t>
  </si>
  <si>
    <t>4090340022028</t>
  </si>
  <si>
    <t>4090340022029</t>
  </si>
  <si>
    <t>4090340022030</t>
  </si>
  <si>
    <t>4090340022031</t>
  </si>
  <si>
    <t>4090340022035</t>
  </si>
  <si>
    <t>4090340022036</t>
  </si>
  <si>
    <t>4090340022037</t>
  </si>
  <si>
    <t>4090340022038</t>
  </si>
  <si>
    <t>4090340022039</t>
  </si>
  <si>
    <t>4090340022040</t>
  </si>
  <si>
    <t>4090340022041</t>
  </si>
  <si>
    <t>4090340022042</t>
  </si>
  <si>
    <t>4090340022043</t>
  </si>
  <si>
    <t>4090340022044</t>
  </si>
  <si>
    <t>4090340022045</t>
  </si>
  <si>
    <t>4090340022046</t>
  </si>
  <si>
    <t>20600084896</t>
  </si>
  <si>
    <t>IMPORTACIONES &amp; EXPORTACIONES MEDICAS AREQUIPA S.A.C. - IMPORT EXPORT MEDIC AQP S.A.C.</t>
  </si>
  <si>
    <t>4090340022076</t>
  </si>
  <si>
    <t>6696 PABLO, HERRERA LOAYZA</t>
  </si>
  <si>
    <t>4090340022047</t>
  </si>
  <si>
    <t>20510103531</t>
  </si>
  <si>
    <t>LAB NUTRITION CORP SAC</t>
  </si>
  <si>
    <t>4090340022073</t>
  </si>
  <si>
    <t>06/11/2025</t>
  </si>
  <si>
    <t>4090340022074</t>
  </si>
  <si>
    <t>10734889895</t>
  </si>
  <si>
    <t>ISIDRO AVILA THALIA SULMA</t>
  </si>
  <si>
    <t>4090340022051</t>
  </si>
  <si>
    <t>15602281504</t>
  </si>
  <si>
    <t>LI FEI</t>
  </si>
  <si>
    <t>4090340022408</t>
  </si>
  <si>
    <t>17/11/2025</t>
  </si>
  <si>
    <t>4090340022426</t>
  </si>
  <si>
    <t>19/11/2025</t>
  </si>
  <si>
    <t>459B MARIELLA GUISEL, MATEO JACAY</t>
  </si>
  <si>
    <t>20600431502</t>
  </si>
  <si>
    <t>IMPORT &amp; EXPORT APEI S.A.C.</t>
  </si>
  <si>
    <t>4090340022540</t>
  </si>
  <si>
    <t>4090340022542</t>
  </si>
  <si>
    <t>4090340022543</t>
  </si>
  <si>
    <t>4090340022554</t>
  </si>
  <si>
    <t>4090340022555</t>
  </si>
  <si>
    <t>4090340022564</t>
  </si>
  <si>
    <t>4090340022567</t>
  </si>
  <si>
    <t>4090340022571</t>
  </si>
  <si>
    <t>4090340022573</t>
  </si>
  <si>
    <t>4090340022575</t>
  </si>
  <si>
    <t>4090340022576</t>
  </si>
  <si>
    <t>4090340022578</t>
  </si>
  <si>
    <t>4090340022579</t>
  </si>
  <si>
    <t>4090340022580</t>
  </si>
  <si>
    <t>4090340022582</t>
  </si>
  <si>
    <t>4090340022583</t>
  </si>
  <si>
    <t>4090340022584</t>
  </si>
  <si>
    <t>4090340022585</t>
  </si>
  <si>
    <t>4090340022587</t>
  </si>
  <si>
    <t>4090340022588</t>
  </si>
  <si>
    <t>4090340022590</t>
  </si>
  <si>
    <t>4090340022591</t>
  </si>
  <si>
    <t>4090340022592</t>
  </si>
  <si>
    <t>4090340022593</t>
  </si>
  <si>
    <t>4090340022594</t>
  </si>
  <si>
    <t>4090340022595</t>
  </si>
  <si>
    <t>4090340022596</t>
  </si>
  <si>
    <t>4090340022597</t>
  </si>
  <si>
    <t>4090340022598</t>
  </si>
  <si>
    <t>4090340022599</t>
  </si>
  <si>
    <t>4090340022600</t>
  </si>
  <si>
    <t>4090340022601</t>
  </si>
  <si>
    <t>4090340022602</t>
  </si>
  <si>
    <t>4090340022724</t>
  </si>
  <si>
    <t>26/11/2025</t>
  </si>
  <si>
    <t>4090340022539</t>
  </si>
  <si>
    <t>4090340022725</t>
  </si>
  <si>
    <t>4090340022541</t>
  </si>
  <si>
    <t>4090340022726</t>
  </si>
  <si>
    <t>4090340022544</t>
  </si>
  <si>
    <t>4090340022545</t>
  </si>
  <si>
    <t>4090340022546</t>
  </si>
  <si>
    <t>4090340022548</t>
  </si>
  <si>
    <t>4090340022549</t>
  </si>
  <si>
    <t>4090340022727</t>
  </si>
  <si>
    <t>4090340022551</t>
  </si>
  <si>
    <t>4090340022731</t>
  </si>
  <si>
    <t>4090340022733</t>
  </si>
  <si>
    <t>4090340022734</t>
  </si>
  <si>
    <t>4090340022735</t>
  </si>
  <si>
    <t>4090340022737</t>
  </si>
  <si>
    <t>4090340022556</t>
  </si>
  <si>
    <t>4090340022557</t>
  </si>
  <si>
    <t>4090340022558</t>
  </si>
  <si>
    <t>4090340022559</t>
  </si>
  <si>
    <t>4090340022560</t>
  </si>
  <si>
    <t>4090340022561</t>
  </si>
  <si>
    <t>4090340022738</t>
  </si>
  <si>
    <t>4090340022562</t>
  </si>
  <si>
    <t>4090340022563</t>
  </si>
  <si>
    <t>4090340022565</t>
  </si>
  <si>
    <t>4090340022566</t>
  </si>
  <si>
    <t>4090340022568</t>
  </si>
  <si>
    <t>4090340022569</t>
  </si>
  <si>
    <t>4090340022570</t>
  </si>
  <si>
    <t>4090340022572</t>
  </si>
  <si>
    <t>4090340022574</t>
  </si>
  <si>
    <t>4090340022739</t>
  </si>
  <si>
    <t>4090340022740</t>
  </si>
  <si>
    <t>4090340022741</t>
  </si>
  <si>
    <t>4090340022742</t>
  </si>
  <si>
    <t>4090340022743</t>
  </si>
  <si>
    <t>4090340022744</t>
  </si>
  <si>
    <t>4090340022745</t>
  </si>
  <si>
    <t>4090340022746</t>
  </si>
  <si>
    <t>4090340022747</t>
  </si>
  <si>
    <t>4090340022748</t>
  </si>
  <si>
    <t>4090340022750</t>
  </si>
  <si>
    <t>4090340022751</t>
  </si>
  <si>
    <t>4090340022752</t>
  </si>
  <si>
    <t>4090340022753</t>
  </si>
  <si>
    <t>4090340022754</t>
  </si>
  <si>
    <t>4090340022755</t>
  </si>
  <si>
    <t>4090340022756</t>
  </si>
  <si>
    <t>4090340022757</t>
  </si>
  <si>
    <t>4090340022758</t>
  </si>
  <si>
    <t>4090340022606</t>
  </si>
  <si>
    <t>4090340022607</t>
  </si>
  <si>
    <t>4090340022608</t>
  </si>
  <si>
    <t>4090340022610</t>
  </si>
  <si>
    <t>4090340022611</t>
  </si>
  <si>
    <t>4090340022612</t>
  </si>
  <si>
    <t>4090340022615</t>
  </si>
  <si>
    <t>4090340022617</t>
  </si>
  <si>
    <t>4090340022619</t>
  </si>
  <si>
    <t>4090340022620</t>
  </si>
  <si>
    <t>4090340022621</t>
  </si>
  <si>
    <t>4090340022623</t>
  </si>
  <si>
    <t>4090340022624</t>
  </si>
  <si>
    <t>4090340022625</t>
  </si>
  <si>
    <t>4090340022627</t>
  </si>
  <si>
    <t>4090340022628</t>
  </si>
  <si>
    <t>4090340022629</t>
  </si>
  <si>
    <t>4090340022630</t>
  </si>
  <si>
    <t>4090340022631</t>
  </si>
  <si>
    <t>4090340022632</t>
  </si>
  <si>
    <t>4090340022633</t>
  </si>
  <si>
    <t>4090340022634</t>
  </si>
  <si>
    <t>4090340022635</t>
  </si>
  <si>
    <t>4090340022636</t>
  </si>
  <si>
    <t>4090340022637</t>
  </si>
  <si>
    <t>4090340022638</t>
  </si>
  <si>
    <t>4090340022639</t>
  </si>
  <si>
    <t>4090340022640</t>
  </si>
  <si>
    <t>4090340022641</t>
  </si>
  <si>
    <t>4090340022642</t>
  </si>
  <si>
    <t>4090340022643</t>
  </si>
  <si>
    <t>4090340022645</t>
  </si>
  <si>
    <t>4090340022646</t>
  </si>
  <si>
    <t>4090340022647</t>
  </si>
  <si>
    <t>4090340022649</t>
  </si>
  <si>
    <t>4090340022650</t>
  </si>
  <si>
    <t>4090340022651</t>
  </si>
  <si>
    <t>4090340022653</t>
  </si>
  <si>
    <t>4090340022654</t>
  </si>
  <si>
    <t>4090340022655</t>
  </si>
  <si>
    <t>4090340022658</t>
  </si>
  <si>
    <t>4090340022660</t>
  </si>
  <si>
    <t>4090340022662</t>
  </si>
  <si>
    <t>4090340022663</t>
  </si>
  <si>
    <t>4090340022664</t>
  </si>
  <si>
    <t>4090340022665</t>
  </si>
  <si>
    <t>4090340022666</t>
  </si>
  <si>
    <t>4090340022667</t>
  </si>
  <si>
    <t>4090340022668</t>
  </si>
  <si>
    <t>4090340022669</t>
  </si>
  <si>
    <t>4090340022670</t>
  </si>
  <si>
    <t>4090340022671</t>
  </si>
  <si>
    <t>4090340022672</t>
  </si>
  <si>
    <t>4090340022673</t>
  </si>
  <si>
    <t>4090340022674</t>
  </si>
  <si>
    <t>4090340022675</t>
  </si>
  <si>
    <t>4090340022676</t>
  </si>
  <si>
    <t>4090340022677</t>
  </si>
  <si>
    <t>4090340022678</t>
  </si>
  <si>
    <t>4090340022679</t>
  </si>
  <si>
    <t>4090340022680</t>
  </si>
  <si>
    <t>4090340022681</t>
  </si>
  <si>
    <t>4090340022682</t>
  </si>
  <si>
    <t>4090340022683</t>
  </si>
  <si>
    <t>4090340022684</t>
  </si>
  <si>
    <t>4090340022685</t>
  </si>
  <si>
    <t>4090340022686</t>
  </si>
  <si>
    <t>4090340022687</t>
  </si>
  <si>
    <t>4090340022688</t>
  </si>
  <si>
    <t>4090340022689</t>
  </si>
  <si>
    <t>4090340022690</t>
  </si>
  <si>
    <t>4090340022691</t>
  </si>
  <si>
    <t>4090340022692</t>
  </si>
  <si>
    <t>4090340022693</t>
  </si>
  <si>
    <t>4090340022694</t>
  </si>
  <si>
    <t>4090340022696</t>
  </si>
  <si>
    <t>4090340022698</t>
  </si>
  <si>
    <t>4090340022699</t>
  </si>
  <si>
    <t>4090340022700</t>
  </si>
  <si>
    <t>4090340022701</t>
  </si>
  <si>
    <t>4090340022703</t>
  </si>
  <si>
    <t>4090340022705</t>
  </si>
  <si>
    <t>4090340022706</t>
  </si>
  <si>
    <t>4090340022709</t>
  </si>
  <si>
    <t>4090340022710</t>
  </si>
  <si>
    <t>4090340022711</t>
  </si>
  <si>
    <t>4090340022712</t>
  </si>
  <si>
    <t>4090340022713</t>
  </si>
  <si>
    <t>4090340022714</t>
  </si>
  <si>
    <t>4090340022715</t>
  </si>
  <si>
    <t>4090340022716</t>
  </si>
  <si>
    <t>4090340022717</t>
  </si>
  <si>
    <t>4090340022718</t>
  </si>
  <si>
    <t>4090140016916</t>
  </si>
  <si>
    <t>NOVIEMBRE</t>
  </si>
  <si>
    <t>316-0300-2024-000069</t>
  </si>
  <si>
    <t>4090140016961</t>
  </si>
  <si>
    <t>005137-2023</t>
  </si>
  <si>
    <t>4090140016962</t>
  </si>
  <si>
    <t>4090140016963</t>
  </si>
  <si>
    <t>4090140017001</t>
  </si>
  <si>
    <t xml:space="preserve">316-0302-2025-000036 </t>
  </si>
  <si>
    <t>4090140017038</t>
  </si>
  <si>
    <t>5046-2024</t>
  </si>
  <si>
    <t>4090140017039</t>
  </si>
  <si>
    <t>4090140017040</t>
  </si>
  <si>
    <t>5047-2024</t>
  </si>
  <si>
    <t>4090140017041</t>
  </si>
  <si>
    <t>4090140017042</t>
  </si>
  <si>
    <t>5049-2024</t>
  </si>
  <si>
    <t>4090140017043</t>
  </si>
  <si>
    <t>4090140017044</t>
  </si>
  <si>
    <t>5048-2024</t>
  </si>
  <si>
    <t>4090140017045</t>
  </si>
  <si>
    <t>4090140017172</t>
  </si>
  <si>
    <t>21/11/2025</t>
  </si>
  <si>
    <t>5045-2025</t>
  </si>
  <si>
    <t>4090140017173</t>
  </si>
  <si>
    <t>Contraria a la soberanía nacional, la seguridad pública, la moral y la salud pública.</t>
  </si>
  <si>
    <t xml:space="preserve">316-0302-2025-000145 </t>
  </si>
  <si>
    <t>4090140017174</t>
  </si>
  <si>
    <t>167-2024</t>
  </si>
  <si>
    <t>4090140017175</t>
  </si>
  <si>
    <t>4090140017224</t>
  </si>
  <si>
    <t>4090140017225</t>
  </si>
  <si>
    <t>4090140017239</t>
  </si>
  <si>
    <t>5012-2025</t>
  </si>
  <si>
    <t>4090140017306</t>
  </si>
  <si>
    <t>63-2023</t>
  </si>
  <si>
    <t>MUY ALTA</t>
  </si>
  <si>
    <t>4090140017331</t>
  </si>
  <si>
    <t>27/11/2025</t>
  </si>
  <si>
    <t>1080-2024</t>
  </si>
  <si>
    <t>4090140017333</t>
  </si>
  <si>
    <t>5026-2025</t>
  </si>
  <si>
    <t>4090140017390</t>
  </si>
  <si>
    <t>28/11/2025</t>
  </si>
  <si>
    <t xml:space="preserve">316-0300-2025-000048 </t>
  </si>
  <si>
    <t>4090140017391</t>
  </si>
  <si>
    <t>4090140017392</t>
  </si>
  <si>
    <t>684-2025</t>
  </si>
  <si>
    <t>4090140017415</t>
  </si>
  <si>
    <t>5148-2022</t>
  </si>
  <si>
    <t>4090140017418</t>
  </si>
  <si>
    <t>4090140017419</t>
  </si>
  <si>
    <t>5043-2022</t>
  </si>
  <si>
    <t>INFUNDADO / NULIDAD</t>
  </si>
  <si>
    <t>4090140017428</t>
  </si>
  <si>
    <t>316-0302-2025-000115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</si>
</sst>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80A]d\ mmm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6"/>
      <color rgb="FF333333"/>
      <name val="Open Sans"/>
      <family val="2"/>
    </font>
    <font>
      <b/>
      <sz val="9"/>
      <color rgb="FF000000"/>
      <name val="Arial"/>
      <family val="2"/>
    </font>
    <font>
      <b/>
      <sz val="8"/>
      <color rgb="FF333333"/>
      <name val="Calibri"/>
      <family val="2"/>
      <scheme val="minor"/>
    </font>
    <font>
      <sz val="9"/>
      <color rgb="FF333333"/>
      <name val="Arial"/>
      <family val="2"/>
    </font>
    <font>
      <b/>
      <sz val="8"/>
      <color rgb="FF000000"/>
      <name val="Open Sans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  <scheme val="minor"/>
    </font>
    <font>
      <sz val="9"/>
      <color theme="1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EE3E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DB4E2"/>
        <bgColor rgb="FF000000"/>
      </patternFill>
    </fill>
    <fill>
      <patternFill patternType="solid">
        <fgColor rgb="FF8DB4E2"/>
        <bgColor rgb="FF4F81BD"/>
      </patternFill>
    </fill>
    <fill>
      <patternFill patternType="solid">
        <fgColor theme="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DCE6F1"/>
      </patternFill>
    </fill>
    <fill>
      <patternFill patternType="solid">
        <fgColor theme="7" tint="0.39997558519241921"/>
        <bgColor rgb="FFDCE6F1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DA6EE"/>
        <bgColor indexed="64"/>
      </patternFill>
    </fill>
    <fill>
      <patternFill patternType="solid">
        <fgColor rgb="FFDDA6EE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8EA9DB"/>
      </bottom>
      <diagonal/>
    </border>
    <border>
      <left/>
      <right/>
      <top style="medium">
        <color rgb="FF8EA9DB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0" xfId="0" applyFill="1"/>
    <xf numFmtId="0" fontId="1" fillId="2" borderId="0" xfId="0" applyFont="1" applyFill="1"/>
    <xf numFmtId="164" fontId="2" fillId="3" borderId="1" xfId="0" applyNumberFormat="1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14" fontId="2" fillId="2" borderId="1" xfId="0" applyNumberFormat="1" applyFont="1" applyFill="1" applyBorder="1" applyAlignment="1">
      <alignment horizontal="right"/>
    </xf>
    <xf numFmtId="14" fontId="0" fillId="2" borderId="1" xfId="0" applyNumberFormat="1" applyFill="1" applyBorder="1"/>
    <xf numFmtId="0" fontId="2" fillId="3" borderId="1" xfId="0" applyFont="1" applyFill="1" applyBorder="1" applyAlignment="1">
      <alignment shrinkToFit="1"/>
    </xf>
    <xf numFmtId="0" fontId="2" fillId="2" borderId="1" xfId="0" applyFont="1" applyFill="1" applyBorder="1" applyAlignment="1">
      <alignment shrinkToFit="1"/>
    </xf>
    <xf numFmtId="0" fontId="2" fillId="0" borderId="1" xfId="0" applyFont="1" applyBorder="1" applyAlignment="1">
      <alignment shrinkToFit="1"/>
    </xf>
    <xf numFmtId="14" fontId="0" fillId="0" borderId="1" xfId="0" applyNumberFormat="1" applyBorder="1"/>
    <xf numFmtId="0" fontId="2" fillId="5" borderId="1" xfId="0" applyFont="1" applyFill="1" applyBorder="1"/>
    <xf numFmtId="0" fontId="4" fillId="2" borderId="1" xfId="0" applyFont="1" applyFill="1" applyBorder="1" applyAlignment="1">
      <alignment vertical="center" wrapText="1"/>
    </xf>
    <xf numFmtId="49" fontId="0" fillId="0" borderId="0" xfId="0" applyNumberFormat="1"/>
    <xf numFmtId="0" fontId="6" fillId="6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5" fillId="0" borderId="1" xfId="0" applyFont="1" applyBorder="1"/>
    <xf numFmtId="14" fontId="0" fillId="2" borderId="0" xfId="0" applyNumberFormat="1" applyFill="1"/>
    <xf numFmtId="0" fontId="5" fillId="8" borderId="1" xfId="0" applyFont="1" applyFill="1" applyBorder="1" applyAlignment="1">
      <alignment wrapText="1"/>
    </xf>
    <xf numFmtId="0" fontId="7" fillId="9" borderId="1" xfId="0" applyFont="1" applyFill="1" applyBorder="1"/>
    <xf numFmtId="0" fontId="7" fillId="9" borderId="0" xfId="0" applyFont="1" applyFill="1"/>
    <xf numFmtId="0" fontId="5" fillId="8" borderId="0" xfId="0" applyFont="1" applyFill="1"/>
    <xf numFmtId="0" fontId="8" fillId="10" borderId="1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0" fontId="9" fillId="10" borderId="0" xfId="0" applyFont="1" applyFill="1" applyAlignment="1">
      <alignment vertical="center" wrapText="1"/>
    </xf>
    <xf numFmtId="0" fontId="10" fillId="12" borderId="1" xfId="0" applyFont="1" applyFill="1" applyBorder="1" applyAlignment="1">
      <alignment vertical="center"/>
    </xf>
    <xf numFmtId="0" fontId="11" fillId="11" borderId="1" xfId="0" applyFont="1" applyFill="1" applyBorder="1"/>
    <xf numFmtId="0" fontId="11" fillId="10" borderId="0" xfId="0" applyFont="1" applyFill="1"/>
    <xf numFmtId="0" fontId="12" fillId="0" borderId="0" xfId="0" applyFont="1"/>
    <xf numFmtId="0" fontId="11" fillId="13" borderId="1" xfId="0" applyFont="1" applyFill="1" applyBorder="1"/>
    <xf numFmtId="0" fontId="9" fillId="14" borderId="1" xfId="0" applyFont="1" applyFill="1" applyBorder="1" applyAlignment="1">
      <alignment vertical="center" wrapText="1"/>
    </xf>
    <xf numFmtId="0" fontId="11" fillId="16" borderId="0" xfId="0" applyFont="1" applyFill="1" applyAlignment="1">
      <alignment vertical="top" wrapText="1"/>
    </xf>
    <xf numFmtId="0" fontId="11" fillId="17" borderId="1" xfId="0" applyFont="1" applyFill="1" applyBorder="1" applyAlignment="1">
      <alignment vertical="top" wrapText="1"/>
    </xf>
    <xf numFmtId="0" fontId="11" fillId="2" borderId="0" xfId="0" applyFont="1" applyFill="1"/>
    <xf numFmtId="0" fontId="11" fillId="18" borderId="1" xfId="0" applyFont="1" applyFill="1" applyBorder="1"/>
    <xf numFmtId="0" fontId="11" fillId="19" borderId="1" xfId="0" applyFont="1" applyFill="1" applyBorder="1" applyAlignment="1">
      <alignment wrapText="1"/>
    </xf>
    <xf numFmtId="0" fontId="11" fillId="20" borderId="1" xfId="0" applyFont="1" applyFill="1" applyBorder="1"/>
    <xf numFmtId="0" fontId="11" fillId="21" borderId="1" xfId="0" applyFont="1" applyFill="1" applyBorder="1"/>
    <xf numFmtId="0" fontId="11" fillId="10" borderId="0" xfId="0" applyFont="1" applyFill="1" applyAlignment="1">
      <alignment wrapText="1"/>
    </xf>
    <xf numFmtId="0" fontId="11" fillId="21" borderId="1" xfId="0" applyFont="1" applyFill="1" applyBorder="1" applyAlignment="1">
      <alignment wrapText="1"/>
    </xf>
    <xf numFmtId="0" fontId="11" fillId="10" borderId="1" xfId="0" applyFont="1" applyFill="1" applyBorder="1"/>
    <xf numFmtId="0" fontId="11" fillId="22" borderId="1" xfId="0" applyFont="1" applyFill="1" applyBorder="1"/>
    <xf numFmtId="0" fontId="11" fillId="23" borderId="1" xfId="0" applyFont="1" applyFill="1" applyBorder="1"/>
    <xf numFmtId="0" fontId="11" fillId="10" borderId="0" xfId="0" applyFont="1" applyFill="1" applyAlignment="1">
      <alignment vertical="top"/>
    </xf>
    <xf numFmtId="0" fontId="11" fillId="20" borderId="1" xfId="0" applyFont="1" applyFill="1" applyBorder="1" applyAlignment="1">
      <alignment vertical="top"/>
    </xf>
    <xf numFmtId="0" fontId="11" fillId="2" borderId="0" xfId="0" applyFont="1" applyFill="1" applyAlignment="1">
      <alignment wrapText="1"/>
    </xf>
    <xf numFmtId="0" fontId="11" fillId="2" borderId="1" xfId="0" applyFont="1" applyFill="1" applyBorder="1"/>
    <xf numFmtId="0" fontId="11" fillId="2" borderId="1" xfId="0" applyFont="1" applyFill="1" applyBorder="1" applyAlignment="1">
      <alignment wrapText="1"/>
    </xf>
    <xf numFmtId="0" fontId="11" fillId="19" borderId="1" xfId="0" applyFont="1" applyFill="1" applyBorder="1"/>
    <xf numFmtId="0" fontId="11" fillId="14" borderId="1" xfId="0" applyFont="1" applyFill="1" applyBorder="1" applyAlignment="1">
      <alignment vertical="top"/>
    </xf>
    <xf numFmtId="0" fontId="13" fillId="18" borderId="1" xfId="0" applyFont="1" applyFill="1" applyBorder="1"/>
    <xf numFmtId="0" fontId="13" fillId="24" borderId="1" xfId="0" applyFont="1" applyFill="1" applyBorder="1"/>
    <xf numFmtId="0" fontId="13" fillId="18" borderId="1" xfId="0" applyFont="1" applyFill="1" applyBorder="1" applyAlignment="1">
      <alignment wrapText="1"/>
    </xf>
    <xf numFmtId="0" fontId="13" fillId="15" borderId="1" xfId="0" applyFont="1" applyFill="1" applyBorder="1" applyAlignment="1">
      <alignment wrapText="1"/>
    </xf>
    <xf numFmtId="0" fontId="0" fillId="15" borderId="1" xfId="0" applyFill="1" applyBorder="1"/>
    <xf numFmtId="0" fontId="1" fillId="0" borderId="0" xfId="0" applyFont="1"/>
    <xf numFmtId="0" fontId="0" fillId="0" borderId="0" xfId="0" applyAlignment="1">
      <alignment horizontal="right"/>
    </xf>
    <xf numFmtId="49" fontId="1" fillId="31" borderId="1" xfId="0" applyNumberFormat="1" applyFont="1" applyFill="1" applyBorder="1"/>
    <xf numFmtId="0" fontId="1" fillId="31" borderId="1" xfId="0" applyFont="1" applyFill="1" applyBorder="1"/>
    <xf numFmtId="0" fontId="1" fillId="31" borderId="1" xfId="0" applyFont="1" applyFill="1" applyBorder="1" applyAlignment="1">
      <alignment horizontal="right"/>
    </xf>
    <xf numFmtId="49" fontId="1" fillId="2" borderId="1" xfId="0" applyNumberFormat="1" applyFont="1" applyFill="1" applyBorder="1"/>
    <xf numFmtId="49" fontId="1" fillId="2" borderId="0" xfId="0" applyNumberFormat="1" applyFont="1" applyFill="1"/>
    <xf numFmtId="0" fontId="0" fillId="33" borderId="1" xfId="0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3" fillId="0" borderId="0" xfId="0" applyFont="1"/>
    <xf numFmtId="0" fontId="3" fillId="2" borderId="0" xfId="0" applyFont="1" applyFill="1"/>
    <xf numFmtId="0" fontId="1" fillId="4" borderId="1" xfId="0" applyFont="1" applyFill="1" applyBorder="1"/>
    <xf numFmtId="0" fontId="0" fillId="0" borderId="1" xfId="0" applyBorder="1" applyAlignment="1">
      <alignment vertical="center"/>
    </xf>
    <xf numFmtId="0" fontId="17" fillId="34" borderId="6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0" fontId="14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 wrapText="1"/>
    </xf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/>
    <xf numFmtId="0" fontId="14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7" fillId="34" borderId="7" xfId="0" applyFont="1" applyFill="1" applyBorder="1" applyAlignment="1">
      <alignment vertical="center"/>
    </xf>
    <xf numFmtId="0" fontId="17" fillId="34" borderId="7" xfId="0" applyFont="1" applyFill="1" applyBorder="1" applyAlignment="1">
      <alignment horizontal="right" vertical="center"/>
    </xf>
    <xf numFmtId="0" fontId="19" fillId="2" borderId="0" xfId="0" applyFont="1" applyFill="1" applyAlignment="1">
      <alignment horizontal="left" vertical="center" wrapText="1"/>
    </xf>
    <xf numFmtId="0" fontId="15" fillId="2" borderId="0" xfId="0" applyFont="1" applyFill="1"/>
    <xf numFmtId="0" fontId="1" fillId="2" borderId="0" xfId="0" applyFont="1" applyFill="1" applyAlignment="1">
      <alignment horizontal="center"/>
    </xf>
    <xf numFmtId="0" fontId="16" fillId="2" borderId="0" xfId="0" applyFont="1" applyFill="1"/>
    <xf numFmtId="49" fontId="1" fillId="2" borderId="5" xfId="0" applyNumberFormat="1" applyFont="1" applyFill="1" applyBorder="1"/>
    <xf numFmtId="0" fontId="0" fillId="0" borderId="8" xfId="0" applyBorder="1"/>
    <xf numFmtId="49" fontId="1" fillId="32" borderId="5" xfId="0" applyNumberFormat="1" applyFont="1" applyFill="1" applyBorder="1"/>
    <xf numFmtId="49" fontId="1" fillId="2" borderId="9" xfId="0" applyNumberFormat="1" applyFont="1" applyFill="1" applyBorder="1"/>
    <xf numFmtId="0" fontId="0" fillId="0" borderId="2" xfId="0" applyBorder="1"/>
    <xf numFmtId="14" fontId="0" fillId="2" borderId="2" xfId="0" applyNumberFormat="1" applyFill="1" applyBorder="1"/>
    <xf numFmtId="0" fontId="0" fillId="35" borderId="1" xfId="0" applyFill="1" applyBorder="1"/>
    <xf numFmtId="0" fontId="0" fillId="35" borderId="0" xfId="0" applyFill="1"/>
    <xf numFmtId="0" fontId="12" fillId="10" borderId="1" xfId="0" applyFont="1" applyFill="1" applyBorder="1" applyAlignment="1">
      <alignment vertical="center"/>
    </xf>
    <xf numFmtId="0" fontId="0" fillId="29" borderId="1" xfId="0" applyFont="1" applyFill="1" applyBorder="1" applyAlignment="1">
      <alignment vertical="top"/>
    </xf>
    <xf numFmtId="49" fontId="1" fillId="29" borderId="1" xfId="0" applyNumberFormat="1" applyFont="1" applyFill="1" applyBorder="1" applyAlignment="1">
      <alignment vertical="top" wrapText="1"/>
    </xf>
    <xf numFmtId="0" fontId="1" fillId="29" borderId="1" xfId="0" applyFont="1" applyFill="1" applyBorder="1" applyAlignment="1">
      <alignment vertical="top" wrapText="1"/>
    </xf>
    <xf numFmtId="49" fontId="1" fillId="29" borderId="1" xfId="0" applyNumberFormat="1" applyFont="1" applyFill="1" applyBorder="1" applyAlignment="1">
      <alignment horizontal="center" vertical="top"/>
    </xf>
    <xf numFmtId="0" fontId="1" fillId="29" borderId="1" xfId="0" applyFont="1" applyFill="1" applyBorder="1" applyAlignment="1">
      <alignment vertical="top"/>
    </xf>
    <xf numFmtId="0" fontId="1" fillId="29" borderId="1" xfId="0" applyFont="1" applyFill="1" applyBorder="1" applyAlignment="1">
      <alignment horizontal="right" vertical="top"/>
    </xf>
    <xf numFmtId="0" fontId="1" fillId="29" borderId="1" xfId="0" applyFont="1" applyFill="1" applyBorder="1" applyAlignment="1">
      <alignment horizontal="left" vertical="top" wrapText="1"/>
    </xf>
    <xf numFmtId="0" fontId="1" fillId="25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/>
    </xf>
    <xf numFmtId="0" fontId="1" fillId="30" borderId="1" xfId="0" applyFont="1" applyFill="1" applyBorder="1" applyAlignment="1">
      <alignment vertical="top" wrapText="1"/>
    </xf>
    <xf numFmtId="0" fontId="1" fillId="15" borderId="1" xfId="0" applyFont="1" applyFill="1" applyBorder="1" applyAlignment="1">
      <alignment vertical="top" wrapText="1"/>
    </xf>
    <xf numFmtId="0" fontId="1" fillId="26" borderId="1" xfId="0" applyFont="1" applyFill="1" applyBorder="1" applyAlignment="1">
      <alignment vertical="top" wrapText="1"/>
    </xf>
    <xf numFmtId="0" fontId="0" fillId="0" borderId="0" xfId="0" applyFont="1"/>
    <xf numFmtId="0" fontId="2" fillId="2" borderId="1" xfId="0" applyFont="1" applyFill="1" applyBorder="1"/>
    <xf numFmtId="0" fontId="0" fillId="2" borderId="1" xfId="0" applyFont="1" applyFill="1" applyBorder="1"/>
    <xf numFmtId="0" fontId="0" fillId="2" borderId="1" xfId="0" applyFont="1" applyFill="1" applyBorder="1" applyAlignment="1">
      <alignment wrapText="1"/>
    </xf>
    <xf numFmtId="49" fontId="0" fillId="2" borderId="1" xfId="0" applyNumberFormat="1" applyFont="1" applyFill="1" applyBorder="1" applyAlignment="1">
      <alignment wrapText="1"/>
    </xf>
    <xf numFmtId="14" fontId="0" fillId="2" borderId="1" xfId="0" applyNumberFormat="1" applyFont="1" applyFill="1" applyBorder="1"/>
    <xf numFmtId="0" fontId="0" fillId="2" borderId="1" xfId="0" applyFont="1" applyFill="1" applyBorder="1" applyAlignment="1">
      <alignment horizontal="center" vertical="top"/>
    </xf>
    <xf numFmtId="0" fontId="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top"/>
    </xf>
    <xf numFmtId="3" fontId="0" fillId="2" borderId="1" xfId="0" applyNumberFormat="1" applyFont="1" applyFill="1" applyBorder="1" applyAlignment="1">
      <alignment wrapText="1"/>
    </xf>
    <xf numFmtId="0" fontId="0" fillId="28" borderId="1" xfId="0" applyFont="1" applyFill="1" applyBorder="1" applyAlignment="1">
      <alignment vertical="top"/>
    </xf>
    <xf numFmtId="0" fontId="0" fillId="2" borderId="1" xfId="0" applyFont="1" applyFill="1" applyBorder="1" applyAlignment="1">
      <alignment horizontal="right"/>
    </xf>
    <xf numFmtId="0" fontId="0" fillId="0" borderId="1" xfId="0" applyFont="1" applyBorder="1" applyAlignment="1">
      <alignment wrapText="1"/>
    </xf>
    <xf numFmtId="49" fontId="0" fillId="0" borderId="1" xfId="0" applyNumberFormat="1" applyFont="1" applyBorder="1" applyAlignment="1">
      <alignment wrapText="1"/>
    </xf>
    <xf numFmtId="3" fontId="0" fillId="0" borderId="1" xfId="0" applyNumberFormat="1" applyFont="1" applyBorder="1" applyAlignment="1">
      <alignment wrapText="1"/>
    </xf>
    <xf numFmtId="0" fontId="0" fillId="2" borderId="1" xfId="0" applyFont="1" applyFill="1" applyBorder="1" applyAlignment="1">
      <alignment horizontal="right" vertical="top"/>
    </xf>
    <xf numFmtId="0" fontId="0" fillId="2" borderId="1" xfId="0" applyFont="1" applyFill="1" applyBorder="1" applyProtection="1">
      <protection locked="0"/>
    </xf>
    <xf numFmtId="0" fontId="2" fillId="2" borderId="1" xfId="0" applyFont="1" applyFill="1" applyBorder="1" applyAlignment="1">
      <alignment wrapText="1"/>
    </xf>
    <xf numFmtId="0" fontId="0" fillId="2" borderId="0" xfId="0" applyFont="1" applyFill="1"/>
    <xf numFmtId="0" fontId="0" fillId="26" borderId="1" xfId="0" applyFont="1" applyFill="1" applyBorder="1" applyAlignment="1">
      <alignment vertical="top"/>
    </xf>
    <xf numFmtId="0" fontId="0" fillId="0" borderId="1" xfId="0" applyFont="1" applyBorder="1"/>
    <xf numFmtId="0" fontId="0" fillId="27" borderId="1" xfId="0" applyFont="1" applyFill="1" applyBorder="1"/>
    <xf numFmtId="3" fontId="0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0000"/>
      <color rgb="FFA50021"/>
      <color rgb="FF0066FF"/>
      <color rgb="FFFF0066"/>
      <color rgb="FF00CC66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ata/DATA/Divisi&#243;n%20de%20Controversias/PROGRAMACI&#211;N%20DE%20CASOS%20Y%20PRODUCCI&#211;N/2025/Setiembre/1.%20Producci&#243;n%20y%20Stock%20DCP%20-setiembre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STOCK Y PRODUCCIÓN "/>
      <sheetName val="Stock(Reclamo_Apelación)"/>
      <sheetName val="Producción(Reclamo_Apelación)"/>
      <sheetName val="Apelaciones_Remitidas al TF"/>
      <sheetName val="Feriados y Materias"/>
    </sheetNames>
    <sheetDataSet>
      <sheetData sheetId="0"/>
      <sheetData sheetId="1"/>
      <sheetData sheetId="2"/>
      <sheetData sheetId="3"/>
      <sheetData sheetId="4">
        <row r="21">
          <cell r="B21">
            <v>44866</v>
          </cell>
        </row>
        <row r="22">
          <cell r="B22">
            <v>44903</v>
          </cell>
        </row>
        <row r="23">
          <cell r="B23">
            <v>44904</v>
          </cell>
        </row>
        <row r="24">
          <cell r="B24">
            <v>44920</v>
          </cell>
        </row>
        <row r="25">
          <cell r="B25">
            <v>44927</v>
          </cell>
        </row>
        <row r="26">
          <cell r="B26">
            <v>45022</v>
          </cell>
        </row>
        <row r="27">
          <cell r="B27">
            <v>45023</v>
          </cell>
        </row>
        <row r="28">
          <cell r="B28">
            <v>45047</v>
          </cell>
        </row>
        <row r="29">
          <cell r="B29">
            <v>45106</v>
          </cell>
        </row>
        <row r="30">
          <cell r="B30">
            <v>45135</v>
          </cell>
        </row>
        <row r="31">
          <cell r="B31">
            <v>45136</v>
          </cell>
        </row>
        <row r="32">
          <cell r="B32">
            <v>45168</v>
          </cell>
        </row>
        <row r="33">
          <cell r="B33">
            <v>45231</v>
          </cell>
        </row>
        <row r="34">
          <cell r="B34">
            <v>45268</v>
          </cell>
        </row>
        <row r="35">
          <cell r="B35">
            <v>45285</v>
          </cell>
        </row>
        <row r="36">
          <cell r="B36">
            <v>45292</v>
          </cell>
        </row>
        <row r="37">
          <cell r="B37">
            <v>45379</v>
          </cell>
        </row>
        <row r="38">
          <cell r="B38">
            <v>45380</v>
          </cell>
        </row>
        <row r="39">
          <cell r="B39">
            <v>45413</v>
          </cell>
        </row>
        <row r="40">
          <cell r="B40">
            <v>45450</v>
          </cell>
        </row>
        <row r="41">
          <cell r="B41"/>
        </row>
        <row r="42">
          <cell r="B42">
            <v>45496</v>
          </cell>
        </row>
        <row r="43">
          <cell r="B43">
            <v>45502</v>
          </cell>
        </row>
        <row r="44">
          <cell r="B44">
            <v>45510</v>
          </cell>
        </row>
        <row r="45">
          <cell r="B45">
            <v>45168</v>
          </cell>
        </row>
        <row r="46">
          <cell r="B46">
            <v>45573</v>
          </cell>
        </row>
        <row r="47">
          <cell r="B47">
            <v>45635</v>
          </cell>
        </row>
        <row r="48">
          <cell r="B48">
            <v>45651</v>
          </cell>
        </row>
        <row r="49">
          <cell r="B49">
            <v>45658</v>
          </cell>
        </row>
        <row r="50">
          <cell r="B50">
            <v>45764</v>
          </cell>
        </row>
        <row r="51">
          <cell r="B51">
            <v>45765</v>
          </cell>
        </row>
        <row r="52">
          <cell r="B52">
            <v>45778</v>
          </cell>
        </row>
        <row r="53">
          <cell r="B53">
            <v>45861</v>
          </cell>
        </row>
        <row r="54">
          <cell r="B54">
            <v>45866</v>
          </cell>
        </row>
        <row r="55">
          <cell r="B55">
            <v>45867</v>
          </cell>
        </row>
        <row r="56">
          <cell r="B56">
            <v>45875</v>
          </cell>
        </row>
        <row r="57">
          <cell r="B57">
            <v>45938</v>
          </cell>
        </row>
        <row r="58">
          <cell r="B58">
            <v>45999</v>
          </cell>
        </row>
        <row r="59">
          <cell r="B59">
            <v>46000</v>
          </cell>
        </row>
        <row r="60">
          <cell r="B60">
            <v>46016</v>
          </cell>
        </row>
        <row r="61">
          <cell r="B61">
            <v>46023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C07D-1534-4799-AF3C-3CB0C18904F6}">
  <dimension ref="A2:F37"/>
  <sheetViews>
    <sheetView workbookViewId="0">
      <selection sqref="A1:F39"/>
    </sheetView>
  </sheetViews>
  <sheetFormatPr baseColWidth="10" defaultRowHeight="14.5" x14ac:dyDescent="0.35"/>
  <cols>
    <col min="1" max="1" width="22" customWidth="1"/>
    <col min="2" max="2" width="24.08984375" bestFit="1" customWidth="1"/>
    <col min="3" max="3" width="13" customWidth="1"/>
    <col min="5" max="5" width="20.7265625" customWidth="1"/>
    <col min="6" max="6" width="12.90625" customWidth="1"/>
  </cols>
  <sheetData>
    <row r="2" spans="1:2" x14ac:dyDescent="0.35">
      <c r="A2" s="5" t="s">
        <v>1086</v>
      </c>
      <c r="B2" s="4"/>
    </row>
    <row r="3" spans="1:2" x14ac:dyDescent="0.35">
      <c r="A3" s="5"/>
      <c r="B3" s="4"/>
    </row>
    <row r="4" spans="1:2" x14ac:dyDescent="0.35">
      <c r="A4" s="5"/>
      <c r="B4" s="4"/>
    </row>
    <row r="5" spans="1:2" x14ac:dyDescent="0.35">
      <c r="A5" s="5" t="s">
        <v>1076</v>
      </c>
      <c r="B5" s="4"/>
    </row>
    <row r="6" spans="1:2" x14ac:dyDescent="0.35">
      <c r="A6" s="66" t="s">
        <v>1077</v>
      </c>
      <c r="B6" s="66" t="s">
        <v>1078</v>
      </c>
    </row>
    <row r="7" spans="1:2" x14ac:dyDescent="0.35">
      <c r="A7" s="1" t="s">
        <v>1079</v>
      </c>
      <c r="B7" s="1">
        <v>717</v>
      </c>
    </row>
    <row r="8" spans="1:2" x14ac:dyDescent="0.35">
      <c r="A8" s="3" t="s">
        <v>1080</v>
      </c>
      <c r="B8" s="3">
        <f>SUM(B7:B7)</f>
        <v>717</v>
      </c>
    </row>
    <row r="10" spans="1:2" x14ac:dyDescent="0.35">
      <c r="A10" s="59"/>
      <c r="B10" s="59"/>
    </row>
    <row r="11" spans="1:2" x14ac:dyDescent="0.35">
      <c r="A11" s="59" t="s">
        <v>1081</v>
      </c>
    </row>
    <row r="12" spans="1:2" x14ac:dyDescent="0.35">
      <c r="A12" s="66" t="s">
        <v>1077</v>
      </c>
      <c r="B12" s="66" t="s">
        <v>1078</v>
      </c>
    </row>
    <row r="13" spans="1:2" x14ac:dyDescent="0.35">
      <c r="A13" s="1" t="s">
        <v>1079</v>
      </c>
      <c r="B13" s="1">
        <v>208</v>
      </c>
    </row>
    <row r="14" spans="1:2" ht="15" thickBot="1" x14ac:dyDescent="0.4"/>
    <row r="15" spans="1:2" ht="15" thickBot="1" x14ac:dyDescent="0.4">
      <c r="A15" s="67" t="s">
        <v>1082</v>
      </c>
      <c r="B15" s="68">
        <f>B7+B13</f>
        <v>925</v>
      </c>
    </row>
    <row r="17" spans="1:6" x14ac:dyDescent="0.35">
      <c r="A17" s="59" t="s">
        <v>1087</v>
      </c>
    </row>
    <row r="18" spans="1:6" ht="15" thickBot="1" x14ac:dyDescent="0.4">
      <c r="A18" s="74" t="s">
        <v>1088</v>
      </c>
      <c r="B18" s="74" t="s">
        <v>1089</v>
      </c>
    </row>
    <row r="19" spans="1:6" x14ac:dyDescent="0.35">
      <c r="A19" s="75" t="s">
        <v>169</v>
      </c>
      <c r="B19" s="76">
        <v>3</v>
      </c>
      <c r="C19" s="77"/>
      <c r="D19" s="77"/>
      <c r="E19" s="78"/>
      <c r="F19" s="79"/>
    </row>
    <row r="20" spans="1:6" x14ac:dyDescent="0.35">
      <c r="A20" s="75" t="s">
        <v>1073</v>
      </c>
      <c r="B20" s="76">
        <v>3</v>
      </c>
      <c r="C20" s="80"/>
      <c r="D20" s="80"/>
      <c r="E20" s="80"/>
      <c r="F20" s="80"/>
    </row>
    <row r="21" spans="1:6" x14ac:dyDescent="0.35">
      <c r="A21" s="75" t="s">
        <v>89</v>
      </c>
      <c r="B21" s="76">
        <v>10</v>
      </c>
      <c r="C21" s="80"/>
      <c r="D21" s="80"/>
      <c r="E21" s="81"/>
      <c r="F21" s="80"/>
    </row>
    <row r="22" spans="1:6" x14ac:dyDescent="0.35">
      <c r="A22" s="75" t="s">
        <v>78</v>
      </c>
      <c r="B22" s="76">
        <v>2</v>
      </c>
      <c r="C22" s="80"/>
      <c r="D22" s="80"/>
      <c r="E22" s="82"/>
      <c r="F22" s="80"/>
    </row>
    <row r="23" spans="1:6" x14ac:dyDescent="0.35">
      <c r="A23" s="75" t="s">
        <v>154</v>
      </c>
      <c r="B23" s="76">
        <v>2</v>
      </c>
      <c r="C23" s="80"/>
      <c r="D23" s="80"/>
      <c r="E23" s="82"/>
      <c r="F23" s="80"/>
    </row>
    <row r="24" spans="1:6" x14ac:dyDescent="0.35">
      <c r="A24" s="75" t="s">
        <v>93</v>
      </c>
      <c r="B24" s="76">
        <v>5</v>
      </c>
      <c r="C24" s="80"/>
      <c r="D24" s="80"/>
      <c r="E24" s="83"/>
      <c r="F24" s="80"/>
    </row>
    <row r="25" spans="1:6" ht="15" thickBot="1" x14ac:dyDescent="0.4">
      <c r="A25" s="75" t="s">
        <v>180</v>
      </c>
      <c r="B25" s="76">
        <v>5</v>
      </c>
      <c r="C25" s="80"/>
      <c r="D25" s="80"/>
      <c r="E25" s="83"/>
      <c r="F25" s="80"/>
    </row>
    <row r="26" spans="1:6" x14ac:dyDescent="0.35">
      <c r="A26" s="84" t="s">
        <v>1090</v>
      </c>
      <c r="B26" s="85">
        <v>30</v>
      </c>
      <c r="C26" s="80"/>
      <c r="D26" s="80"/>
      <c r="E26" s="83"/>
      <c r="F26" s="80"/>
    </row>
    <row r="27" spans="1:6" ht="46.5" x14ac:dyDescent="0.35">
      <c r="A27" s="86" t="s">
        <v>1091</v>
      </c>
      <c r="B27" s="87"/>
      <c r="C27" s="80"/>
      <c r="D27" s="80"/>
      <c r="E27" s="83"/>
      <c r="F27" s="80"/>
    </row>
    <row r="28" spans="1:6" x14ac:dyDescent="0.35">
      <c r="A28" s="4"/>
      <c r="B28" s="5"/>
      <c r="C28" s="88"/>
      <c r="D28" s="5"/>
      <c r="E28" s="5"/>
      <c r="F28" s="88"/>
    </row>
    <row r="29" spans="1:6" x14ac:dyDescent="0.35">
      <c r="A29" s="89"/>
      <c r="B29" s="4"/>
      <c r="C29" s="4"/>
      <c r="D29" s="4"/>
      <c r="E29" s="4"/>
      <c r="F29" s="4"/>
    </row>
    <row r="30" spans="1:6" x14ac:dyDescent="0.35">
      <c r="A30" s="70"/>
      <c r="E30" s="71"/>
    </row>
    <row r="31" spans="1:6" x14ac:dyDescent="0.35">
      <c r="A31" s="59" t="s">
        <v>1083</v>
      </c>
    </row>
    <row r="32" spans="1:6" x14ac:dyDescent="0.35">
      <c r="A32" s="72" t="s">
        <v>1084</v>
      </c>
      <c r="B32" s="72" t="s">
        <v>41</v>
      </c>
    </row>
    <row r="33" spans="1:2" x14ac:dyDescent="0.35">
      <c r="A33" s="73" t="s">
        <v>39</v>
      </c>
      <c r="B33" s="2">
        <v>24</v>
      </c>
    </row>
    <row r="34" spans="1:2" x14ac:dyDescent="0.35">
      <c r="A34" s="2" t="s">
        <v>40</v>
      </c>
      <c r="B34" s="2"/>
    </row>
    <row r="35" spans="1:2" x14ac:dyDescent="0.35">
      <c r="A35" s="2" t="s">
        <v>156</v>
      </c>
      <c r="B35" s="2">
        <v>1</v>
      </c>
    </row>
    <row r="36" spans="1:2" x14ac:dyDescent="0.35">
      <c r="A36" s="2" t="s">
        <v>1092</v>
      </c>
      <c r="B36" s="2">
        <v>5</v>
      </c>
    </row>
    <row r="37" spans="1:2" x14ac:dyDescent="0.35">
      <c r="A37" s="69" t="s">
        <v>1085</v>
      </c>
      <c r="B37" s="69">
        <f>SUM(B33:B36)</f>
        <v>30</v>
      </c>
    </row>
  </sheetData>
  <mergeCells count="1">
    <mergeCell ref="C19:D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6765-B5AA-4E8B-BEBB-20A12314921A}">
  <dimension ref="A2:K935"/>
  <sheetViews>
    <sheetView topLeftCell="F5" workbookViewId="0">
      <selection activeCell="M8" sqref="M8"/>
    </sheetView>
  </sheetViews>
  <sheetFormatPr baseColWidth="10" defaultRowHeight="14.5" x14ac:dyDescent="0.35"/>
  <cols>
    <col min="1" max="1" width="3.81640625" bestFit="1" customWidth="1"/>
    <col min="4" max="4" width="17.81640625" bestFit="1" customWidth="1"/>
    <col min="5" max="5" width="61.453125" customWidth="1"/>
    <col min="6" max="7" width="20.08984375" bestFit="1" customWidth="1"/>
    <col min="8" max="8" width="17" bestFit="1" customWidth="1"/>
    <col min="9" max="9" width="15.7265625" bestFit="1" customWidth="1"/>
    <col min="10" max="10" width="42.81640625" bestFit="1" customWidth="1"/>
    <col min="11" max="11" width="14.26953125" bestFit="1" customWidth="1"/>
  </cols>
  <sheetData>
    <row r="2" spans="1:11" x14ac:dyDescent="0.35">
      <c r="B2" s="59" t="s">
        <v>0</v>
      </c>
      <c r="G2" s="60"/>
    </row>
    <row r="3" spans="1:11" x14ac:dyDescent="0.35">
      <c r="B3" t="s">
        <v>188</v>
      </c>
      <c r="G3" s="60"/>
    </row>
    <row r="4" spans="1:11" x14ac:dyDescent="0.35">
      <c r="G4" s="60"/>
    </row>
    <row r="5" spans="1:11" x14ac:dyDescent="0.35">
      <c r="G5" s="60"/>
    </row>
    <row r="6" spans="1:11" x14ac:dyDescent="0.35">
      <c r="B6" s="61" t="s">
        <v>1</v>
      </c>
      <c r="C6" s="62" t="s">
        <v>2</v>
      </c>
      <c r="D6" s="61" t="s">
        <v>3</v>
      </c>
      <c r="E6" s="62" t="s">
        <v>4</v>
      </c>
      <c r="F6" s="62" t="s">
        <v>5</v>
      </c>
      <c r="G6" s="63" t="s">
        <v>6</v>
      </c>
      <c r="H6" s="62" t="s">
        <v>7</v>
      </c>
      <c r="I6" s="62" t="s">
        <v>189</v>
      </c>
      <c r="J6" s="62" t="s">
        <v>190</v>
      </c>
      <c r="K6" s="62" t="s">
        <v>191</v>
      </c>
    </row>
    <row r="7" spans="1:11" x14ac:dyDescent="0.35">
      <c r="A7">
        <v>1</v>
      </c>
      <c r="B7" s="90" t="s">
        <v>16</v>
      </c>
      <c r="C7" s="2" t="s">
        <v>8</v>
      </c>
      <c r="D7" s="2" t="s">
        <v>216</v>
      </c>
      <c r="E7" s="2" t="s">
        <v>217</v>
      </c>
      <c r="F7" s="2" t="s">
        <v>218</v>
      </c>
      <c r="G7" s="2" t="s">
        <v>219</v>
      </c>
      <c r="H7" s="10">
        <f>WORKDAY(G7,125,'[1]Feriados y Materias'!$B$21:$B$61)</f>
        <v>46015</v>
      </c>
      <c r="I7" s="2" t="s">
        <v>192</v>
      </c>
      <c r="J7" s="2" t="s">
        <v>195</v>
      </c>
      <c r="K7" s="91" t="s">
        <v>1093</v>
      </c>
    </row>
    <row r="8" spans="1:11" x14ac:dyDescent="0.35">
      <c r="A8">
        <v>2</v>
      </c>
      <c r="B8" s="90" t="s">
        <v>16</v>
      </c>
      <c r="C8" s="2" t="s">
        <v>8</v>
      </c>
      <c r="D8" s="2" t="s">
        <v>90</v>
      </c>
      <c r="E8" s="2" t="s">
        <v>91</v>
      </c>
      <c r="F8" s="2" t="s">
        <v>220</v>
      </c>
      <c r="G8" s="2" t="s">
        <v>149</v>
      </c>
      <c r="H8" s="10">
        <f>WORKDAY(G8,125,'[1]Feriados y Materias'!$B$21:$B$61)</f>
        <v>46036</v>
      </c>
      <c r="I8" s="2" t="s">
        <v>192</v>
      </c>
      <c r="J8" s="2" t="s">
        <v>200</v>
      </c>
      <c r="K8" s="2" t="s">
        <v>1093</v>
      </c>
    </row>
    <row r="9" spans="1:11" x14ac:dyDescent="0.35">
      <c r="A9">
        <v>3</v>
      </c>
      <c r="B9" s="90" t="s">
        <v>16</v>
      </c>
      <c r="C9" s="2" t="s">
        <v>8</v>
      </c>
      <c r="D9" s="2" t="s">
        <v>151</v>
      </c>
      <c r="E9" s="2" t="s">
        <v>152</v>
      </c>
      <c r="F9" s="2" t="s">
        <v>230</v>
      </c>
      <c r="G9" s="2" t="s">
        <v>153</v>
      </c>
      <c r="H9" s="10">
        <f>WORKDAY(G9,125,'[1]Feriados y Materias'!$B$21:$B$61)</f>
        <v>46051</v>
      </c>
      <c r="I9" s="2" t="s">
        <v>192</v>
      </c>
      <c r="J9" s="2" t="s">
        <v>77</v>
      </c>
      <c r="K9" s="2" t="s">
        <v>1093</v>
      </c>
    </row>
    <row r="10" spans="1:11" x14ac:dyDescent="0.35">
      <c r="A10">
        <v>4</v>
      </c>
      <c r="B10" s="90" t="s">
        <v>16</v>
      </c>
      <c r="C10" s="2" t="s">
        <v>8</v>
      </c>
      <c r="D10" s="2" t="s">
        <v>235</v>
      </c>
      <c r="E10" s="2" t="s">
        <v>236</v>
      </c>
      <c r="F10" s="2" t="s">
        <v>237</v>
      </c>
      <c r="G10" s="2" t="s">
        <v>238</v>
      </c>
      <c r="H10" s="10">
        <f>WORKDAY(G10,125,'[1]Feriados y Materias'!$B$21:$B$61)</f>
        <v>46056</v>
      </c>
      <c r="I10" s="2" t="s">
        <v>192</v>
      </c>
      <c r="J10" s="2" t="s">
        <v>200</v>
      </c>
      <c r="K10" s="2" t="s">
        <v>1093</v>
      </c>
    </row>
    <row r="11" spans="1:11" x14ac:dyDescent="0.35">
      <c r="A11">
        <v>5</v>
      </c>
      <c r="B11" s="90" t="s">
        <v>16</v>
      </c>
      <c r="C11" s="2" t="s">
        <v>8</v>
      </c>
      <c r="D11" s="2" t="s">
        <v>242</v>
      </c>
      <c r="E11" s="2" t="s">
        <v>243</v>
      </c>
      <c r="F11" s="2" t="s">
        <v>244</v>
      </c>
      <c r="G11" s="2" t="s">
        <v>245</v>
      </c>
      <c r="H11" s="10">
        <f>WORKDAY(G11,125,'[1]Feriados y Materias'!$B$21:$B$61)</f>
        <v>46057</v>
      </c>
      <c r="I11" s="2" t="s">
        <v>192</v>
      </c>
      <c r="J11" s="2" t="s">
        <v>195</v>
      </c>
      <c r="K11" s="2" t="s">
        <v>1093</v>
      </c>
    </row>
    <row r="12" spans="1:11" x14ac:dyDescent="0.35">
      <c r="A12">
        <v>6</v>
      </c>
      <c r="B12" s="90" t="s">
        <v>16</v>
      </c>
      <c r="C12" s="2" t="s">
        <v>8</v>
      </c>
      <c r="D12" s="2" t="s">
        <v>83</v>
      </c>
      <c r="E12" s="2" t="s">
        <v>84</v>
      </c>
      <c r="F12" s="2" t="s">
        <v>246</v>
      </c>
      <c r="G12" s="2" t="s">
        <v>247</v>
      </c>
      <c r="H12" s="10">
        <f>WORKDAY(G12,125,'[1]Feriados y Materias'!$B$21:$B$61)</f>
        <v>46059</v>
      </c>
      <c r="I12" s="2" t="s">
        <v>192</v>
      </c>
      <c r="J12" s="2" t="s">
        <v>194</v>
      </c>
      <c r="K12" s="2" t="s">
        <v>1093</v>
      </c>
    </row>
    <row r="13" spans="1:11" x14ac:dyDescent="0.35">
      <c r="A13">
        <v>7</v>
      </c>
      <c r="B13" s="90" t="s">
        <v>16</v>
      </c>
      <c r="C13" s="2" t="s">
        <v>8</v>
      </c>
      <c r="D13" s="2" t="s">
        <v>256</v>
      </c>
      <c r="E13" s="2" t="s">
        <v>257</v>
      </c>
      <c r="F13" s="2" t="s">
        <v>258</v>
      </c>
      <c r="G13" s="2" t="s">
        <v>259</v>
      </c>
      <c r="H13" s="10">
        <f>WORKDAY(G13,125,'[1]Feriados y Materias'!$B$21:$B$61)</f>
        <v>46063</v>
      </c>
      <c r="I13" s="2" t="s">
        <v>192</v>
      </c>
      <c r="J13" s="2" t="s">
        <v>77</v>
      </c>
      <c r="K13" s="2" t="s">
        <v>1093</v>
      </c>
    </row>
    <row r="14" spans="1:11" x14ac:dyDescent="0.35">
      <c r="A14">
        <v>8</v>
      </c>
      <c r="B14" s="90" t="s">
        <v>16</v>
      </c>
      <c r="C14" s="2" t="s">
        <v>8</v>
      </c>
      <c r="D14" s="2" t="s">
        <v>151</v>
      </c>
      <c r="E14" s="2" t="s">
        <v>152</v>
      </c>
      <c r="F14" s="2" t="s">
        <v>260</v>
      </c>
      <c r="G14" s="2" t="s">
        <v>259</v>
      </c>
      <c r="H14" s="10">
        <f>WORKDAY(G14,125,'[1]Feriados y Materias'!$B$21:$B$61)</f>
        <v>46063</v>
      </c>
      <c r="I14" s="2" t="s">
        <v>192</v>
      </c>
      <c r="J14" s="2" t="s">
        <v>261</v>
      </c>
      <c r="K14" s="2" t="s">
        <v>1093</v>
      </c>
    </row>
    <row r="15" spans="1:11" x14ac:dyDescent="0.35">
      <c r="A15">
        <v>9</v>
      </c>
      <c r="B15" s="90" t="s">
        <v>16</v>
      </c>
      <c r="C15" s="2" t="s">
        <v>8</v>
      </c>
      <c r="D15" s="2" t="s">
        <v>151</v>
      </c>
      <c r="E15" s="2" t="s">
        <v>152</v>
      </c>
      <c r="F15" s="2" t="s">
        <v>265</v>
      </c>
      <c r="G15" s="2" t="s">
        <v>259</v>
      </c>
      <c r="H15" s="10">
        <f>WORKDAY(G15,125,'[1]Feriados y Materias'!$B$21:$B$61)</f>
        <v>46063</v>
      </c>
      <c r="I15" s="2" t="s">
        <v>192</v>
      </c>
      <c r="J15" s="2" t="s">
        <v>203</v>
      </c>
      <c r="K15" s="2" t="s">
        <v>1093</v>
      </c>
    </row>
    <row r="16" spans="1:11" x14ac:dyDescent="0.35">
      <c r="A16">
        <v>10</v>
      </c>
      <c r="B16" s="90" t="s">
        <v>16</v>
      </c>
      <c r="C16" s="2" t="s">
        <v>8</v>
      </c>
      <c r="D16" s="2" t="s">
        <v>270</v>
      </c>
      <c r="E16" s="2" t="s">
        <v>271</v>
      </c>
      <c r="F16" s="2" t="s">
        <v>272</v>
      </c>
      <c r="G16" s="2" t="s">
        <v>158</v>
      </c>
      <c r="H16" s="10">
        <f>WORKDAY(G16,125,'[1]Feriados y Materias'!$B$21:$B$61)</f>
        <v>46064</v>
      </c>
      <c r="I16" s="2" t="s">
        <v>192</v>
      </c>
      <c r="J16" s="2" t="s">
        <v>77</v>
      </c>
      <c r="K16" s="2" t="s">
        <v>1093</v>
      </c>
    </row>
    <row r="17" spans="1:11" x14ac:dyDescent="0.35">
      <c r="A17">
        <v>11</v>
      </c>
      <c r="B17" s="90" t="s">
        <v>16</v>
      </c>
      <c r="C17" s="2" t="s">
        <v>8</v>
      </c>
      <c r="D17" s="2" t="s">
        <v>273</v>
      </c>
      <c r="E17" s="2" t="s">
        <v>274</v>
      </c>
      <c r="F17" s="2" t="s">
        <v>275</v>
      </c>
      <c r="G17" s="2" t="s">
        <v>158</v>
      </c>
      <c r="H17" s="10">
        <f>WORKDAY(G17,125,'[1]Feriados y Materias'!$B$21:$B$61)</f>
        <v>46064</v>
      </c>
      <c r="I17" s="2" t="s">
        <v>192</v>
      </c>
      <c r="J17" s="2" t="s">
        <v>193</v>
      </c>
      <c r="K17" s="2" t="s">
        <v>1093</v>
      </c>
    </row>
    <row r="18" spans="1:11" x14ac:dyDescent="0.35">
      <c r="A18">
        <v>12</v>
      </c>
      <c r="B18" s="90" t="s">
        <v>16</v>
      </c>
      <c r="C18" s="2" t="s">
        <v>8</v>
      </c>
      <c r="D18" s="2" t="s">
        <v>273</v>
      </c>
      <c r="E18" s="2" t="s">
        <v>274</v>
      </c>
      <c r="F18" s="2" t="s">
        <v>276</v>
      </c>
      <c r="G18" s="2" t="s">
        <v>158</v>
      </c>
      <c r="H18" s="10">
        <f>WORKDAY(G18,125,'[1]Feriados y Materias'!$B$21:$B$61)</f>
        <v>46064</v>
      </c>
      <c r="I18" s="2" t="s">
        <v>192</v>
      </c>
      <c r="J18" s="2" t="s">
        <v>193</v>
      </c>
      <c r="K18" s="2" t="s">
        <v>1093</v>
      </c>
    </row>
    <row r="19" spans="1:11" x14ac:dyDescent="0.35">
      <c r="A19">
        <v>13</v>
      </c>
      <c r="B19" s="90" t="s">
        <v>16</v>
      </c>
      <c r="C19" s="2" t="s">
        <v>8</v>
      </c>
      <c r="D19" s="2" t="s">
        <v>253</v>
      </c>
      <c r="E19" s="2" t="s">
        <v>254</v>
      </c>
      <c r="F19" s="2" t="s">
        <v>278</v>
      </c>
      <c r="G19" s="2" t="s">
        <v>158</v>
      </c>
      <c r="H19" s="10">
        <f>WORKDAY(G19,125,'[1]Feriados y Materias'!$B$21:$B$61)</f>
        <v>46064</v>
      </c>
      <c r="I19" s="2" t="s">
        <v>192</v>
      </c>
      <c r="J19" s="2" t="s">
        <v>77</v>
      </c>
      <c r="K19" s="2" t="s">
        <v>1093</v>
      </c>
    </row>
    <row r="20" spans="1:11" x14ac:dyDescent="0.35">
      <c r="A20">
        <v>14</v>
      </c>
      <c r="B20" s="90" t="s">
        <v>16</v>
      </c>
      <c r="C20" s="2" t="s">
        <v>8</v>
      </c>
      <c r="D20" s="2" t="s">
        <v>270</v>
      </c>
      <c r="E20" s="2" t="s">
        <v>271</v>
      </c>
      <c r="F20" s="2" t="s">
        <v>279</v>
      </c>
      <c r="G20" s="2" t="s">
        <v>158</v>
      </c>
      <c r="H20" s="10">
        <f>WORKDAY(G20,125,'[1]Feriados y Materias'!$B$21:$B$61)</f>
        <v>46064</v>
      </c>
      <c r="I20" s="2" t="s">
        <v>192</v>
      </c>
      <c r="J20" s="2" t="s">
        <v>77</v>
      </c>
      <c r="K20" s="2" t="s">
        <v>1093</v>
      </c>
    </row>
    <row r="21" spans="1:11" x14ac:dyDescent="0.35">
      <c r="A21">
        <v>15</v>
      </c>
      <c r="B21" s="90" t="s">
        <v>16</v>
      </c>
      <c r="C21" s="2" t="s">
        <v>8</v>
      </c>
      <c r="D21" s="2" t="s">
        <v>273</v>
      </c>
      <c r="E21" s="2" t="s">
        <v>274</v>
      </c>
      <c r="F21" s="2" t="s">
        <v>281</v>
      </c>
      <c r="G21" s="2" t="s">
        <v>158</v>
      </c>
      <c r="H21" s="10">
        <f>WORKDAY(G21,125,'[1]Feriados y Materias'!$B$21:$B$61)</f>
        <v>46064</v>
      </c>
      <c r="I21" s="2" t="s">
        <v>192</v>
      </c>
      <c r="J21" s="2" t="s">
        <v>193</v>
      </c>
      <c r="K21" s="2" t="s">
        <v>1093</v>
      </c>
    </row>
    <row r="22" spans="1:11" x14ac:dyDescent="0.35">
      <c r="A22">
        <v>16</v>
      </c>
      <c r="B22" s="90" t="s">
        <v>16</v>
      </c>
      <c r="C22" s="2" t="s">
        <v>8</v>
      </c>
      <c r="D22" s="2" t="s">
        <v>273</v>
      </c>
      <c r="E22" s="2" t="s">
        <v>274</v>
      </c>
      <c r="F22" s="2" t="s">
        <v>282</v>
      </c>
      <c r="G22" s="2" t="s">
        <v>158</v>
      </c>
      <c r="H22" s="10">
        <f>WORKDAY(G22,125,'[1]Feriados y Materias'!$B$21:$B$61)</f>
        <v>46064</v>
      </c>
      <c r="I22" s="2" t="s">
        <v>192</v>
      </c>
      <c r="J22" s="2" t="s">
        <v>193</v>
      </c>
      <c r="K22" s="2" t="s">
        <v>1093</v>
      </c>
    </row>
    <row r="23" spans="1:11" x14ac:dyDescent="0.35">
      <c r="A23">
        <v>17</v>
      </c>
      <c r="B23" s="90" t="s">
        <v>16</v>
      </c>
      <c r="C23" s="2" t="s">
        <v>8</v>
      </c>
      <c r="D23" s="2" t="s">
        <v>273</v>
      </c>
      <c r="E23" s="2" t="s">
        <v>274</v>
      </c>
      <c r="F23" s="2" t="s">
        <v>283</v>
      </c>
      <c r="G23" s="2" t="s">
        <v>158</v>
      </c>
      <c r="H23" s="10">
        <f>WORKDAY(G23,125,'[1]Feriados y Materias'!$B$21:$B$61)</f>
        <v>46064</v>
      </c>
      <c r="I23" s="2" t="s">
        <v>192</v>
      </c>
      <c r="J23" s="2" t="s">
        <v>193</v>
      </c>
      <c r="K23" s="2" t="s">
        <v>1093</v>
      </c>
    </row>
    <row r="24" spans="1:11" x14ac:dyDescent="0.35">
      <c r="A24">
        <v>18</v>
      </c>
      <c r="B24" s="90" t="s">
        <v>16</v>
      </c>
      <c r="C24" s="2" t="s">
        <v>8</v>
      </c>
      <c r="D24" s="2" t="s">
        <v>273</v>
      </c>
      <c r="E24" s="2" t="s">
        <v>274</v>
      </c>
      <c r="F24" s="2" t="s">
        <v>284</v>
      </c>
      <c r="G24" s="2" t="s">
        <v>158</v>
      </c>
      <c r="H24" s="10">
        <f>WORKDAY(G24,125,'[1]Feriados y Materias'!$B$21:$B$61)</f>
        <v>46064</v>
      </c>
      <c r="I24" s="2" t="s">
        <v>192</v>
      </c>
      <c r="J24" s="2" t="s">
        <v>193</v>
      </c>
      <c r="K24" s="2" t="s">
        <v>1093</v>
      </c>
    </row>
    <row r="25" spans="1:11" x14ac:dyDescent="0.35">
      <c r="A25">
        <v>19</v>
      </c>
      <c r="B25" s="90" t="s">
        <v>16</v>
      </c>
      <c r="C25" s="2" t="s">
        <v>8</v>
      </c>
      <c r="D25" s="2" t="s">
        <v>273</v>
      </c>
      <c r="E25" s="2" t="s">
        <v>274</v>
      </c>
      <c r="F25" s="2" t="s">
        <v>285</v>
      </c>
      <c r="G25" s="2" t="s">
        <v>158</v>
      </c>
      <c r="H25" s="10">
        <f>WORKDAY(G25,125,'[1]Feriados y Materias'!$B$21:$B$61)</f>
        <v>46064</v>
      </c>
      <c r="I25" s="2" t="s">
        <v>192</v>
      </c>
      <c r="J25" s="2" t="s">
        <v>193</v>
      </c>
      <c r="K25" s="2" t="s">
        <v>1093</v>
      </c>
    </row>
    <row r="26" spans="1:11" x14ac:dyDescent="0.35">
      <c r="A26">
        <v>20</v>
      </c>
      <c r="B26" s="90" t="s">
        <v>16</v>
      </c>
      <c r="C26" s="2" t="s">
        <v>8</v>
      </c>
      <c r="D26" s="2" t="s">
        <v>273</v>
      </c>
      <c r="E26" s="2" t="s">
        <v>274</v>
      </c>
      <c r="F26" s="2" t="s">
        <v>286</v>
      </c>
      <c r="G26" s="2" t="s">
        <v>158</v>
      </c>
      <c r="H26" s="10">
        <f>WORKDAY(G26,125,'[1]Feriados y Materias'!$B$21:$B$61)</f>
        <v>46064</v>
      </c>
      <c r="I26" s="2" t="s">
        <v>192</v>
      </c>
      <c r="J26" s="2" t="s">
        <v>193</v>
      </c>
      <c r="K26" s="2" t="s">
        <v>1093</v>
      </c>
    </row>
    <row r="27" spans="1:11" x14ac:dyDescent="0.35">
      <c r="A27">
        <v>21</v>
      </c>
      <c r="B27" s="90" t="s">
        <v>16</v>
      </c>
      <c r="C27" s="2" t="s">
        <v>8</v>
      </c>
      <c r="D27" s="2" t="s">
        <v>262</v>
      </c>
      <c r="E27" s="2" t="s">
        <v>263</v>
      </c>
      <c r="F27" s="2" t="s">
        <v>287</v>
      </c>
      <c r="G27" s="2" t="s">
        <v>288</v>
      </c>
      <c r="H27" s="10">
        <f>WORKDAY(G27,125,'[1]Feriados y Materias'!$B$21:$B$61)</f>
        <v>46065</v>
      </c>
      <c r="I27" s="2" t="s">
        <v>192</v>
      </c>
      <c r="J27" s="2" t="s">
        <v>194</v>
      </c>
      <c r="K27" s="2" t="s">
        <v>1093</v>
      </c>
    </row>
    <row r="28" spans="1:11" x14ac:dyDescent="0.35">
      <c r="A28">
        <v>22</v>
      </c>
      <c r="B28" s="90" t="s">
        <v>16</v>
      </c>
      <c r="C28" s="2" t="s">
        <v>8</v>
      </c>
      <c r="D28" s="2" t="s">
        <v>262</v>
      </c>
      <c r="E28" s="2" t="s">
        <v>263</v>
      </c>
      <c r="F28" s="2" t="s">
        <v>289</v>
      </c>
      <c r="G28" s="2" t="s">
        <v>288</v>
      </c>
      <c r="H28" s="10">
        <f>WORKDAY(G28,125,'[1]Feriados y Materias'!$B$21:$B$61)</f>
        <v>46065</v>
      </c>
      <c r="I28" s="2" t="s">
        <v>192</v>
      </c>
      <c r="J28" s="2" t="s">
        <v>194</v>
      </c>
      <c r="K28" s="2" t="s">
        <v>1093</v>
      </c>
    </row>
    <row r="29" spans="1:11" x14ac:dyDescent="0.35">
      <c r="A29">
        <v>23</v>
      </c>
      <c r="B29" s="90" t="s">
        <v>16</v>
      </c>
      <c r="C29" s="2" t="s">
        <v>8</v>
      </c>
      <c r="D29" s="2" t="s">
        <v>262</v>
      </c>
      <c r="E29" s="2" t="s">
        <v>263</v>
      </c>
      <c r="F29" s="2" t="s">
        <v>290</v>
      </c>
      <c r="G29" s="2" t="s">
        <v>288</v>
      </c>
      <c r="H29" s="10">
        <f>WORKDAY(G29,125,'[1]Feriados y Materias'!$B$21:$B$61)</f>
        <v>46065</v>
      </c>
      <c r="I29" s="2" t="s">
        <v>192</v>
      </c>
      <c r="J29" s="2" t="s">
        <v>194</v>
      </c>
      <c r="K29" s="2" t="s">
        <v>1093</v>
      </c>
    </row>
    <row r="30" spans="1:11" x14ac:dyDescent="0.35">
      <c r="A30">
        <v>24</v>
      </c>
      <c r="B30" s="90" t="s">
        <v>16</v>
      </c>
      <c r="C30" s="2" t="s">
        <v>8</v>
      </c>
      <c r="D30" s="2" t="s">
        <v>262</v>
      </c>
      <c r="E30" s="2" t="s">
        <v>263</v>
      </c>
      <c r="F30" s="2" t="s">
        <v>291</v>
      </c>
      <c r="G30" s="2" t="s">
        <v>288</v>
      </c>
      <c r="H30" s="10">
        <f>WORKDAY(G30,125,'[1]Feriados y Materias'!$B$21:$B$61)</f>
        <v>46065</v>
      </c>
      <c r="I30" s="2" t="s">
        <v>192</v>
      </c>
      <c r="J30" s="2" t="s">
        <v>194</v>
      </c>
      <c r="K30" s="2" t="s">
        <v>1093</v>
      </c>
    </row>
    <row r="31" spans="1:11" x14ac:dyDescent="0.35">
      <c r="A31">
        <v>25</v>
      </c>
      <c r="B31" s="90" t="s">
        <v>16</v>
      </c>
      <c r="C31" s="2" t="s">
        <v>8</v>
      </c>
      <c r="D31" s="2" t="s">
        <v>262</v>
      </c>
      <c r="E31" s="2" t="s">
        <v>263</v>
      </c>
      <c r="F31" s="2" t="s">
        <v>292</v>
      </c>
      <c r="G31" s="2" t="s">
        <v>288</v>
      </c>
      <c r="H31" s="10">
        <f>WORKDAY(G31,125,'[1]Feriados y Materias'!$B$21:$B$61)</f>
        <v>46065</v>
      </c>
      <c r="I31" s="2" t="s">
        <v>192</v>
      </c>
      <c r="J31" s="2" t="s">
        <v>194</v>
      </c>
      <c r="K31" s="2" t="s">
        <v>1093</v>
      </c>
    </row>
    <row r="32" spans="1:11" x14ac:dyDescent="0.35">
      <c r="A32">
        <v>26</v>
      </c>
      <c r="B32" s="90" t="s">
        <v>16</v>
      </c>
      <c r="C32" s="2" t="s">
        <v>8</v>
      </c>
      <c r="D32" s="2" t="s">
        <v>262</v>
      </c>
      <c r="E32" s="2" t="s">
        <v>263</v>
      </c>
      <c r="F32" s="2" t="s">
        <v>293</v>
      </c>
      <c r="G32" s="2" t="s">
        <v>288</v>
      </c>
      <c r="H32" s="10">
        <f>WORKDAY(G32,125,'[1]Feriados y Materias'!$B$21:$B$61)</f>
        <v>46065</v>
      </c>
      <c r="I32" s="2" t="s">
        <v>192</v>
      </c>
      <c r="J32" s="2" t="s">
        <v>194</v>
      </c>
      <c r="K32" s="2" t="s">
        <v>1093</v>
      </c>
    </row>
    <row r="33" spans="1:11" x14ac:dyDescent="0.35">
      <c r="A33">
        <v>27</v>
      </c>
      <c r="B33" s="90" t="s">
        <v>16</v>
      </c>
      <c r="C33" s="2" t="s">
        <v>8</v>
      </c>
      <c r="D33" s="2" t="s">
        <v>262</v>
      </c>
      <c r="E33" s="2" t="s">
        <v>263</v>
      </c>
      <c r="F33" s="2" t="s">
        <v>294</v>
      </c>
      <c r="G33" s="2" t="s">
        <v>288</v>
      </c>
      <c r="H33" s="10">
        <f>WORKDAY(G33,125,'[1]Feriados y Materias'!$B$21:$B$61)</f>
        <v>46065</v>
      </c>
      <c r="I33" s="2" t="s">
        <v>192</v>
      </c>
      <c r="J33" s="2" t="s">
        <v>194</v>
      </c>
      <c r="K33" s="2" t="s">
        <v>1093</v>
      </c>
    </row>
    <row r="34" spans="1:11" x14ac:dyDescent="0.35">
      <c r="A34">
        <v>28</v>
      </c>
      <c r="B34" s="90" t="s">
        <v>16</v>
      </c>
      <c r="C34" s="2" t="s">
        <v>8</v>
      </c>
      <c r="D34" s="2" t="s">
        <v>262</v>
      </c>
      <c r="E34" s="2" t="s">
        <v>263</v>
      </c>
      <c r="F34" s="2" t="s">
        <v>295</v>
      </c>
      <c r="G34" s="2" t="s">
        <v>288</v>
      </c>
      <c r="H34" s="10">
        <f>WORKDAY(G34,125,'[1]Feriados y Materias'!$B$21:$B$61)</f>
        <v>46065</v>
      </c>
      <c r="I34" s="2" t="s">
        <v>192</v>
      </c>
      <c r="J34" s="2" t="s">
        <v>194</v>
      </c>
      <c r="K34" s="2" t="s">
        <v>1093</v>
      </c>
    </row>
    <row r="35" spans="1:11" x14ac:dyDescent="0.35">
      <c r="A35">
        <v>29</v>
      </c>
      <c r="B35" s="90" t="s">
        <v>16</v>
      </c>
      <c r="C35" s="2" t="s">
        <v>8</v>
      </c>
      <c r="D35" s="2" t="s">
        <v>262</v>
      </c>
      <c r="E35" s="2" t="s">
        <v>263</v>
      </c>
      <c r="F35" s="2" t="s">
        <v>296</v>
      </c>
      <c r="G35" s="2" t="s">
        <v>288</v>
      </c>
      <c r="H35" s="10">
        <f>WORKDAY(G35,125,'[1]Feriados y Materias'!$B$21:$B$61)</f>
        <v>46065</v>
      </c>
      <c r="I35" s="2" t="s">
        <v>192</v>
      </c>
      <c r="J35" s="2" t="s">
        <v>194</v>
      </c>
      <c r="K35" s="2" t="s">
        <v>1093</v>
      </c>
    </row>
    <row r="36" spans="1:11" x14ac:dyDescent="0.35">
      <c r="A36">
        <v>30</v>
      </c>
      <c r="B36" s="90" t="s">
        <v>16</v>
      </c>
      <c r="C36" s="2" t="s">
        <v>8</v>
      </c>
      <c r="D36" s="2" t="s">
        <v>262</v>
      </c>
      <c r="E36" s="2" t="s">
        <v>263</v>
      </c>
      <c r="F36" s="2" t="s">
        <v>297</v>
      </c>
      <c r="G36" s="2" t="s">
        <v>288</v>
      </c>
      <c r="H36" s="10">
        <f>WORKDAY(G36,125,'[1]Feriados y Materias'!$B$21:$B$61)</f>
        <v>46065</v>
      </c>
      <c r="I36" s="2" t="s">
        <v>192</v>
      </c>
      <c r="J36" s="2" t="s">
        <v>194</v>
      </c>
      <c r="K36" s="2" t="s">
        <v>1093</v>
      </c>
    </row>
    <row r="37" spans="1:11" x14ac:dyDescent="0.35">
      <c r="A37">
        <v>31</v>
      </c>
      <c r="B37" s="90" t="s">
        <v>16</v>
      </c>
      <c r="C37" s="2" t="s">
        <v>8</v>
      </c>
      <c r="D37" s="2" t="s">
        <v>262</v>
      </c>
      <c r="E37" s="2" t="s">
        <v>263</v>
      </c>
      <c r="F37" s="2" t="s">
        <v>298</v>
      </c>
      <c r="G37" s="2" t="s">
        <v>288</v>
      </c>
      <c r="H37" s="10">
        <f>WORKDAY(G37,125,'[1]Feriados y Materias'!$B$21:$B$61)</f>
        <v>46065</v>
      </c>
      <c r="I37" s="2" t="s">
        <v>192</v>
      </c>
      <c r="J37" s="2" t="s">
        <v>194</v>
      </c>
      <c r="K37" s="2" t="s">
        <v>1093</v>
      </c>
    </row>
    <row r="38" spans="1:11" x14ac:dyDescent="0.35">
      <c r="A38">
        <v>32</v>
      </c>
      <c r="B38" s="90" t="s">
        <v>16</v>
      </c>
      <c r="C38" s="2" t="s">
        <v>8</v>
      </c>
      <c r="D38" s="2">
        <v>20451643577</v>
      </c>
      <c r="E38" s="2" t="s">
        <v>263</v>
      </c>
      <c r="F38" s="2" t="s">
        <v>299</v>
      </c>
      <c r="G38" s="2" t="s">
        <v>288</v>
      </c>
      <c r="H38" s="10">
        <f>WORKDAY(G38,125,'[1]Feriados y Materias'!$B$21:$B$61)</f>
        <v>46065</v>
      </c>
      <c r="I38" s="2" t="s">
        <v>192</v>
      </c>
      <c r="J38" s="2" t="s">
        <v>194</v>
      </c>
      <c r="K38" s="2" t="s">
        <v>1093</v>
      </c>
    </row>
    <row r="39" spans="1:11" x14ac:dyDescent="0.35">
      <c r="A39">
        <v>33</v>
      </c>
      <c r="B39" s="90" t="s">
        <v>16</v>
      </c>
      <c r="C39" s="2" t="s">
        <v>8</v>
      </c>
      <c r="D39" s="2" t="s">
        <v>262</v>
      </c>
      <c r="E39" s="2" t="s">
        <v>263</v>
      </c>
      <c r="F39" s="2" t="s">
        <v>300</v>
      </c>
      <c r="G39" s="2" t="s">
        <v>288</v>
      </c>
      <c r="H39" s="10">
        <f>WORKDAY(G39,125,'[1]Feriados y Materias'!$B$21:$B$61)</f>
        <v>46065</v>
      </c>
      <c r="I39" s="2" t="s">
        <v>192</v>
      </c>
      <c r="J39" s="2" t="s">
        <v>194</v>
      </c>
      <c r="K39" s="2" t="s">
        <v>1093</v>
      </c>
    </row>
    <row r="40" spans="1:11" x14ac:dyDescent="0.35">
      <c r="A40">
        <v>34</v>
      </c>
      <c r="B40" s="90" t="s">
        <v>16</v>
      </c>
      <c r="C40" s="2" t="s">
        <v>8</v>
      </c>
      <c r="D40" s="2" t="s">
        <v>262</v>
      </c>
      <c r="E40" s="2" t="s">
        <v>263</v>
      </c>
      <c r="F40" s="2" t="s">
        <v>301</v>
      </c>
      <c r="G40" s="2" t="s">
        <v>288</v>
      </c>
      <c r="H40" s="10">
        <f>WORKDAY(G40,125,'[1]Feriados y Materias'!$B$21:$B$61)</f>
        <v>46065</v>
      </c>
      <c r="I40" s="2" t="s">
        <v>192</v>
      </c>
      <c r="J40" s="2" t="s">
        <v>194</v>
      </c>
      <c r="K40" s="2" t="s">
        <v>1093</v>
      </c>
    </row>
    <row r="41" spans="1:11" x14ac:dyDescent="0.35">
      <c r="A41">
        <v>35</v>
      </c>
      <c r="B41" s="90" t="s">
        <v>16</v>
      </c>
      <c r="C41" s="2" t="s">
        <v>8</v>
      </c>
      <c r="D41" s="2" t="s">
        <v>262</v>
      </c>
      <c r="E41" s="2" t="s">
        <v>263</v>
      </c>
      <c r="F41" s="2" t="s">
        <v>302</v>
      </c>
      <c r="G41" s="2" t="s">
        <v>288</v>
      </c>
      <c r="H41" s="10">
        <f>WORKDAY(G41,125,'[1]Feriados y Materias'!$B$21:$B$61)</f>
        <v>46065</v>
      </c>
      <c r="I41" s="2" t="s">
        <v>192</v>
      </c>
      <c r="J41" s="2" t="s">
        <v>194</v>
      </c>
      <c r="K41" s="2" t="s">
        <v>1093</v>
      </c>
    </row>
    <row r="42" spans="1:11" x14ac:dyDescent="0.35">
      <c r="A42">
        <v>36</v>
      </c>
      <c r="B42" s="90" t="s">
        <v>16</v>
      </c>
      <c r="C42" s="2" t="s">
        <v>8</v>
      </c>
      <c r="D42" s="2" t="s">
        <v>262</v>
      </c>
      <c r="E42" s="2" t="s">
        <v>263</v>
      </c>
      <c r="F42" s="2" t="s">
        <v>303</v>
      </c>
      <c r="G42" s="2" t="s">
        <v>288</v>
      </c>
      <c r="H42" s="10">
        <f>WORKDAY(G42,125,'[1]Feriados y Materias'!$B$21:$B$61)</f>
        <v>46065</v>
      </c>
      <c r="I42" s="2" t="s">
        <v>192</v>
      </c>
      <c r="J42" s="2" t="s">
        <v>194</v>
      </c>
      <c r="K42" s="2" t="s">
        <v>1093</v>
      </c>
    </row>
    <row r="43" spans="1:11" x14ac:dyDescent="0.35">
      <c r="A43">
        <v>37</v>
      </c>
      <c r="B43" s="90" t="s">
        <v>16</v>
      </c>
      <c r="C43" s="2" t="s">
        <v>8</v>
      </c>
      <c r="D43" s="2" t="s">
        <v>262</v>
      </c>
      <c r="E43" s="2" t="s">
        <v>263</v>
      </c>
      <c r="F43" s="2" t="s">
        <v>304</v>
      </c>
      <c r="G43" s="2" t="s">
        <v>288</v>
      </c>
      <c r="H43" s="10">
        <f>WORKDAY(G43,125,'[1]Feriados y Materias'!$B$21:$B$61)</f>
        <v>46065</v>
      </c>
      <c r="I43" s="2" t="s">
        <v>192</v>
      </c>
      <c r="J43" s="2" t="s">
        <v>194</v>
      </c>
      <c r="K43" s="2" t="s">
        <v>1093</v>
      </c>
    </row>
    <row r="44" spans="1:11" x14ac:dyDescent="0.35">
      <c r="A44">
        <v>38</v>
      </c>
      <c r="B44" s="90" t="s">
        <v>16</v>
      </c>
      <c r="C44" s="2" t="s">
        <v>8</v>
      </c>
      <c r="D44" s="2" t="s">
        <v>262</v>
      </c>
      <c r="E44" s="2" t="s">
        <v>263</v>
      </c>
      <c r="F44" s="2" t="s">
        <v>305</v>
      </c>
      <c r="G44" s="2" t="s">
        <v>288</v>
      </c>
      <c r="H44" s="10">
        <f>WORKDAY(G44,125,'[1]Feriados y Materias'!$B$21:$B$61)</f>
        <v>46065</v>
      </c>
      <c r="I44" s="2" t="s">
        <v>192</v>
      </c>
      <c r="J44" s="2" t="s">
        <v>194</v>
      </c>
      <c r="K44" s="2" t="s">
        <v>1093</v>
      </c>
    </row>
    <row r="45" spans="1:11" x14ac:dyDescent="0.35">
      <c r="A45">
        <v>39</v>
      </c>
      <c r="B45" s="90" t="s">
        <v>16</v>
      </c>
      <c r="C45" s="2" t="s">
        <v>8</v>
      </c>
      <c r="D45" s="2" t="s">
        <v>262</v>
      </c>
      <c r="E45" s="2" t="s">
        <v>263</v>
      </c>
      <c r="F45" s="2" t="s">
        <v>306</v>
      </c>
      <c r="G45" s="2" t="s">
        <v>288</v>
      </c>
      <c r="H45" s="10">
        <f>WORKDAY(G45,125,'[1]Feriados y Materias'!$B$21:$B$61)</f>
        <v>46065</v>
      </c>
      <c r="I45" s="2" t="s">
        <v>192</v>
      </c>
      <c r="J45" s="2" t="s">
        <v>194</v>
      </c>
      <c r="K45" s="2" t="s">
        <v>1093</v>
      </c>
    </row>
    <row r="46" spans="1:11" x14ac:dyDescent="0.35">
      <c r="A46">
        <v>40</v>
      </c>
      <c r="B46" s="90" t="s">
        <v>16</v>
      </c>
      <c r="C46" s="2" t="s">
        <v>8</v>
      </c>
      <c r="D46" s="2" t="s">
        <v>262</v>
      </c>
      <c r="E46" s="2" t="s">
        <v>263</v>
      </c>
      <c r="F46" s="2" t="s">
        <v>307</v>
      </c>
      <c r="G46" s="2" t="s">
        <v>288</v>
      </c>
      <c r="H46" s="10">
        <f>WORKDAY(G46,125,'[1]Feriados y Materias'!$B$21:$B$61)</f>
        <v>46065</v>
      </c>
      <c r="I46" s="2" t="s">
        <v>192</v>
      </c>
      <c r="J46" s="2" t="s">
        <v>194</v>
      </c>
      <c r="K46" s="2" t="s">
        <v>1093</v>
      </c>
    </row>
    <row r="47" spans="1:11" x14ac:dyDescent="0.35">
      <c r="A47">
        <v>41</v>
      </c>
      <c r="B47" s="90" t="s">
        <v>16</v>
      </c>
      <c r="C47" s="2" t="s">
        <v>8</v>
      </c>
      <c r="D47" s="2" t="s">
        <v>262</v>
      </c>
      <c r="E47" s="2" t="s">
        <v>263</v>
      </c>
      <c r="F47" s="2" t="s">
        <v>308</v>
      </c>
      <c r="G47" s="2" t="s">
        <v>288</v>
      </c>
      <c r="H47" s="10">
        <f>WORKDAY(G47,125,'[1]Feriados y Materias'!$B$21:$B$61)</f>
        <v>46065</v>
      </c>
      <c r="I47" s="2" t="s">
        <v>192</v>
      </c>
      <c r="J47" s="2" t="s">
        <v>194</v>
      </c>
      <c r="K47" s="2" t="s">
        <v>1093</v>
      </c>
    </row>
    <row r="48" spans="1:11" x14ac:dyDescent="0.35">
      <c r="A48">
        <v>42</v>
      </c>
      <c r="B48" s="90" t="s">
        <v>16</v>
      </c>
      <c r="C48" s="2" t="s">
        <v>8</v>
      </c>
      <c r="D48" s="2" t="s">
        <v>262</v>
      </c>
      <c r="E48" s="2" t="s">
        <v>263</v>
      </c>
      <c r="F48" s="2" t="s">
        <v>309</v>
      </c>
      <c r="G48" s="2" t="s">
        <v>288</v>
      </c>
      <c r="H48" s="10">
        <f>WORKDAY(G48,125,'[1]Feriados y Materias'!$B$21:$B$61)</f>
        <v>46065</v>
      </c>
      <c r="I48" s="2" t="s">
        <v>192</v>
      </c>
      <c r="J48" s="2" t="s">
        <v>194</v>
      </c>
      <c r="K48" s="2" t="s">
        <v>1093</v>
      </c>
    </row>
    <row r="49" spans="1:11" x14ac:dyDescent="0.35">
      <c r="A49">
        <v>43</v>
      </c>
      <c r="B49" s="90" t="s">
        <v>16</v>
      </c>
      <c r="C49" s="2" t="s">
        <v>8</v>
      </c>
      <c r="D49" s="2" t="s">
        <v>262</v>
      </c>
      <c r="E49" s="2" t="s">
        <v>263</v>
      </c>
      <c r="F49" s="2" t="s">
        <v>310</v>
      </c>
      <c r="G49" s="2" t="s">
        <v>288</v>
      </c>
      <c r="H49" s="10">
        <f>WORKDAY(G49,125,'[1]Feriados y Materias'!$B$21:$B$61)</f>
        <v>46065</v>
      </c>
      <c r="I49" s="2" t="s">
        <v>192</v>
      </c>
      <c r="J49" s="2" t="s">
        <v>194</v>
      </c>
      <c r="K49" s="2" t="s">
        <v>1093</v>
      </c>
    </row>
    <row r="50" spans="1:11" x14ac:dyDescent="0.35">
      <c r="A50">
        <v>44</v>
      </c>
      <c r="B50" s="90" t="s">
        <v>16</v>
      </c>
      <c r="C50" s="2" t="s">
        <v>8</v>
      </c>
      <c r="D50" s="2" t="s">
        <v>315</v>
      </c>
      <c r="E50" s="2" t="s">
        <v>316</v>
      </c>
      <c r="F50" s="2" t="s">
        <v>317</v>
      </c>
      <c r="G50" s="2" t="s">
        <v>161</v>
      </c>
      <c r="H50" s="10">
        <f>WORKDAY(G50,125,'[1]Feriados y Materias'!$B$21:$B$61)</f>
        <v>46071</v>
      </c>
      <c r="I50" s="2" t="s">
        <v>192</v>
      </c>
      <c r="J50" s="2" t="s">
        <v>195</v>
      </c>
      <c r="K50" s="2" t="s">
        <v>1093</v>
      </c>
    </row>
    <row r="51" spans="1:11" x14ac:dyDescent="0.35">
      <c r="A51">
        <v>45</v>
      </c>
      <c r="B51" s="90" t="s">
        <v>16</v>
      </c>
      <c r="C51" s="2" t="s">
        <v>8</v>
      </c>
      <c r="D51" s="2" t="s">
        <v>315</v>
      </c>
      <c r="E51" s="2" t="s">
        <v>316</v>
      </c>
      <c r="F51" s="2" t="s">
        <v>318</v>
      </c>
      <c r="G51" s="2" t="s">
        <v>161</v>
      </c>
      <c r="H51" s="10">
        <f>WORKDAY(G51,125,'[1]Feriados y Materias'!$B$21:$B$61)</f>
        <v>46071</v>
      </c>
      <c r="I51" s="2" t="s">
        <v>192</v>
      </c>
      <c r="J51" s="2" t="s">
        <v>195</v>
      </c>
      <c r="K51" s="2" t="s">
        <v>1093</v>
      </c>
    </row>
    <row r="52" spans="1:11" x14ac:dyDescent="0.35">
      <c r="A52">
        <v>46</v>
      </c>
      <c r="B52" s="90" t="s">
        <v>16</v>
      </c>
      <c r="C52" s="2" t="s">
        <v>8</v>
      </c>
      <c r="D52" s="2" t="s">
        <v>315</v>
      </c>
      <c r="E52" s="2" t="s">
        <v>316</v>
      </c>
      <c r="F52" s="2" t="s">
        <v>319</v>
      </c>
      <c r="G52" s="2" t="s">
        <v>161</v>
      </c>
      <c r="H52" s="10">
        <f>WORKDAY(G52,125,'[1]Feriados y Materias'!$B$21:$B$61)</f>
        <v>46071</v>
      </c>
      <c r="I52" s="2" t="s">
        <v>192</v>
      </c>
      <c r="J52" s="2" t="s">
        <v>195</v>
      </c>
      <c r="K52" s="2" t="s">
        <v>1093</v>
      </c>
    </row>
    <row r="53" spans="1:11" x14ac:dyDescent="0.35">
      <c r="A53">
        <v>47</v>
      </c>
      <c r="B53" s="90" t="s">
        <v>16</v>
      </c>
      <c r="C53" s="2" t="s">
        <v>8</v>
      </c>
      <c r="D53" s="2" t="s">
        <v>320</v>
      </c>
      <c r="E53" s="2" t="s">
        <v>321</v>
      </c>
      <c r="F53" s="2" t="s">
        <v>322</v>
      </c>
      <c r="G53" s="2" t="s">
        <v>161</v>
      </c>
      <c r="H53" s="10">
        <f>WORKDAY(G53,125,'[1]Feriados y Materias'!$B$21:$B$61)</f>
        <v>46071</v>
      </c>
      <c r="I53" s="2" t="s">
        <v>192</v>
      </c>
      <c r="J53" s="2" t="s">
        <v>203</v>
      </c>
      <c r="K53" s="2" t="s">
        <v>1093</v>
      </c>
    </row>
    <row r="54" spans="1:11" x14ac:dyDescent="0.35">
      <c r="A54">
        <v>48</v>
      </c>
      <c r="B54" s="90" t="s">
        <v>16</v>
      </c>
      <c r="C54" s="2" t="s">
        <v>793</v>
      </c>
      <c r="D54" s="2" t="s">
        <v>794</v>
      </c>
      <c r="E54" s="2" t="s">
        <v>795</v>
      </c>
      <c r="F54" s="2" t="s">
        <v>796</v>
      </c>
      <c r="G54" s="2" t="s">
        <v>162</v>
      </c>
      <c r="H54" s="10">
        <f>WORKDAY(G54,125,'[1]Feriados y Materias'!$B$21:$B$61)</f>
        <v>46078</v>
      </c>
      <c r="I54" s="2" t="s">
        <v>192</v>
      </c>
      <c r="J54" s="2" t="s">
        <v>261</v>
      </c>
      <c r="K54" s="2" t="s">
        <v>1093</v>
      </c>
    </row>
    <row r="55" spans="1:11" x14ac:dyDescent="0.35">
      <c r="A55">
        <v>49</v>
      </c>
      <c r="B55" s="90" t="s">
        <v>16</v>
      </c>
      <c r="C55" s="2" t="s">
        <v>8</v>
      </c>
      <c r="D55" s="2" t="s">
        <v>323</v>
      </c>
      <c r="E55" s="2" t="s">
        <v>324</v>
      </c>
      <c r="F55" s="2" t="s">
        <v>325</v>
      </c>
      <c r="G55" s="2" t="s">
        <v>162</v>
      </c>
      <c r="H55" s="10">
        <f>WORKDAY(G55,125,'[1]Feriados y Materias'!$B$21:$B$61)</f>
        <v>46078</v>
      </c>
      <c r="I55" s="2" t="s">
        <v>192</v>
      </c>
      <c r="J55" s="2" t="s">
        <v>203</v>
      </c>
      <c r="K55" s="2" t="s">
        <v>1093</v>
      </c>
    </row>
    <row r="56" spans="1:11" x14ac:dyDescent="0.35">
      <c r="A56">
        <v>50</v>
      </c>
      <c r="B56" s="90" t="s">
        <v>16</v>
      </c>
      <c r="C56" s="2" t="s">
        <v>8</v>
      </c>
      <c r="D56" s="2" t="s">
        <v>159</v>
      </c>
      <c r="E56" s="2" t="s">
        <v>160</v>
      </c>
      <c r="F56" s="2" t="s">
        <v>326</v>
      </c>
      <c r="G56" s="2" t="s">
        <v>164</v>
      </c>
      <c r="H56" s="10">
        <f>WORKDAY(G56,125,'[1]Feriados y Materias'!$B$21:$B$61)</f>
        <v>46080</v>
      </c>
      <c r="I56" s="2" t="s">
        <v>192</v>
      </c>
      <c r="J56" s="2" t="s">
        <v>261</v>
      </c>
      <c r="K56" s="2" t="s">
        <v>1093</v>
      </c>
    </row>
    <row r="57" spans="1:11" x14ac:dyDescent="0.35">
      <c r="A57">
        <v>51</v>
      </c>
      <c r="B57" s="90" t="s">
        <v>16</v>
      </c>
      <c r="C57" s="2" t="s">
        <v>8</v>
      </c>
      <c r="D57" s="2" t="s">
        <v>159</v>
      </c>
      <c r="E57" s="2" t="s">
        <v>160</v>
      </c>
      <c r="F57" s="2" t="s">
        <v>327</v>
      </c>
      <c r="G57" s="2" t="s">
        <v>164</v>
      </c>
      <c r="H57" s="10">
        <f>WORKDAY(G57,125,'[1]Feriados y Materias'!$B$21:$B$61)</f>
        <v>46080</v>
      </c>
      <c r="I57" s="2" t="s">
        <v>192</v>
      </c>
      <c r="J57" s="2" t="s">
        <v>261</v>
      </c>
      <c r="K57" s="2" t="s">
        <v>1093</v>
      </c>
    </row>
    <row r="58" spans="1:11" x14ac:dyDescent="0.35">
      <c r="A58">
        <v>52</v>
      </c>
      <c r="B58" s="90" t="s">
        <v>16</v>
      </c>
      <c r="C58" s="2" t="s">
        <v>8</v>
      </c>
      <c r="D58" s="2" t="s">
        <v>159</v>
      </c>
      <c r="E58" s="2" t="s">
        <v>160</v>
      </c>
      <c r="F58" s="2" t="s">
        <v>328</v>
      </c>
      <c r="G58" s="2" t="s">
        <v>164</v>
      </c>
      <c r="H58" s="10">
        <f>WORKDAY(G58,125,'[1]Feriados y Materias'!$B$21:$B$61)</f>
        <v>46080</v>
      </c>
      <c r="I58" s="2" t="s">
        <v>192</v>
      </c>
      <c r="J58" s="2" t="s">
        <v>261</v>
      </c>
      <c r="K58" s="2" t="s">
        <v>1093</v>
      </c>
    </row>
    <row r="59" spans="1:11" x14ac:dyDescent="0.35">
      <c r="A59">
        <v>53</v>
      </c>
      <c r="B59" s="90" t="s">
        <v>16</v>
      </c>
      <c r="C59" s="2" t="s">
        <v>8</v>
      </c>
      <c r="D59" s="2" t="s">
        <v>159</v>
      </c>
      <c r="E59" s="2" t="s">
        <v>160</v>
      </c>
      <c r="F59" s="2" t="s">
        <v>329</v>
      </c>
      <c r="G59" s="2" t="s">
        <v>164</v>
      </c>
      <c r="H59" s="10">
        <f>WORKDAY(G59,125,'[1]Feriados y Materias'!$B$21:$B$61)</f>
        <v>46080</v>
      </c>
      <c r="I59" s="2" t="s">
        <v>192</v>
      </c>
      <c r="J59" s="2" t="s">
        <v>261</v>
      </c>
      <c r="K59" s="2" t="s">
        <v>1093</v>
      </c>
    </row>
    <row r="60" spans="1:11" x14ac:dyDescent="0.35">
      <c r="A60">
        <v>54</v>
      </c>
      <c r="B60" s="90" t="s">
        <v>16</v>
      </c>
      <c r="C60" s="2" t="s">
        <v>8</v>
      </c>
      <c r="D60" s="2" t="s">
        <v>159</v>
      </c>
      <c r="E60" s="2" t="s">
        <v>160</v>
      </c>
      <c r="F60" s="2" t="s">
        <v>330</v>
      </c>
      <c r="G60" s="2" t="s">
        <v>164</v>
      </c>
      <c r="H60" s="10">
        <f>WORKDAY(G60,125,'[1]Feriados y Materias'!$B$21:$B$61)</f>
        <v>46080</v>
      </c>
      <c r="I60" s="2" t="s">
        <v>192</v>
      </c>
      <c r="J60" s="2" t="s">
        <v>261</v>
      </c>
      <c r="K60" s="2" t="s">
        <v>1093</v>
      </c>
    </row>
    <row r="61" spans="1:11" x14ac:dyDescent="0.35">
      <c r="A61">
        <v>55</v>
      </c>
      <c r="B61" s="90" t="s">
        <v>16</v>
      </c>
      <c r="C61" s="2" t="s">
        <v>8</v>
      </c>
      <c r="D61" s="2" t="s">
        <v>159</v>
      </c>
      <c r="E61" s="2" t="s">
        <v>160</v>
      </c>
      <c r="F61" s="2" t="s">
        <v>331</v>
      </c>
      <c r="G61" s="2" t="s">
        <v>164</v>
      </c>
      <c r="H61" s="10">
        <f>WORKDAY(G61,125,'[1]Feriados y Materias'!$B$21:$B$61)</f>
        <v>46080</v>
      </c>
      <c r="I61" s="2" t="s">
        <v>192</v>
      </c>
      <c r="J61" s="2" t="s">
        <v>261</v>
      </c>
      <c r="K61" s="2" t="s">
        <v>1093</v>
      </c>
    </row>
    <row r="62" spans="1:11" x14ac:dyDescent="0.35">
      <c r="A62">
        <v>56</v>
      </c>
      <c r="B62" s="90" t="s">
        <v>16</v>
      </c>
      <c r="C62" s="2" t="s">
        <v>8</v>
      </c>
      <c r="D62" s="2" t="s">
        <v>159</v>
      </c>
      <c r="E62" s="2" t="s">
        <v>160</v>
      </c>
      <c r="F62" s="2" t="s">
        <v>332</v>
      </c>
      <c r="G62" s="2" t="s">
        <v>164</v>
      </c>
      <c r="H62" s="10">
        <f>WORKDAY(G62,125,'[1]Feriados y Materias'!$B$21:$B$61)</f>
        <v>46080</v>
      </c>
      <c r="I62" s="2" t="s">
        <v>192</v>
      </c>
      <c r="J62" s="2" t="s">
        <v>261</v>
      </c>
      <c r="K62" s="2" t="s">
        <v>1093</v>
      </c>
    </row>
    <row r="63" spans="1:11" x14ac:dyDescent="0.35">
      <c r="A63">
        <v>57</v>
      </c>
      <c r="B63" s="90" t="s">
        <v>16</v>
      </c>
      <c r="C63" s="2" t="s">
        <v>8</v>
      </c>
      <c r="D63" s="2" t="s">
        <v>159</v>
      </c>
      <c r="E63" s="2" t="s">
        <v>160</v>
      </c>
      <c r="F63" s="2" t="s">
        <v>333</v>
      </c>
      <c r="G63" s="2" t="s">
        <v>164</v>
      </c>
      <c r="H63" s="10">
        <f>WORKDAY(G63,125,'[1]Feriados y Materias'!$B$21:$B$61)</f>
        <v>46080</v>
      </c>
      <c r="I63" s="2" t="s">
        <v>192</v>
      </c>
      <c r="J63" s="2" t="s">
        <v>261</v>
      </c>
      <c r="K63" s="2" t="s">
        <v>1093</v>
      </c>
    </row>
    <row r="64" spans="1:11" x14ac:dyDescent="0.35">
      <c r="A64">
        <v>58</v>
      </c>
      <c r="B64" s="90" t="s">
        <v>16</v>
      </c>
      <c r="C64" s="2" t="s">
        <v>8</v>
      </c>
      <c r="D64" s="2" t="s">
        <v>159</v>
      </c>
      <c r="E64" s="2" t="s">
        <v>160</v>
      </c>
      <c r="F64" s="2" t="s">
        <v>334</v>
      </c>
      <c r="G64" s="2" t="s">
        <v>164</v>
      </c>
      <c r="H64" s="10">
        <f>WORKDAY(G64,125,'[1]Feriados y Materias'!$B$21:$B$61)</f>
        <v>46080</v>
      </c>
      <c r="I64" s="2" t="s">
        <v>192</v>
      </c>
      <c r="J64" s="2" t="s">
        <v>261</v>
      </c>
      <c r="K64" s="2" t="s">
        <v>1093</v>
      </c>
    </row>
    <row r="65" spans="1:11" x14ac:dyDescent="0.35">
      <c r="A65">
        <v>59</v>
      </c>
      <c r="B65" s="90" t="s">
        <v>16</v>
      </c>
      <c r="C65" s="2" t="s">
        <v>8</v>
      </c>
      <c r="D65" s="2" t="s">
        <v>159</v>
      </c>
      <c r="E65" s="2" t="s">
        <v>160</v>
      </c>
      <c r="F65" s="2" t="s">
        <v>335</v>
      </c>
      <c r="G65" s="2" t="s">
        <v>164</v>
      </c>
      <c r="H65" s="10">
        <f>WORKDAY(G65,125,'[1]Feriados y Materias'!$B$21:$B$61)</f>
        <v>46080</v>
      </c>
      <c r="I65" s="2" t="s">
        <v>192</v>
      </c>
      <c r="J65" s="2" t="s">
        <v>261</v>
      </c>
      <c r="K65" s="2" t="s">
        <v>1093</v>
      </c>
    </row>
    <row r="66" spans="1:11" x14ac:dyDescent="0.35">
      <c r="A66">
        <v>60</v>
      </c>
      <c r="B66" s="90" t="s">
        <v>16</v>
      </c>
      <c r="C66" s="2" t="s">
        <v>8</v>
      </c>
      <c r="D66" s="2" t="s">
        <v>159</v>
      </c>
      <c r="E66" s="2" t="s">
        <v>160</v>
      </c>
      <c r="F66" s="2" t="s">
        <v>336</v>
      </c>
      <c r="G66" s="2" t="s">
        <v>164</v>
      </c>
      <c r="H66" s="10">
        <f>WORKDAY(G66,125,'[1]Feriados y Materias'!$B$21:$B$61)</f>
        <v>46080</v>
      </c>
      <c r="I66" s="2" t="s">
        <v>192</v>
      </c>
      <c r="J66" s="2" t="s">
        <v>261</v>
      </c>
      <c r="K66" s="2" t="s">
        <v>1093</v>
      </c>
    </row>
    <row r="67" spans="1:11" x14ac:dyDescent="0.35">
      <c r="A67">
        <v>61</v>
      </c>
      <c r="B67" s="90" t="s">
        <v>16</v>
      </c>
      <c r="C67" s="2" t="s">
        <v>8</v>
      </c>
      <c r="D67" s="2" t="s">
        <v>159</v>
      </c>
      <c r="E67" s="2" t="s">
        <v>160</v>
      </c>
      <c r="F67" s="2" t="s">
        <v>337</v>
      </c>
      <c r="G67" s="2" t="s">
        <v>164</v>
      </c>
      <c r="H67" s="10">
        <f>WORKDAY(G67,125,'[1]Feriados y Materias'!$B$21:$B$61)</f>
        <v>46080</v>
      </c>
      <c r="I67" s="2" t="s">
        <v>192</v>
      </c>
      <c r="J67" s="2" t="s">
        <v>261</v>
      </c>
      <c r="K67" s="2" t="s">
        <v>1093</v>
      </c>
    </row>
    <row r="68" spans="1:11" x14ac:dyDescent="0.35">
      <c r="A68">
        <v>62</v>
      </c>
      <c r="B68" s="90" t="s">
        <v>16</v>
      </c>
      <c r="C68" s="2" t="s">
        <v>8</v>
      </c>
      <c r="D68" s="2" t="s">
        <v>159</v>
      </c>
      <c r="E68" s="2" t="s">
        <v>160</v>
      </c>
      <c r="F68" s="2" t="s">
        <v>338</v>
      </c>
      <c r="G68" s="2" t="s">
        <v>164</v>
      </c>
      <c r="H68" s="10">
        <f>WORKDAY(G68,125,'[1]Feriados y Materias'!$B$21:$B$61)</f>
        <v>46080</v>
      </c>
      <c r="I68" s="2" t="s">
        <v>192</v>
      </c>
      <c r="J68" s="2" t="s">
        <v>261</v>
      </c>
      <c r="K68" s="2" t="s">
        <v>1093</v>
      </c>
    </row>
    <row r="69" spans="1:11" x14ac:dyDescent="0.35">
      <c r="A69">
        <v>63</v>
      </c>
      <c r="B69" s="90" t="s">
        <v>16</v>
      </c>
      <c r="C69" s="2" t="s">
        <v>8</v>
      </c>
      <c r="D69" s="2" t="s">
        <v>159</v>
      </c>
      <c r="E69" s="2" t="s">
        <v>160</v>
      </c>
      <c r="F69" s="2" t="s">
        <v>339</v>
      </c>
      <c r="G69" s="2" t="s">
        <v>164</v>
      </c>
      <c r="H69" s="10">
        <f>WORKDAY(G69,125,'[1]Feriados y Materias'!$B$21:$B$61)</f>
        <v>46080</v>
      </c>
      <c r="I69" s="2" t="s">
        <v>192</v>
      </c>
      <c r="J69" s="2" t="s">
        <v>261</v>
      </c>
      <c r="K69" s="2" t="s">
        <v>1093</v>
      </c>
    </row>
    <row r="70" spans="1:11" x14ac:dyDescent="0.35">
      <c r="A70">
        <v>64</v>
      </c>
      <c r="B70" s="90" t="s">
        <v>16</v>
      </c>
      <c r="C70" s="2" t="s">
        <v>8</v>
      </c>
      <c r="D70" s="2" t="s">
        <v>159</v>
      </c>
      <c r="E70" s="2" t="s">
        <v>160</v>
      </c>
      <c r="F70" s="2" t="s">
        <v>340</v>
      </c>
      <c r="G70" s="2" t="s">
        <v>164</v>
      </c>
      <c r="H70" s="10">
        <f>WORKDAY(G70,125,'[1]Feriados y Materias'!$B$21:$B$61)</f>
        <v>46080</v>
      </c>
      <c r="I70" s="2" t="s">
        <v>192</v>
      </c>
      <c r="J70" s="2" t="s">
        <v>261</v>
      </c>
      <c r="K70" s="2" t="s">
        <v>1093</v>
      </c>
    </row>
    <row r="71" spans="1:11" x14ac:dyDescent="0.35">
      <c r="A71">
        <v>65</v>
      </c>
      <c r="B71" s="90" t="s">
        <v>16</v>
      </c>
      <c r="C71" s="2" t="s">
        <v>8</v>
      </c>
      <c r="D71" s="2" t="s">
        <v>159</v>
      </c>
      <c r="E71" s="2" t="s">
        <v>160</v>
      </c>
      <c r="F71" s="2" t="s">
        <v>341</v>
      </c>
      <c r="G71" s="2" t="s">
        <v>164</v>
      </c>
      <c r="H71" s="10">
        <f>WORKDAY(G71,125,'[1]Feriados y Materias'!$B$21:$B$61)</f>
        <v>46080</v>
      </c>
      <c r="I71" s="2" t="s">
        <v>192</v>
      </c>
      <c r="J71" s="2" t="s">
        <v>261</v>
      </c>
      <c r="K71" s="2" t="s">
        <v>1093</v>
      </c>
    </row>
    <row r="72" spans="1:11" x14ac:dyDescent="0.35">
      <c r="A72">
        <v>66</v>
      </c>
      <c r="B72" s="90" t="s">
        <v>16</v>
      </c>
      <c r="C72" s="2" t="s">
        <v>8</v>
      </c>
      <c r="D72" s="2" t="s">
        <v>800</v>
      </c>
      <c r="E72" s="2" t="s">
        <v>801</v>
      </c>
      <c r="F72" s="2" t="s">
        <v>802</v>
      </c>
      <c r="G72" s="2" t="s">
        <v>164</v>
      </c>
      <c r="H72" s="10">
        <f>WORKDAY(G72,125,'[1]Feriados y Materias'!$B$21:$B$61)</f>
        <v>46080</v>
      </c>
      <c r="I72" s="2" t="s">
        <v>192</v>
      </c>
      <c r="J72" s="2" t="s">
        <v>194</v>
      </c>
      <c r="K72" s="2" t="s">
        <v>1093</v>
      </c>
    </row>
    <row r="73" spans="1:11" x14ac:dyDescent="0.35">
      <c r="A73">
        <v>67</v>
      </c>
      <c r="B73" s="90" t="s">
        <v>16</v>
      </c>
      <c r="C73" s="2" t="s">
        <v>8</v>
      </c>
      <c r="D73" s="2" t="s">
        <v>159</v>
      </c>
      <c r="E73" s="2" t="s">
        <v>160</v>
      </c>
      <c r="F73" s="2" t="s">
        <v>342</v>
      </c>
      <c r="G73" s="2" t="s">
        <v>164</v>
      </c>
      <c r="H73" s="10">
        <f>WORKDAY(G73,125,'[1]Feriados y Materias'!$B$21:$B$61)</f>
        <v>46080</v>
      </c>
      <c r="I73" s="2" t="s">
        <v>192</v>
      </c>
      <c r="J73" s="2" t="s">
        <v>261</v>
      </c>
      <c r="K73" s="2" t="s">
        <v>1093</v>
      </c>
    </row>
    <row r="74" spans="1:11" x14ac:dyDescent="0.35">
      <c r="A74">
        <v>68</v>
      </c>
      <c r="B74" s="90" t="s">
        <v>16</v>
      </c>
      <c r="C74" s="2" t="s">
        <v>8</v>
      </c>
      <c r="D74" s="2" t="s">
        <v>159</v>
      </c>
      <c r="E74" s="2" t="s">
        <v>160</v>
      </c>
      <c r="F74" s="2" t="s">
        <v>343</v>
      </c>
      <c r="G74" s="2" t="s">
        <v>164</v>
      </c>
      <c r="H74" s="10">
        <f>WORKDAY(G74,125,'[1]Feriados y Materias'!$B$21:$B$61)</f>
        <v>46080</v>
      </c>
      <c r="I74" s="2" t="s">
        <v>192</v>
      </c>
      <c r="J74" s="2" t="s">
        <v>261</v>
      </c>
      <c r="K74" s="2" t="s">
        <v>1093</v>
      </c>
    </row>
    <row r="75" spans="1:11" x14ac:dyDescent="0.35">
      <c r="A75">
        <v>69</v>
      </c>
      <c r="B75" s="90" t="s">
        <v>16</v>
      </c>
      <c r="C75" s="2" t="s">
        <v>8</v>
      </c>
      <c r="D75" s="2" t="s">
        <v>159</v>
      </c>
      <c r="E75" s="2" t="s">
        <v>160</v>
      </c>
      <c r="F75" s="2" t="s">
        <v>344</v>
      </c>
      <c r="G75" s="2" t="s">
        <v>164</v>
      </c>
      <c r="H75" s="10">
        <f>WORKDAY(G75,125,'[1]Feriados y Materias'!$B$21:$B$61)</f>
        <v>46080</v>
      </c>
      <c r="I75" s="2" t="s">
        <v>192</v>
      </c>
      <c r="J75" s="2" t="s">
        <v>261</v>
      </c>
      <c r="K75" s="2" t="s">
        <v>1093</v>
      </c>
    </row>
    <row r="76" spans="1:11" x14ac:dyDescent="0.35">
      <c r="A76">
        <v>70</v>
      </c>
      <c r="B76" s="90" t="s">
        <v>16</v>
      </c>
      <c r="C76" s="2" t="s">
        <v>8</v>
      </c>
      <c r="D76" s="2" t="s">
        <v>159</v>
      </c>
      <c r="E76" s="2" t="s">
        <v>160</v>
      </c>
      <c r="F76" s="2" t="s">
        <v>345</v>
      </c>
      <c r="G76" s="2" t="s">
        <v>164</v>
      </c>
      <c r="H76" s="10">
        <f>WORKDAY(G76,125,'[1]Feriados y Materias'!$B$21:$B$61)</f>
        <v>46080</v>
      </c>
      <c r="I76" s="2" t="s">
        <v>192</v>
      </c>
      <c r="J76" s="2" t="s">
        <v>261</v>
      </c>
      <c r="K76" s="2" t="s">
        <v>1093</v>
      </c>
    </row>
    <row r="77" spans="1:11" x14ac:dyDescent="0.35">
      <c r="A77">
        <v>71</v>
      </c>
      <c r="B77" s="90" t="s">
        <v>16</v>
      </c>
      <c r="C77" s="2" t="s">
        <v>8</v>
      </c>
      <c r="D77" s="2" t="s">
        <v>159</v>
      </c>
      <c r="E77" s="2" t="s">
        <v>160</v>
      </c>
      <c r="F77" s="2" t="s">
        <v>346</v>
      </c>
      <c r="G77" s="2" t="s">
        <v>164</v>
      </c>
      <c r="H77" s="10">
        <f>WORKDAY(G77,125,'[1]Feriados y Materias'!$B$21:$B$61)</f>
        <v>46080</v>
      </c>
      <c r="I77" s="2" t="s">
        <v>192</v>
      </c>
      <c r="J77" s="2" t="s">
        <v>261</v>
      </c>
      <c r="K77" s="2" t="s">
        <v>1093</v>
      </c>
    </row>
    <row r="78" spans="1:11" x14ac:dyDescent="0.35">
      <c r="A78">
        <v>72</v>
      </c>
      <c r="B78" s="90" t="s">
        <v>16</v>
      </c>
      <c r="C78" s="2" t="s">
        <v>8</v>
      </c>
      <c r="D78" s="2" t="s">
        <v>159</v>
      </c>
      <c r="E78" s="2" t="s">
        <v>160</v>
      </c>
      <c r="F78" s="2" t="s">
        <v>347</v>
      </c>
      <c r="G78" s="2" t="s">
        <v>164</v>
      </c>
      <c r="H78" s="10">
        <f>WORKDAY(G78,125,'[1]Feriados y Materias'!$B$21:$B$61)</f>
        <v>46080</v>
      </c>
      <c r="I78" s="2" t="s">
        <v>192</v>
      </c>
      <c r="J78" s="2" t="s">
        <v>261</v>
      </c>
      <c r="K78" s="2" t="s">
        <v>1093</v>
      </c>
    </row>
    <row r="79" spans="1:11" x14ac:dyDescent="0.35">
      <c r="A79">
        <v>73</v>
      </c>
      <c r="B79" s="90" t="s">
        <v>16</v>
      </c>
      <c r="C79" s="2" t="s">
        <v>8</v>
      </c>
      <c r="D79" s="2" t="s">
        <v>159</v>
      </c>
      <c r="E79" s="2" t="s">
        <v>160</v>
      </c>
      <c r="F79" s="2" t="s">
        <v>348</v>
      </c>
      <c r="G79" s="2" t="s">
        <v>164</v>
      </c>
      <c r="H79" s="10">
        <f>WORKDAY(G79,125,'[1]Feriados y Materias'!$B$21:$B$61)</f>
        <v>46080</v>
      </c>
      <c r="I79" s="2" t="s">
        <v>192</v>
      </c>
      <c r="J79" s="2" t="s">
        <v>261</v>
      </c>
      <c r="K79" s="2" t="s">
        <v>1093</v>
      </c>
    </row>
    <row r="80" spans="1:11" x14ac:dyDescent="0.35">
      <c r="A80">
        <v>74</v>
      </c>
      <c r="B80" s="90" t="s">
        <v>16</v>
      </c>
      <c r="C80" s="2" t="s">
        <v>8</v>
      </c>
      <c r="D80" s="2" t="s">
        <v>159</v>
      </c>
      <c r="E80" s="2" t="s">
        <v>160</v>
      </c>
      <c r="F80" s="2" t="s">
        <v>349</v>
      </c>
      <c r="G80" s="2" t="s">
        <v>164</v>
      </c>
      <c r="H80" s="10">
        <f>WORKDAY(G80,125,'[1]Feriados y Materias'!$B$21:$B$61)</f>
        <v>46080</v>
      </c>
      <c r="I80" s="2" t="s">
        <v>192</v>
      </c>
      <c r="J80" s="2" t="s">
        <v>261</v>
      </c>
      <c r="K80" s="2" t="s">
        <v>1093</v>
      </c>
    </row>
    <row r="81" spans="1:11" x14ac:dyDescent="0.35">
      <c r="A81">
        <v>75</v>
      </c>
      <c r="B81" s="90" t="s">
        <v>16</v>
      </c>
      <c r="C81" s="2" t="s">
        <v>8</v>
      </c>
      <c r="D81" s="2" t="s">
        <v>800</v>
      </c>
      <c r="E81" s="2" t="s">
        <v>801</v>
      </c>
      <c r="F81" s="2" t="s">
        <v>803</v>
      </c>
      <c r="G81" s="2" t="s">
        <v>164</v>
      </c>
      <c r="H81" s="10">
        <f>WORKDAY(G81,125,'[1]Feriados y Materias'!$B$21:$B$61)</f>
        <v>46080</v>
      </c>
      <c r="I81" s="2" t="s">
        <v>192</v>
      </c>
      <c r="J81" s="2" t="s">
        <v>194</v>
      </c>
      <c r="K81" s="2" t="s">
        <v>1093</v>
      </c>
    </row>
    <row r="82" spans="1:11" x14ac:dyDescent="0.35">
      <c r="A82">
        <v>76</v>
      </c>
      <c r="B82" s="90" t="s">
        <v>16</v>
      </c>
      <c r="C82" s="2" t="s">
        <v>8</v>
      </c>
      <c r="D82" s="2" t="s">
        <v>159</v>
      </c>
      <c r="E82" s="2" t="s">
        <v>160</v>
      </c>
      <c r="F82" s="2" t="s">
        <v>350</v>
      </c>
      <c r="G82" s="2" t="s">
        <v>164</v>
      </c>
      <c r="H82" s="10">
        <f>WORKDAY(G82,125,'[1]Feriados y Materias'!$B$21:$B$61)</f>
        <v>46080</v>
      </c>
      <c r="I82" s="2" t="s">
        <v>192</v>
      </c>
      <c r="J82" s="2" t="s">
        <v>261</v>
      </c>
      <c r="K82" s="2" t="s">
        <v>1093</v>
      </c>
    </row>
    <row r="83" spans="1:11" x14ac:dyDescent="0.35">
      <c r="A83">
        <v>77</v>
      </c>
      <c r="B83" s="90" t="s">
        <v>16</v>
      </c>
      <c r="C83" s="2" t="s">
        <v>8</v>
      </c>
      <c r="D83" s="2" t="s">
        <v>159</v>
      </c>
      <c r="E83" s="2" t="s">
        <v>160</v>
      </c>
      <c r="F83" s="2" t="s">
        <v>351</v>
      </c>
      <c r="G83" s="2" t="s">
        <v>164</v>
      </c>
      <c r="H83" s="10">
        <f>WORKDAY(G83,125,'[1]Feriados y Materias'!$B$21:$B$61)</f>
        <v>46080</v>
      </c>
      <c r="I83" s="2" t="s">
        <v>192</v>
      </c>
      <c r="J83" s="2" t="s">
        <v>261</v>
      </c>
      <c r="K83" s="2" t="s">
        <v>1093</v>
      </c>
    </row>
    <row r="84" spans="1:11" x14ac:dyDescent="0.35">
      <c r="A84">
        <v>78</v>
      </c>
      <c r="B84" s="90" t="s">
        <v>16</v>
      </c>
      <c r="C84" s="2" t="s">
        <v>8</v>
      </c>
      <c r="D84" s="2" t="s">
        <v>159</v>
      </c>
      <c r="E84" s="2" t="s">
        <v>160</v>
      </c>
      <c r="F84" s="2" t="s">
        <v>352</v>
      </c>
      <c r="G84" s="2" t="s">
        <v>164</v>
      </c>
      <c r="H84" s="10">
        <f>WORKDAY(G84,125,'[1]Feriados y Materias'!$B$21:$B$61)</f>
        <v>46080</v>
      </c>
      <c r="I84" s="2" t="s">
        <v>192</v>
      </c>
      <c r="J84" s="2" t="s">
        <v>261</v>
      </c>
      <c r="K84" s="2" t="s">
        <v>1093</v>
      </c>
    </row>
    <row r="85" spans="1:11" x14ac:dyDescent="0.35">
      <c r="A85">
        <v>79</v>
      </c>
      <c r="B85" s="90" t="s">
        <v>16</v>
      </c>
      <c r="C85" s="2" t="s">
        <v>8</v>
      </c>
      <c r="D85" s="2" t="s">
        <v>159</v>
      </c>
      <c r="E85" s="2" t="s">
        <v>160</v>
      </c>
      <c r="F85" s="2" t="s">
        <v>353</v>
      </c>
      <c r="G85" s="2" t="s">
        <v>164</v>
      </c>
      <c r="H85" s="10">
        <f>WORKDAY(G85,125,'[1]Feriados y Materias'!$B$21:$B$61)</f>
        <v>46080</v>
      </c>
      <c r="I85" s="2" t="s">
        <v>192</v>
      </c>
      <c r="J85" s="2" t="s">
        <v>261</v>
      </c>
      <c r="K85" s="2" t="s">
        <v>1093</v>
      </c>
    </row>
    <row r="86" spans="1:11" x14ac:dyDescent="0.35">
      <c r="A86">
        <v>80</v>
      </c>
      <c r="B86" s="90" t="s">
        <v>16</v>
      </c>
      <c r="C86" s="2" t="s">
        <v>8</v>
      </c>
      <c r="D86" s="2" t="s">
        <v>159</v>
      </c>
      <c r="E86" s="2" t="s">
        <v>160</v>
      </c>
      <c r="F86" s="2" t="s">
        <v>354</v>
      </c>
      <c r="G86" s="2" t="s">
        <v>164</v>
      </c>
      <c r="H86" s="10">
        <f>WORKDAY(G86,125,'[1]Feriados y Materias'!$B$21:$B$61)</f>
        <v>46080</v>
      </c>
      <c r="I86" s="2" t="s">
        <v>192</v>
      </c>
      <c r="J86" s="2" t="s">
        <v>261</v>
      </c>
      <c r="K86" s="2" t="s">
        <v>1093</v>
      </c>
    </row>
    <row r="87" spans="1:11" x14ac:dyDescent="0.35">
      <c r="A87">
        <v>81</v>
      </c>
      <c r="B87" s="90" t="s">
        <v>16</v>
      </c>
      <c r="C87" s="2" t="s">
        <v>8</v>
      </c>
      <c r="D87" s="2" t="s">
        <v>159</v>
      </c>
      <c r="E87" s="2" t="s">
        <v>160</v>
      </c>
      <c r="F87" s="2" t="s">
        <v>355</v>
      </c>
      <c r="G87" s="2" t="s">
        <v>164</v>
      </c>
      <c r="H87" s="10">
        <f>WORKDAY(G87,125,'[1]Feriados y Materias'!$B$21:$B$61)</f>
        <v>46080</v>
      </c>
      <c r="I87" s="2" t="s">
        <v>192</v>
      </c>
      <c r="J87" s="2" t="s">
        <v>261</v>
      </c>
      <c r="K87" s="2" t="s">
        <v>1093</v>
      </c>
    </row>
    <row r="88" spans="1:11" x14ac:dyDescent="0.35">
      <c r="A88">
        <v>82</v>
      </c>
      <c r="B88" s="90" t="s">
        <v>16</v>
      </c>
      <c r="C88" s="2" t="s">
        <v>8</v>
      </c>
      <c r="D88" s="2" t="s">
        <v>159</v>
      </c>
      <c r="E88" s="2" t="s">
        <v>160</v>
      </c>
      <c r="F88" s="2" t="s">
        <v>356</v>
      </c>
      <c r="G88" s="2" t="s">
        <v>164</v>
      </c>
      <c r="H88" s="10">
        <f>WORKDAY(G88,125,'[1]Feriados y Materias'!$B$21:$B$61)</f>
        <v>46080</v>
      </c>
      <c r="I88" s="2" t="s">
        <v>192</v>
      </c>
      <c r="J88" s="2" t="s">
        <v>261</v>
      </c>
      <c r="K88" s="2" t="s">
        <v>1093</v>
      </c>
    </row>
    <row r="89" spans="1:11" x14ac:dyDescent="0.35">
      <c r="A89">
        <v>83</v>
      </c>
      <c r="B89" s="90" t="s">
        <v>16</v>
      </c>
      <c r="C89" s="2" t="s">
        <v>8</v>
      </c>
      <c r="D89" s="2" t="s">
        <v>159</v>
      </c>
      <c r="E89" s="2" t="s">
        <v>160</v>
      </c>
      <c r="F89" s="2" t="s">
        <v>357</v>
      </c>
      <c r="G89" s="2" t="s">
        <v>164</v>
      </c>
      <c r="H89" s="10">
        <f>WORKDAY(G89,125,'[1]Feriados y Materias'!$B$21:$B$61)</f>
        <v>46080</v>
      </c>
      <c r="I89" s="2" t="s">
        <v>192</v>
      </c>
      <c r="J89" s="2" t="s">
        <v>261</v>
      </c>
      <c r="K89" s="2" t="s">
        <v>1093</v>
      </c>
    </row>
    <row r="90" spans="1:11" x14ac:dyDescent="0.35">
      <c r="A90">
        <v>84</v>
      </c>
      <c r="B90" s="90" t="s">
        <v>16</v>
      </c>
      <c r="C90" s="2" t="s">
        <v>8</v>
      </c>
      <c r="D90" s="2" t="s">
        <v>159</v>
      </c>
      <c r="E90" s="2" t="s">
        <v>160</v>
      </c>
      <c r="F90" s="2" t="s">
        <v>358</v>
      </c>
      <c r="G90" s="2" t="s">
        <v>164</v>
      </c>
      <c r="H90" s="10">
        <f>WORKDAY(G90,125,'[1]Feriados y Materias'!$B$21:$B$61)</f>
        <v>46080</v>
      </c>
      <c r="I90" s="2" t="s">
        <v>192</v>
      </c>
      <c r="J90" s="2" t="s">
        <v>261</v>
      </c>
      <c r="K90" s="2" t="s">
        <v>1093</v>
      </c>
    </row>
    <row r="91" spans="1:11" x14ac:dyDescent="0.35">
      <c r="A91">
        <v>85</v>
      </c>
      <c r="B91" s="90" t="s">
        <v>16</v>
      </c>
      <c r="C91" s="2" t="s">
        <v>8</v>
      </c>
      <c r="D91" s="2" t="s">
        <v>159</v>
      </c>
      <c r="E91" s="2" t="s">
        <v>160</v>
      </c>
      <c r="F91" s="2" t="s">
        <v>359</v>
      </c>
      <c r="G91" s="2" t="s">
        <v>164</v>
      </c>
      <c r="H91" s="10">
        <f>WORKDAY(G91,125,'[1]Feriados y Materias'!$B$21:$B$61)</f>
        <v>46080</v>
      </c>
      <c r="I91" s="2" t="s">
        <v>192</v>
      </c>
      <c r="J91" s="2" t="s">
        <v>261</v>
      </c>
      <c r="K91" s="2" t="s">
        <v>1093</v>
      </c>
    </row>
    <row r="92" spans="1:11" x14ac:dyDescent="0.35">
      <c r="A92">
        <v>86</v>
      </c>
      <c r="B92" s="90" t="s">
        <v>16</v>
      </c>
      <c r="C92" s="2" t="s">
        <v>8</v>
      </c>
      <c r="D92" s="2" t="s">
        <v>159</v>
      </c>
      <c r="E92" s="2" t="s">
        <v>160</v>
      </c>
      <c r="F92" s="2" t="s">
        <v>360</v>
      </c>
      <c r="G92" s="2" t="s">
        <v>164</v>
      </c>
      <c r="H92" s="10">
        <f>WORKDAY(G92,125,'[1]Feriados y Materias'!$B$21:$B$61)</f>
        <v>46080</v>
      </c>
      <c r="I92" s="2" t="s">
        <v>192</v>
      </c>
      <c r="J92" s="2" t="s">
        <v>261</v>
      </c>
      <c r="K92" s="2" t="s">
        <v>1093</v>
      </c>
    </row>
    <row r="93" spans="1:11" x14ac:dyDescent="0.35">
      <c r="A93">
        <v>87</v>
      </c>
      <c r="B93" s="90" t="s">
        <v>16</v>
      </c>
      <c r="C93" s="2" t="s">
        <v>8</v>
      </c>
      <c r="D93" s="2" t="s">
        <v>159</v>
      </c>
      <c r="E93" s="2" t="s">
        <v>160</v>
      </c>
      <c r="F93" s="2" t="s">
        <v>361</v>
      </c>
      <c r="G93" s="2" t="s">
        <v>164</v>
      </c>
      <c r="H93" s="10">
        <f>WORKDAY(G93,125,'[1]Feriados y Materias'!$B$21:$B$61)</f>
        <v>46080</v>
      </c>
      <c r="I93" s="2" t="s">
        <v>192</v>
      </c>
      <c r="J93" s="2" t="s">
        <v>261</v>
      </c>
      <c r="K93" s="2" t="s">
        <v>1093</v>
      </c>
    </row>
    <row r="94" spans="1:11" x14ac:dyDescent="0.35">
      <c r="A94">
        <v>88</v>
      </c>
      <c r="B94" s="90" t="s">
        <v>16</v>
      </c>
      <c r="C94" s="2" t="s">
        <v>8</v>
      </c>
      <c r="D94" s="2" t="s">
        <v>159</v>
      </c>
      <c r="E94" s="2" t="s">
        <v>160</v>
      </c>
      <c r="F94" s="2" t="s">
        <v>362</v>
      </c>
      <c r="G94" s="2" t="s">
        <v>164</v>
      </c>
      <c r="H94" s="10">
        <f>WORKDAY(G94,125,'[1]Feriados y Materias'!$B$21:$B$61)</f>
        <v>46080</v>
      </c>
      <c r="I94" s="2" t="s">
        <v>192</v>
      </c>
      <c r="J94" s="2" t="s">
        <v>261</v>
      </c>
      <c r="K94" s="2" t="s">
        <v>1093</v>
      </c>
    </row>
    <row r="95" spans="1:11" x14ac:dyDescent="0.35">
      <c r="A95">
        <v>89</v>
      </c>
      <c r="B95" s="90" t="s">
        <v>16</v>
      </c>
      <c r="C95" s="2" t="s">
        <v>8</v>
      </c>
      <c r="D95" s="2" t="s">
        <v>159</v>
      </c>
      <c r="E95" s="2" t="s">
        <v>160</v>
      </c>
      <c r="F95" s="2" t="s">
        <v>363</v>
      </c>
      <c r="G95" s="2" t="s">
        <v>164</v>
      </c>
      <c r="H95" s="10">
        <f>WORKDAY(G95,125,'[1]Feriados y Materias'!$B$21:$B$61)</f>
        <v>46080</v>
      </c>
      <c r="I95" s="2" t="s">
        <v>192</v>
      </c>
      <c r="J95" s="2" t="s">
        <v>261</v>
      </c>
      <c r="K95" s="2" t="s">
        <v>1093</v>
      </c>
    </row>
    <row r="96" spans="1:11" x14ac:dyDescent="0.35">
      <c r="A96">
        <v>90</v>
      </c>
      <c r="B96" s="90" t="s">
        <v>16</v>
      </c>
      <c r="C96" s="2" t="s">
        <v>8</v>
      </c>
      <c r="D96" s="2" t="s">
        <v>159</v>
      </c>
      <c r="E96" s="2" t="s">
        <v>160</v>
      </c>
      <c r="F96" s="2" t="s">
        <v>364</v>
      </c>
      <c r="G96" s="2" t="s">
        <v>164</v>
      </c>
      <c r="H96" s="10">
        <f>WORKDAY(G96,125,'[1]Feriados y Materias'!$B$21:$B$61)</f>
        <v>46080</v>
      </c>
      <c r="I96" s="2" t="s">
        <v>192</v>
      </c>
      <c r="J96" s="2" t="s">
        <v>261</v>
      </c>
      <c r="K96" s="2" t="s">
        <v>1093</v>
      </c>
    </row>
    <row r="97" spans="1:11" x14ac:dyDescent="0.35">
      <c r="A97">
        <v>91</v>
      </c>
      <c r="B97" s="90" t="s">
        <v>16</v>
      </c>
      <c r="C97" s="2" t="s">
        <v>8</v>
      </c>
      <c r="D97" s="2" t="s">
        <v>159</v>
      </c>
      <c r="E97" s="2" t="s">
        <v>160</v>
      </c>
      <c r="F97" s="2" t="s">
        <v>365</v>
      </c>
      <c r="G97" s="2" t="s">
        <v>164</v>
      </c>
      <c r="H97" s="10">
        <f>WORKDAY(G97,125,'[1]Feriados y Materias'!$B$21:$B$61)</f>
        <v>46080</v>
      </c>
      <c r="I97" s="2" t="s">
        <v>192</v>
      </c>
      <c r="J97" s="2" t="s">
        <v>261</v>
      </c>
      <c r="K97" s="2" t="s">
        <v>1093</v>
      </c>
    </row>
    <row r="98" spans="1:11" x14ac:dyDescent="0.35">
      <c r="A98">
        <v>92</v>
      </c>
      <c r="B98" s="90" t="s">
        <v>16</v>
      </c>
      <c r="C98" s="2" t="s">
        <v>8</v>
      </c>
      <c r="D98" s="2" t="s">
        <v>159</v>
      </c>
      <c r="E98" s="2" t="s">
        <v>160</v>
      </c>
      <c r="F98" s="2" t="s">
        <v>366</v>
      </c>
      <c r="G98" s="2" t="s">
        <v>164</v>
      </c>
      <c r="H98" s="10">
        <f>WORKDAY(G98,125,'[1]Feriados y Materias'!$B$21:$B$61)</f>
        <v>46080</v>
      </c>
      <c r="I98" s="2" t="s">
        <v>192</v>
      </c>
      <c r="J98" s="2" t="s">
        <v>261</v>
      </c>
      <c r="K98" s="2" t="s">
        <v>1093</v>
      </c>
    </row>
    <row r="99" spans="1:11" x14ac:dyDescent="0.35">
      <c r="A99">
        <v>93</v>
      </c>
      <c r="B99" s="90" t="s">
        <v>16</v>
      </c>
      <c r="C99" s="2" t="s">
        <v>8</v>
      </c>
      <c r="D99" s="2" t="s">
        <v>159</v>
      </c>
      <c r="E99" s="2" t="s">
        <v>160</v>
      </c>
      <c r="F99" s="2" t="s">
        <v>367</v>
      </c>
      <c r="G99" s="2" t="s">
        <v>164</v>
      </c>
      <c r="H99" s="10">
        <f>WORKDAY(G99,125,'[1]Feriados y Materias'!$B$21:$B$61)</f>
        <v>46080</v>
      </c>
      <c r="I99" s="2" t="s">
        <v>192</v>
      </c>
      <c r="J99" s="2" t="s">
        <v>261</v>
      </c>
      <c r="K99" s="2" t="s">
        <v>1093</v>
      </c>
    </row>
    <row r="100" spans="1:11" x14ac:dyDescent="0.35">
      <c r="A100">
        <v>94</v>
      </c>
      <c r="B100" s="90" t="s">
        <v>16</v>
      </c>
      <c r="C100" s="2" t="s">
        <v>8</v>
      </c>
      <c r="D100" s="2" t="s">
        <v>159</v>
      </c>
      <c r="E100" s="2" t="s">
        <v>160</v>
      </c>
      <c r="F100" s="2" t="s">
        <v>368</v>
      </c>
      <c r="G100" s="2" t="s">
        <v>164</v>
      </c>
      <c r="H100" s="10">
        <f>WORKDAY(G100,125,'[1]Feriados y Materias'!$B$21:$B$61)</f>
        <v>46080</v>
      </c>
      <c r="I100" s="2" t="s">
        <v>192</v>
      </c>
      <c r="J100" s="2" t="s">
        <v>261</v>
      </c>
      <c r="K100" s="2" t="s">
        <v>1093</v>
      </c>
    </row>
    <row r="101" spans="1:11" x14ac:dyDescent="0.35">
      <c r="A101">
        <v>95</v>
      </c>
      <c r="B101" s="90" t="s">
        <v>16</v>
      </c>
      <c r="C101" s="2" t="s">
        <v>8</v>
      </c>
      <c r="D101" s="2" t="s">
        <v>159</v>
      </c>
      <c r="E101" s="2" t="s">
        <v>160</v>
      </c>
      <c r="F101" s="2" t="s">
        <v>369</v>
      </c>
      <c r="G101" s="2" t="s">
        <v>164</v>
      </c>
      <c r="H101" s="10">
        <f>WORKDAY(G101,125,'[1]Feriados y Materias'!$B$21:$B$61)</f>
        <v>46080</v>
      </c>
      <c r="I101" s="2" t="s">
        <v>192</v>
      </c>
      <c r="J101" s="2" t="s">
        <v>261</v>
      </c>
      <c r="K101" s="2" t="s">
        <v>1093</v>
      </c>
    </row>
    <row r="102" spans="1:11" x14ac:dyDescent="0.35">
      <c r="A102">
        <v>96</v>
      </c>
      <c r="B102" s="90" t="s">
        <v>16</v>
      </c>
      <c r="C102" s="2" t="s">
        <v>8</v>
      </c>
      <c r="D102" s="2" t="s">
        <v>159</v>
      </c>
      <c r="E102" s="2" t="s">
        <v>160</v>
      </c>
      <c r="F102" s="2" t="s">
        <v>370</v>
      </c>
      <c r="G102" s="2" t="s">
        <v>164</v>
      </c>
      <c r="H102" s="10">
        <f>WORKDAY(G102,125,'[1]Feriados y Materias'!$B$21:$B$61)</f>
        <v>46080</v>
      </c>
      <c r="I102" s="2" t="s">
        <v>192</v>
      </c>
      <c r="J102" s="2" t="s">
        <v>261</v>
      </c>
      <c r="K102" s="2" t="s">
        <v>1093</v>
      </c>
    </row>
    <row r="103" spans="1:11" x14ac:dyDescent="0.35">
      <c r="A103">
        <v>97</v>
      </c>
      <c r="B103" s="90" t="s">
        <v>16</v>
      </c>
      <c r="C103" s="2" t="s">
        <v>8</v>
      </c>
      <c r="D103" s="2" t="s">
        <v>159</v>
      </c>
      <c r="E103" s="2" t="s">
        <v>160</v>
      </c>
      <c r="F103" s="2" t="s">
        <v>371</v>
      </c>
      <c r="G103" s="2" t="s">
        <v>164</v>
      </c>
      <c r="H103" s="10">
        <f>WORKDAY(G103,125,'[1]Feriados y Materias'!$B$21:$B$61)</f>
        <v>46080</v>
      </c>
      <c r="I103" s="2" t="s">
        <v>192</v>
      </c>
      <c r="J103" s="2" t="s">
        <v>261</v>
      </c>
      <c r="K103" s="2" t="s">
        <v>1093</v>
      </c>
    </row>
    <row r="104" spans="1:11" x14ac:dyDescent="0.35">
      <c r="A104">
        <v>98</v>
      </c>
      <c r="B104" s="90" t="s">
        <v>16</v>
      </c>
      <c r="C104" s="2" t="s">
        <v>8</v>
      </c>
      <c r="D104" s="2" t="s">
        <v>159</v>
      </c>
      <c r="E104" s="2" t="s">
        <v>160</v>
      </c>
      <c r="F104" s="2" t="s">
        <v>372</v>
      </c>
      <c r="G104" s="2" t="s">
        <v>164</v>
      </c>
      <c r="H104" s="10">
        <f>WORKDAY(G104,125,'[1]Feriados y Materias'!$B$21:$B$61)</f>
        <v>46080</v>
      </c>
      <c r="I104" s="2" t="s">
        <v>192</v>
      </c>
      <c r="J104" s="2" t="s">
        <v>261</v>
      </c>
      <c r="K104" s="2" t="s">
        <v>1093</v>
      </c>
    </row>
    <row r="105" spans="1:11" x14ac:dyDescent="0.35">
      <c r="A105">
        <v>99</v>
      </c>
      <c r="B105" s="90" t="s">
        <v>16</v>
      </c>
      <c r="C105" s="2" t="s">
        <v>8</v>
      </c>
      <c r="D105" s="2" t="s">
        <v>159</v>
      </c>
      <c r="E105" s="2" t="s">
        <v>160</v>
      </c>
      <c r="F105" s="2" t="s">
        <v>373</v>
      </c>
      <c r="G105" s="2" t="s">
        <v>164</v>
      </c>
      <c r="H105" s="10">
        <f>WORKDAY(G105,125,'[1]Feriados y Materias'!$B$21:$B$61)</f>
        <v>46080</v>
      </c>
      <c r="I105" s="2" t="s">
        <v>192</v>
      </c>
      <c r="J105" s="2" t="s">
        <v>261</v>
      </c>
      <c r="K105" s="2" t="s">
        <v>1093</v>
      </c>
    </row>
    <row r="106" spans="1:11" x14ac:dyDescent="0.35">
      <c r="A106">
        <v>100</v>
      </c>
      <c r="B106" s="90" t="s">
        <v>16</v>
      </c>
      <c r="C106" s="2" t="s">
        <v>8</v>
      </c>
      <c r="D106" s="2" t="s">
        <v>159</v>
      </c>
      <c r="E106" s="2" t="s">
        <v>160</v>
      </c>
      <c r="F106" s="2" t="s">
        <v>374</v>
      </c>
      <c r="G106" s="2" t="s">
        <v>164</v>
      </c>
      <c r="H106" s="10">
        <f>WORKDAY(G106,125,'[1]Feriados y Materias'!$B$21:$B$61)</f>
        <v>46080</v>
      </c>
      <c r="I106" s="2" t="s">
        <v>192</v>
      </c>
      <c r="J106" s="2" t="s">
        <v>261</v>
      </c>
      <c r="K106" s="2" t="s">
        <v>1093</v>
      </c>
    </row>
    <row r="107" spans="1:11" x14ac:dyDescent="0.35">
      <c r="A107">
        <v>101</v>
      </c>
      <c r="B107" s="90" t="s">
        <v>16</v>
      </c>
      <c r="C107" s="2" t="s">
        <v>8</v>
      </c>
      <c r="D107" s="2" t="s">
        <v>159</v>
      </c>
      <c r="E107" s="2" t="s">
        <v>160</v>
      </c>
      <c r="F107" s="2" t="s">
        <v>375</v>
      </c>
      <c r="G107" s="2" t="s">
        <v>164</v>
      </c>
      <c r="H107" s="10">
        <f>WORKDAY(G107,125,'[1]Feriados y Materias'!$B$21:$B$61)</f>
        <v>46080</v>
      </c>
      <c r="I107" s="2" t="s">
        <v>192</v>
      </c>
      <c r="J107" s="2" t="s">
        <v>261</v>
      </c>
      <c r="K107" s="2" t="s">
        <v>1093</v>
      </c>
    </row>
    <row r="108" spans="1:11" x14ac:dyDescent="0.35">
      <c r="A108">
        <v>102</v>
      </c>
      <c r="B108" s="90" t="s">
        <v>16</v>
      </c>
      <c r="C108" s="2" t="s">
        <v>8</v>
      </c>
      <c r="D108" s="2" t="s">
        <v>159</v>
      </c>
      <c r="E108" s="2" t="s">
        <v>160</v>
      </c>
      <c r="F108" s="2" t="s">
        <v>376</v>
      </c>
      <c r="G108" s="2" t="s">
        <v>164</v>
      </c>
      <c r="H108" s="10">
        <f>WORKDAY(G108,125,'[1]Feriados y Materias'!$B$21:$B$61)</f>
        <v>46080</v>
      </c>
      <c r="I108" s="2" t="s">
        <v>192</v>
      </c>
      <c r="J108" s="2" t="s">
        <v>261</v>
      </c>
      <c r="K108" s="2" t="s">
        <v>1093</v>
      </c>
    </row>
    <row r="109" spans="1:11" x14ac:dyDescent="0.35">
      <c r="A109">
        <v>103</v>
      </c>
      <c r="B109" s="90" t="s">
        <v>16</v>
      </c>
      <c r="C109" s="2" t="s">
        <v>8</v>
      </c>
      <c r="D109" s="2" t="s">
        <v>159</v>
      </c>
      <c r="E109" s="2" t="s">
        <v>160</v>
      </c>
      <c r="F109" s="2" t="s">
        <v>377</v>
      </c>
      <c r="G109" s="2" t="s">
        <v>164</v>
      </c>
      <c r="H109" s="10">
        <f>WORKDAY(G109,125,'[1]Feriados y Materias'!$B$21:$B$61)</f>
        <v>46080</v>
      </c>
      <c r="I109" s="2" t="s">
        <v>192</v>
      </c>
      <c r="J109" s="2" t="s">
        <v>261</v>
      </c>
      <c r="K109" s="2" t="s">
        <v>1093</v>
      </c>
    </row>
    <row r="110" spans="1:11" x14ac:dyDescent="0.35">
      <c r="A110">
        <v>104</v>
      </c>
      <c r="B110" s="90" t="s">
        <v>16</v>
      </c>
      <c r="C110" s="2" t="s">
        <v>8</v>
      </c>
      <c r="D110" s="2" t="s">
        <v>159</v>
      </c>
      <c r="E110" s="2" t="s">
        <v>160</v>
      </c>
      <c r="F110" s="2" t="s">
        <v>378</v>
      </c>
      <c r="G110" s="2" t="s">
        <v>164</v>
      </c>
      <c r="H110" s="10">
        <f>WORKDAY(G110,125,'[1]Feriados y Materias'!$B$21:$B$61)</f>
        <v>46080</v>
      </c>
      <c r="I110" s="2" t="s">
        <v>192</v>
      </c>
      <c r="J110" s="2" t="s">
        <v>261</v>
      </c>
      <c r="K110" s="2" t="s">
        <v>1093</v>
      </c>
    </row>
    <row r="111" spans="1:11" x14ac:dyDescent="0.35">
      <c r="A111">
        <v>105</v>
      </c>
      <c r="B111" s="90" t="s">
        <v>16</v>
      </c>
      <c r="C111" s="2" t="s">
        <v>8</v>
      </c>
      <c r="D111" s="2" t="s">
        <v>159</v>
      </c>
      <c r="E111" s="2" t="s">
        <v>160</v>
      </c>
      <c r="F111" s="2" t="s">
        <v>379</v>
      </c>
      <c r="G111" s="2" t="s">
        <v>164</v>
      </c>
      <c r="H111" s="10">
        <f>WORKDAY(G111,125,'[1]Feriados y Materias'!$B$21:$B$61)</f>
        <v>46080</v>
      </c>
      <c r="I111" s="2" t="s">
        <v>192</v>
      </c>
      <c r="J111" s="2" t="s">
        <v>261</v>
      </c>
      <c r="K111" s="2" t="s">
        <v>1093</v>
      </c>
    </row>
    <row r="112" spans="1:11" x14ac:dyDescent="0.35">
      <c r="A112">
        <v>106</v>
      </c>
      <c r="B112" s="90" t="s">
        <v>16</v>
      </c>
      <c r="C112" s="2" t="s">
        <v>8</v>
      </c>
      <c r="D112" s="2" t="s">
        <v>159</v>
      </c>
      <c r="E112" s="2" t="s">
        <v>160</v>
      </c>
      <c r="F112" s="2" t="s">
        <v>380</v>
      </c>
      <c r="G112" s="2" t="s">
        <v>164</v>
      </c>
      <c r="H112" s="10">
        <f>WORKDAY(G112,125,'[1]Feriados y Materias'!$B$21:$B$61)</f>
        <v>46080</v>
      </c>
      <c r="I112" s="2" t="s">
        <v>192</v>
      </c>
      <c r="J112" s="2" t="s">
        <v>261</v>
      </c>
      <c r="K112" s="2" t="s">
        <v>1093</v>
      </c>
    </row>
    <row r="113" spans="1:11" x14ac:dyDescent="0.35">
      <c r="A113">
        <v>107</v>
      </c>
      <c r="B113" s="90" t="s">
        <v>16</v>
      </c>
      <c r="C113" s="2" t="s">
        <v>8</v>
      </c>
      <c r="D113" s="2" t="s">
        <v>159</v>
      </c>
      <c r="E113" s="2" t="s">
        <v>160</v>
      </c>
      <c r="F113" s="2" t="s">
        <v>381</v>
      </c>
      <c r="G113" s="2" t="s">
        <v>164</v>
      </c>
      <c r="H113" s="10">
        <f>WORKDAY(G113,125,'[1]Feriados y Materias'!$B$21:$B$61)</f>
        <v>46080</v>
      </c>
      <c r="I113" s="2" t="s">
        <v>192</v>
      </c>
      <c r="J113" s="2" t="s">
        <v>261</v>
      </c>
      <c r="K113" s="2" t="s">
        <v>1093</v>
      </c>
    </row>
    <row r="114" spans="1:11" x14ac:dyDescent="0.35">
      <c r="A114">
        <v>108</v>
      </c>
      <c r="B114" s="90" t="s">
        <v>16</v>
      </c>
      <c r="C114" s="2" t="s">
        <v>8</v>
      </c>
      <c r="D114" s="2" t="s">
        <v>159</v>
      </c>
      <c r="E114" s="2" t="s">
        <v>160</v>
      </c>
      <c r="F114" s="2" t="s">
        <v>382</v>
      </c>
      <c r="G114" s="2" t="s">
        <v>164</v>
      </c>
      <c r="H114" s="10">
        <f>WORKDAY(G114,125,'[1]Feriados y Materias'!$B$21:$B$61)</f>
        <v>46080</v>
      </c>
      <c r="I114" s="2" t="s">
        <v>192</v>
      </c>
      <c r="J114" s="2" t="s">
        <v>261</v>
      </c>
      <c r="K114" s="2" t="s">
        <v>1093</v>
      </c>
    </row>
    <row r="115" spans="1:11" x14ac:dyDescent="0.35">
      <c r="A115">
        <v>109</v>
      </c>
      <c r="B115" s="90" t="s">
        <v>16</v>
      </c>
      <c r="C115" s="2" t="s">
        <v>8</v>
      </c>
      <c r="D115" s="2" t="s">
        <v>159</v>
      </c>
      <c r="E115" s="2" t="s">
        <v>160</v>
      </c>
      <c r="F115" s="2" t="s">
        <v>383</v>
      </c>
      <c r="G115" s="2" t="s">
        <v>164</v>
      </c>
      <c r="H115" s="10">
        <f>WORKDAY(G115,125,'[1]Feriados y Materias'!$B$21:$B$61)</f>
        <v>46080</v>
      </c>
      <c r="I115" s="2" t="s">
        <v>192</v>
      </c>
      <c r="J115" s="2" t="s">
        <v>261</v>
      </c>
      <c r="K115" s="2" t="s">
        <v>1093</v>
      </c>
    </row>
    <row r="116" spans="1:11" x14ac:dyDescent="0.35">
      <c r="A116">
        <v>110</v>
      </c>
      <c r="B116" s="90" t="s">
        <v>16</v>
      </c>
      <c r="C116" s="2" t="s">
        <v>8</v>
      </c>
      <c r="D116" s="2" t="s">
        <v>159</v>
      </c>
      <c r="E116" s="2" t="s">
        <v>160</v>
      </c>
      <c r="F116" s="2" t="s">
        <v>384</v>
      </c>
      <c r="G116" s="2" t="s">
        <v>164</v>
      </c>
      <c r="H116" s="10">
        <f>WORKDAY(G116,125,'[1]Feriados y Materias'!$B$21:$B$61)</f>
        <v>46080</v>
      </c>
      <c r="I116" s="2" t="s">
        <v>192</v>
      </c>
      <c r="J116" s="2" t="s">
        <v>261</v>
      </c>
      <c r="K116" s="2" t="s">
        <v>1093</v>
      </c>
    </row>
    <row r="117" spans="1:11" x14ac:dyDescent="0.35">
      <c r="A117">
        <v>111</v>
      </c>
      <c r="B117" s="90" t="s">
        <v>16</v>
      </c>
      <c r="C117" s="2" t="s">
        <v>8</v>
      </c>
      <c r="D117" s="2" t="s">
        <v>159</v>
      </c>
      <c r="E117" s="2" t="s">
        <v>160</v>
      </c>
      <c r="F117" s="2" t="s">
        <v>385</v>
      </c>
      <c r="G117" s="2" t="s">
        <v>164</v>
      </c>
      <c r="H117" s="10">
        <f>WORKDAY(G117,125,'[1]Feriados y Materias'!$B$21:$B$61)</f>
        <v>46080</v>
      </c>
      <c r="I117" s="2" t="s">
        <v>192</v>
      </c>
      <c r="J117" s="2" t="s">
        <v>261</v>
      </c>
      <c r="K117" s="2" t="s">
        <v>1093</v>
      </c>
    </row>
    <row r="118" spans="1:11" x14ac:dyDescent="0.35">
      <c r="A118">
        <v>112</v>
      </c>
      <c r="B118" s="90" t="s">
        <v>16</v>
      </c>
      <c r="C118" s="2" t="s">
        <v>8</v>
      </c>
      <c r="D118" s="2" t="s">
        <v>159</v>
      </c>
      <c r="E118" s="2" t="s">
        <v>160</v>
      </c>
      <c r="F118" s="2" t="s">
        <v>386</v>
      </c>
      <c r="G118" s="2" t="s">
        <v>164</v>
      </c>
      <c r="H118" s="10">
        <f>WORKDAY(G118,125,'[1]Feriados y Materias'!$B$21:$B$61)</f>
        <v>46080</v>
      </c>
      <c r="I118" s="2" t="s">
        <v>192</v>
      </c>
      <c r="J118" s="2" t="s">
        <v>261</v>
      </c>
      <c r="K118" s="2" t="s">
        <v>1093</v>
      </c>
    </row>
    <row r="119" spans="1:11" x14ac:dyDescent="0.35">
      <c r="A119">
        <v>113</v>
      </c>
      <c r="B119" s="90" t="s">
        <v>16</v>
      </c>
      <c r="C119" s="2" t="s">
        <v>8</v>
      </c>
      <c r="D119" s="2" t="s">
        <v>159</v>
      </c>
      <c r="E119" s="2" t="s">
        <v>160</v>
      </c>
      <c r="F119" s="2" t="s">
        <v>387</v>
      </c>
      <c r="G119" s="2" t="s">
        <v>164</v>
      </c>
      <c r="H119" s="10">
        <f>WORKDAY(G119,125,'[1]Feriados y Materias'!$B$21:$B$61)</f>
        <v>46080</v>
      </c>
      <c r="I119" s="2" t="s">
        <v>192</v>
      </c>
      <c r="J119" s="2" t="s">
        <v>261</v>
      </c>
      <c r="K119" s="2" t="s">
        <v>1093</v>
      </c>
    </row>
    <row r="120" spans="1:11" x14ac:dyDescent="0.35">
      <c r="A120">
        <v>114</v>
      </c>
      <c r="B120" s="90" t="s">
        <v>16</v>
      </c>
      <c r="C120" s="2" t="s">
        <v>8</v>
      </c>
      <c r="D120" s="2" t="s">
        <v>159</v>
      </c>
      <c r="E120" s="2" t="s">
        <v>160</v>
      </c>
      <c r="F120" s="2" t="s">
        <v>388</v>
      </c>
      <c r="G120" s="2" t="s">
        <v>164</v>
      </c>
      <c r="H120" s="10">
        <f>WORKDAY(G120,125,'[1]Feriados y Materias'!$B$21:$B$61)</f>
        <v>46080</v>
      </c>
      <c r="I120" s="2" t="s">
        <v>192</v>
      </c>
      <c r="J120" s="2" t="s">
        <v>261</v>
      </c>
      <c r="K120" s="2" t="s">
        <v>1093</v>
      </c>
    </row>
    <row r="121" spans="1:11" x14ac:dyDescent="0.35">
      <c r="A121">
        <v>115</v>
      </c>
      <c r="B121" s="90" t="s">
        <v>16</v>
      </c>
      <c r="C121" s="2" t="s">
        <v>8</v>
      </c>
      <c r="D121" s="2" t="s">
        <v>159</v>
      </c>
      <c r="E121" s="2" t="s">
        <v>160</v>
      </c>
      <c r="F121" s="2" t="s">
        <v>389</v>
      </c>
      <c r="G121" s="2" t="s">
        <v>164</v>
      </c>
      <c r="H121" s="10">
        <f>WORKDAY(G121,125,'[1]Feriados y Materias'!$B$21:$B$61)</f>
        <v>46080</v>
      </c>
      <c r="I121" s="2" t="s">
        <v>192</v>
      </c>
      <c r="J121" s="2" t="s">
        <v>261</v>
      </c>
      <c r="K121" s="2" t="s">
        <v>1093</v>
      </c>
    </row>
    <row r="122" spans="1:11" x14ac:dyDescent="0.35">
      <c r="A122">
        <v>116</v>
      </c>
      <c r="B122" s="90" t="s">
        <v>16</v>
      </c>
      <c r="C122" s="2" t="s">
        <v>8</v>
      </c>
      <c r="D122" s="2" t="s">
        <v>159</v>
      </c>
      <c r="E122" s="2" t="s">
        <v>160</v>
      </c>
      <c r="F122" s="2" t="s">
        <v>390</v>
      </c>
      <c r="G122" s="2" t="s">
        <v>164</v>
      </c>
      <c r="H122" s="10">
        <f>WORKDAY(G122,125,'[1]Feriados y Materias'!$B$21:$B$61)</f>
        <v>46080</v>
      </c>
      <c r="I122" s="2" t="s">
        <v>192</v>
      </c>
      <c r="J122" s="2" t="s">
        <v>261</v>
      </c>
      <c r="K122" s="2" t="s">
        <v>1093</v>
      </c>
    </row>
    <row r="123" spans="1:11" x14ac:dyDescent="0.35">
      <c r="A123">
        <v>117</v>
      </c>
      <c r="B123" s="90" t="s">
        <v>16</v>
      </c>
      <c r="C123" s="2" t="s">
        <v>8</v>
      </c>
      <c r="D123" s="2" t="s">
        <v>159</v>
      </c>
      <c r="E123" s="2" t="s">
        <v>160</v>
      </c>
      <c r="F123" s="2" t="s">
        <v>391</v>
      </c>
      <c r="G123" s="2" t="s">
        <v>164</v>
      </c>
      <c r="H123" s="10">
        <f>WORKDAY(G123,125,'[1]Feriados y Materias'!$B$21:$B$61)</f>
        <v>46080</v>
      </c>
      <c r="I123" s="2" t="s">
        <v>192</v>
      </c>
      <c r="J123" s="2" t="s">
        <v>261</v>
      </c>
      <c r="K123" s="2" t="s">
        <v>1093</v>
      </c>
    </row>
    <row r="124" spans="1:11" x14ac:dyDescent="0.35">
      <c r="A124">
        <v>118</v>
      </c>
      <c r="B124" s="90" t="s">
        <v>16</v>
      </c>
      <c r="C124" s="2" t="s">
        <v>8</v>
      </c>
      <c r="D124" s="2" t="s">
        <v>159</v>
      </c>
      <c r="E124" s="2" t="s">
        <v>160</v>
      </c>
      <c r="F124" s="2" t="s">
        <v>392</v>
      </c>
      <c r="G124" s="2" t="s">
        <v>164</v>
      </c>
      <c r="H124" s="10">
        <f>WORKDAY(G124,125,'[1]Feriados y Materias'!$B$21:$B$61)</f>
        <v>46080</v>
      </c>
      <c r="I124" s="2" t="s">
        <v>192</v>
      </c>
      <c r="J124" s="2" t="s">
        <v>261</v>
      </c>
      <c r="K124" s="2" t="s">
        <v>1093</v>
      </c>
    </row>
    <row r="125" spans="1:11" x14ac:dyDescent="0.35">
      <c r="A125">
        <v>119</v>
      </c>
      <c r="B125" s="90" t="s">
        <v>16</v>
      </c>
      <c r="C125" s="2" t="s">
        <v>8</v>
      </c>
      <c r="D125" s="2" t="s">
        <v>159</v>
      </c>
      <c r="E125" s="2" t="s">
        <v>160</v>
      </c>
      <c r="F125" s="2" t="s">
        <v>393</v>
      </c>
      <c r="G125" s="2" t="s">
        <v>164</v>
      </c>
      <c r="H125" s="10">
        <f>WORKDAY(G125,125,'[1]Feriados y Materias'!$B$21:$B$61)</f>
        <v>46080</v>
      </c>
      <c r="I125" s="2" t="s">
        <v>192</v>
      </c>
      <c r="J125" s="2" t="s">
        <v>261</v>
      </c>
      <c r="K125" s="2" t="s">
        <v>1093</v>
      </c>
    </row>
    <row r="126" spans="1:11" x14ac:dyDescent="0.35">
      <c r="A126">
        <v>120</v>
      </c>
      <c r="B126" s="90" t="s">
        <v>16</v>
      </c>
      <c r="C126" s="2" t="s">
        <v>8</v>
      </c>
      <c r="D126" s="2" t="s">
        <v>159</v>
      </c>
      <c r="E126" s="2" t="s">
        <v>160</v>
      </c>
      <c r="F126" s="2" t="s">
        <v>394</v>
      </c>
      <c r="G126" s="2" t="s">
        <v>164</v>
      </c>
      <c r="H126" s="10">
        <f>WORKDAY(G126,125,'[1]Feriados y Materias'!$B$21:$B$61)</f>
        <v>46080</v>
      </c>
      <c r="I126" s="2" t="s">
        <v>192</v>
      </c>
      <c r="J126" s="2" t="s">
        <v>261</v>
      </c>
      <c r="K126" s="2" t="s">
        <v>1093</v>
      </c>
    </row>
    <row r="127" spans="1:11" x14ac:dyDescent="0.35">
      <c r="A127">
        <v>121</v>
      </c>
      <c r="B127" s="90" t="s">
        <v>16</v>
      </c>
      <c r="C127" s="2" t="s">
        <v>8</v>
      </c>
      <c r="D127" s="2" t="s">
        <v>159</v>
      </c>
      <c r="E127" s="2" t="s">
        <v>160</v>
      </c>
      <c r="F127" s="2" t="s">
        <v>395</v>
      </c>
      <c r="G127" s="2" t="s">
        <v>164</v>
      </c>
      <c r="H127" s="10">
        <f>WORKDAY(G127,125,'[1]Feriados y Materias'!$B$21:$B$61)</f>
        <v>46080</v>
      </c>
      <c r="I127" s="2" t="s">
        <v>192</v>
      </c>
      <c r="J127" s="2" t="s">
        <v>261</v>
      </c>
      <c r="K127" s="2" t="s">
        <v>1093</v>
      </c>
    </row>
    <row r="128" spans="1:11" x14ac:dyDescent="0.35">
      <c r="A128">
        <v>122</v>
      </c>
      <c r="B128" s="90" t="s">
        <v>16</v>
      </c>
      <c r="C128" s="2" t="s">
        <v>8</v>
      </c>
      <c r="D128" s="2" t="s">
        <v>159</v>
      </c>
      <c r="E128" s="2" t="s">
        <v>160</v>
      </c>
      <c r="F128" s="2" t="s">
        <v>396</v>
      </c>
      <c r="G128" s="2" t="s">
        <v>164</v>
      </c>
      <c r="H128" s="10">
        <f>WORKDAY(G128,125,'[1]Feriados y Materias'!$B$21:$B$61)</f>
        <v>46080</v>
      </c>
      <c r="I128" s="2" t="s">
        <v>192</v>
      </c>
      <c r="J128" s="2" t="s">
        <v>261</v>
      </c>
      <c r="K128" s="2" t="s">
        <v>1093</v>
      </c>
    </row>
    <row r="129" spans="1:11" x14ac:dyDescent="0.35">
      <c r="A129">
        <v>123</v>
      </c>
      <c r="B129" s="90" t="s">
        <v>16</v>
      </c>
      <c r="C129" s="2" t="s">
        <v>8</v>
      </c>
      <c r="D129" s="2" t="s">
        <v>159</v>
      </c>
      <c r="E129" s="2" t="s">
        <v>160</v>
      </c>
      <c r="F129" s="2" t="s">
        <v>397</v>
      </c>
      <c r="G129" s="2" t="s">
        <v>164</v>
      </c>
      <c r="H129" s="10">
        <f>WORKDAY(G129,125,'[1]Feriados y Materias'!$B$21:$B$61)</f>
        <v>46080</v>
      </c>
      <c r="I129" s="2" t="s">
        <v>192</v>
      </c>
      <c r="J129" s="2" t="s">
        <v>261</v>
      </c>
      <c r="K129" s="2" t="s">
        <v>1093</v>
      </c>
    </row>
    <row r="130" spans="1:11" x14ac:dyDescent="0.35">
      <c r="A130">
        <v>124</v>
      </c>
      <c r="B130" s="90" t="s">
        <v>16</v>
      </c>
      <c r="C130" s="2" t="s">
        <v>8</v>
      </c>
      <c r="D130" s="2" t="s">
        <v>159</v>
      </c>
      <c r="E130" s="2" t="s">
        <v>160</v>
      </c>
      <c r="F130" s="2" t="s">
        <v>398</v>
      </c>
      <c r="G130" s="2" t="s">
        <v>164</v>
      </c>
      <c r="H130" s="10">
        <f>WORKDAY(G130,125,'[1]Feriados y Materias'!$B$21:$B$61)</f>
        <v>46080</v>
      </c>
      <c r="I130" s="2" t="s">
        <v>192</v>
      </c>
      <c r="J130" s="2" t="s">
        <v>261</v>
      </c>
      <c r="K130" s="2" t="s">
        <v>1093</v>
      </c>
    </row>
    <row r="131" spans="1:11" x14ac:dyDescent="0.35">
      <c r="A131">
        <v>125</v>
      </c>
      <c r="B131" s="90" t="s">
        <v>16</v>
      </c>
      <c r="C131" s="2" t="s">
        <v>8</v>
      </c>
      <c r="D131" s="2" t="s">
        <v>159</v>
      </c>
      <c r="E131" s="2" t="s">
        <v>160</v>
      </c>
      <c r="F131" s="2" t="s">
        <v>399</v>
      </c>
      <c r="G131" s="2" t="s">
        <v>164</v>
      </c>
      <c r="H131" s="10">
        <f>WORKDAY(G131,125,'[1]Feriados y Materias'!$B$21:$B$61)</f>
        <v>46080</v>
      </c>
      <c r="I131" s="2" t="s">
        <v>192</v>
      </c>
      <c r="J131" s="2" t="s">
        <v>261</v>
      </c>
      <c r="K131" s="2" t="s">
        <v>1093</v>
      </c>
    </row>
    <row r="132" spans="1:11" x14ac:dyDescent="0.35">
      <c r="A132">
        <v>126</v>
      </c>
      <c r="B132" s="90" t="s">
        <v>16</v>
      </c>
      <c r="C132" s="2" t="s">
        <v>8</v>
      </c>
      <c r="D132" s="2" t="s">
        <v>159</v>
      </c>
      <c r="E132" s="2" t="s">
        <v>160</v>
      </c>
      <c r="F132" s="2" t="s">
        <v>400</v>
      </c>
      <c r="G132" s="2" t="s">
        <v>164</v>
      </c>
      <c r="H132" s="10">
        <f>WORKDAY(G132,125,'[1]Feriados y Materias'!$B$21:$B$61)</f>
        <v>46080</v>
      </c>
      <c r="I132" s="2" t="s">
        <v>192</v>
      </c>
      <c r="J132" s="2" t="s">
        <v>261</v>
      </c>
      <c r="K132" s="2" t="s">
        <v>1093</v>
      </c>
    </row>
    <row r="133" spans="1:11" x14ac:dyDescent="0.35">
      <c r="A133">
        <v>127</v>
      </c>
      <c r="B133" s="90" t="s">
        <v>16</v>
      </c>
      <c r="C133" s="2" t="s">
        <v>8</v>
      </c>
      <c r="D133" s="2" t="s">
        <v>159</v>
      </c>
      <c r="E133" s="2" t="s">
        <v>160</v>
      </c>
      <c r="F133" s="2" t="s">
        <v>401</v>
      </c>
      <c r="G133" s="2" t="s">
        <v>164</v>
      </c>
      <c r="H133" s="10">
        <f>WORKDAY(G133,125,'[1]Feriados y Materias'!$B$21:$B$61)</f>
        <v>46080</v>
      </c>
      <c r="I133" s="2" t="s">
        <v>192</v>
      </c>
      <c r="J133" s="2" t="s">
        <v>261</v>
      </c>
      <c r="K133" s="2" t="s">
        <v>1093</v>
      </c>
    </row>
    <row r="134" spans="1:11" x14ac:dyDescent="0.35">
      <c r="A134">
        <v>128</v>
      </c>
      <c r="B134" s="90" t="s">
        <v>16</v>
      </c>
      <c r="C134" s="2" t="s">
        <v>8</v>
      </c>
      <c r="D134" s="2" t="s">
        <v>159</v>
      </c>
      <c r="E134" s="2" t="s">
        <v>160</v>
      </c>
      <c r="F134" s="2" t="s">
        <v>402</v>
      </c>
      <c r="G134" s="2" t="s">
        <v>164</v>
      </c>
      <c r="H134" s="10">
        <f>WORKDAY(G134,125,'[1]Feriados y Materias'!$B$21:$B$61)</f>
        <v>46080</v>
      </c>
      <c r="I134" s="2" t="s">
        <v>192</v>
      </c>
      <c r="J134" s="2" t="s">
        <v>261</v>
      </c>
      <c r="K134" s="2" t="s">
        <v>1093</v>
      </c>
    </row>
    <row r="135" spans="1:11" x14ac:dyDescent="0.35">
      <c r="A135">
        <v>129</v>
      </c>
      <c r="B135" s="90" t="s">
        <v>16</v>
      </c>
      <c r="C135" s="2" t="s">
        <v>8</v>
      </c>
      <c r="D135" s="2" t="s">
        <v>159</v>
      </c>
      <c r="E135" s="2" t="s">
        <v>160</v>
      </c>
      <c r="F135" s="2" t="s">
        <v>403</v>
      </c>
      <c r="G135" s="2" t="s">
        <v>164</v>
      </c>
      <c r="H135" s="10">
        <f>WORKDAY(G135,125,'[1]Feriados y Materias'!$B$21:$B$61)</f>
        <v>46080</v>
      </c>
      <c r="I135" s="2" t="s">
        <v>192</v>
      </c>
      <c r="J135" s="2" t="s">
        <v>261</v>
      </c>
      <c r="K135" s="2" t="s">
        <v>1093</v>
      </c>
    </row>
    <row r="136" spans="1:11" x14ac:dyDescent="0.35">
      <c r="A136">
        <v>130</v>
      </c>
      <c r="B136" s="90" t="s">
        <v>16</v>
      </c>
      <c r="C136" s="2" t="s">
        <v>8</v>
      </c>
      <c r="D136" s="2" t="s">
        <v>159</v>
      </c>
      <c r="E136" s="2" t="s">
        <v>160</v>
      </c>
      <c r="F136" s="2" t="s">
        <v>404</v>
      </c>
      <c r="G136" s="2" t="s">
        <v>164</v>
      </c>
      <c r="H136" s="10">
        <f>WORKDAY(G136,125,'[1]Feriados y Materias'!$B$21:$B$61)</f>
        <v>46080</v>
      </c>
      <c r="I136" s="2" t="s">
        <v>192</v>
      </c>
      <c r="J136" s="2" t="s">
        <v>261</v>
      </c>
      <c r="K136" s="2" t="s">
        <v>1093</v>
      </c>
    </row>
    <row r="137" spans="1:11" x14ac:dyDescent="0.35">
      <c r="A137">
        <v>131</v>
      </c>
      <c r="B137" s="90" t="s">
        <v>16</v>
      </c>
      <c r="C137" s="2" t="s">
        <v>8</v>
      </c>
      <c r="D137" s="2" t="s">
        <v>159</v>
      </c>
      <c r="E137" s="2" t="s">
        <v>160</v>
      </c>
      <c r="F137" s="2" t="s">
        <v>405</v>
      </c>
      <c r="G137" s="2" t="s">
        <v>164</v>
      </c>
      <c r="H137" s="10">
        <f>WORKDAY(G137,125,'[1]Feriados y Materias'!$B$21:$B$61)</f>
        <v>46080</v>
      </c>
      <c r="I137" s="2" t="s">
        <v>192</v>
      </c>
      <c r="J137" s="2" t="s">
        <v>261</v>
      </c>
      <c r="K137" s="2" t="s">
        <v>1093</v>
      </c>
    </row>
    <row r="138" spans="1:11" x14ac:dyDescent="0.35">
      <c r="A138">
        <v>132</v>
      </c>
      <c r="B138" s="90" t="s">
        <v>16</v>
      </c>
      <c r="C138" s="2" t="s">
        <v>8</v>
      </c>
      <c r="D138" s="2" t="s">
        <v>159</v>
      </c>
      <c r="E138" s="2" t="s">
        <v>160</v>
      </c>
      <c r="F138" s="2" t="s">
        <v>406</v>
      </c>
      <c r="G138" s="2" t="s">
        <v>164</v>
      </c>
      <c r="H138" s="10">
        <f>WORKDAY(G138,125,'[1]Feriados y Materias'!$B$21:$B$61)</f>
        <v>46080</v>
      </c>
      <c r="I138" s="2" t="s">
        <v>192</v>
      </c>
      <c r="J138" s="2" t="s">
        <v>261</v>
      </c>
      <c r="K138" s="2" t="s">
        <v>1093</v>
      </c>
    </row>
    <row r="139" spans="1:11" x14ac:dyDescent="0.35">
      <c r="A139">
        <v>133</v>
      </c>
      <c r="B139" s="90" t="s">
        <v>16</v>
      </c>
      <c r="C139" s="2" t="s">
        <v>8</v>
      </c>
      <c r="D139" s="2" t="s">
        <v>159</v>
      </c>
      <c r="E139" s="2" t="s">
        <v>160</v>
      </c>
      <c r="F139" s="2" t="s">
        <v>407</v>
      </c>
      <c r="G139" s="2" t="s">
        <v>164</v>
      </c>
      <c r="H139" s="10">
        <f>WORKDAY(G139,125,'[1]Feriados y Materias'!$B$21:$B$61)</f>
        <v>46080</v>
      </c>
      <c r="I139" s="2" t="s">
        <v>192</v>
      </c>
      <c r="J139" s="2" t="s">
        <v>261</v>
      </c>
      <c r="K139" s="2" t="s">
        <v>1093</v>
      </c>
    </row>
    <row r="140" spans="1:11" x14ac:dyDescent="0.35">
      <c r="A140">
        <v>134</v>
      </c>
      <c r="B140" s="90" t="s">
        <v>16</v>
      </c>
      <c r="C140" s="2" t="s">
        <v>8</v>
      </c>
      <c r="D140" s="2" t="s">
        <v>159</v>
      </c>
      <c r="E140" s="2" t="s">
        <v>160</v>
      </c>
      <c r="F140" s="2" t="s">
        <v>408</v>
      </c>
      <c r="G140" s="2" t="s">
        <v>164</v>
      </c>
      <c r="H140" s="10">
        <f>WORKDAY(G140,125,'[1]Feriados y Materias'!$B$21:$B$61)</f>
        <v>46080</v>
      </c>
      <c r="I140" s="2" t="s">
        <v>192</v>
      </c>
      <c r="J140" s="2" t="s">
        <v>261</v>
      </c>
      <c r="K140" s="2" t="s">
        <v>1093</v>
      </c>
    </row>
    <row r="141" spans="1:11" x14ac:dyDescent="0.35">
      <c r="A141">
        <v>135</v>
      </c>
      <c r="B141" s="90" t="s">
        <v>16</v>
      </c>
      <c r="C141" s="2" t="s">
        <v>8</v>
      </c>
      <c r="D141" s="2" t="s">
        <v>159</v>
      </c>
      <c r="E141" s="2" t="s">
        <v>160</v>
      </c>
      <c r="F141" s="2" t="s">
        <v>409</v>
      </c>
      <c r="G141" s="2" t="s">
        <v>164</v>
      </c>
      <c r="H141" s="10">
        <f>WORKDAY(G141,125,'[1]Feriados y Materias'!$B$21:$B$61)</f>
        <v>46080</v>
      </c>
      <c r="I141" s="2" t="s">
        <v>192</v>
      </c>
      <c r="J141" s="2" t="s">
        <v>261</v>
      </c>
      <c r="K141" s="2" t="s">
        <v>1093</v>
      </c>
    </row>
    <row r="142" spans="1:11" x14ac:dyDescent="0.35">
      <c r="A142">
        <v>136</v>
      </c>
      <c r="B142" s="90" t="s">
        <v>16</v>
      </c>
      <c r="C142" s="2" t="s">
        <v>8</v>
      </c>
      <c r="D142" s="2" t="s">
        <v>159</v>
      </c>
      <c r="E142" s="2" t="s">
        <v>160</v>
      </c>
      <c r="F142" s="2" t="s">
        <v>410</v>
      </c>
      <c r="G142" s="2" t="s">
        <v>164</v>
      </c>
      <c r="H142" s="10">
        <f>WORKDAY(G142,125,'[1]Feriados y Materias'!$B$21:$B$61)</f>
        <v>46080</v>
      </c>
      <c r="I142" s="2" t="s">
        <v>192</v>
      </c>
      <c r="J142" s="2" t="s">
        <v>261</v>
      </c>
      <c r="K142" s="2" t="s">
        <v>1093</v>
      </c>
    </row>
    <row r="143" spans="1:11" x14ac:dyDescent="0.35">
      <c r="A143">
        <v>137</v>
      </c>
      <c r="B143" s="90" t="s">
        <v>16</v>
      </c>
      <c r="C143" s="2" t="s">
        <v>8</v>
      </c>
      <c r="D143" s="2" t="s">
        <v>159</v>
      </c>
      <c r="E143" s="2" t="s">
        <v>160</v>
      </c>
      <c r="F143" s="2" t="s">
        <v>411</v>
      </c>
      <c r="G143" s="2" t="s">
        <v>164</v>
      </c>
      <c r="H143" s="10">
        <f>WORKDAY(G143,125,'[1]Feriados y Materias'!$B$21:$B$61)</f>
        <v>46080</v>
      </c>
      <c r="I143" s="2" t="s">
        <v>192</v>
      </c>
      <c r="J143" s="2" t="s">
        <v>261</v>
      </c>
      <c r="K143" s="2" t="s">
        <v>1093</v>
      </c>
    </row>
    <row r="144" spans="1:11" x14ac:dyDescent="0.35">
      <c r="A144">
        <v>138</v>
      </c>
      <c r="B144" s="90" t="s">
        <v>16</v>
      </c>
      <c r="C144" s="2" t="s">
        <v>8</v>
      </c>
      <c r="D144" s="2" t="s">
        <v>159</v>
      </c>
      <c r="E144" s="2" t="s">
        <v>160</v>
      </c>
      <c r="F144" s="2" t="s">
        <v>412</v>
      </c>
      <c r="G144" s="2" t="s">
        <v>164</v>
      </c>
      <c r="H144" s="10">
        <f>WORKDAY(G144,125,'[1]Feriados y Materias'!$B$21:$B$61)</f>
        <v>46080</v>
      </c>
      <c r="I144" s="2" t="s">
        <v>192</v>
      </c>
      <c r="J144" s="2" t="s">
        <v>261</v>
      </c>
      <c r="K144" s="2" t="s">
        <v>1093</v>
      </c>
    </row>
    <row r="145" spans="1:11" x14ac:dyDescent="0.35">
      <c r="A145">
        <v>139</v>
      </c>
      <c r="B145" s="90" t="s">
        <v>16</v>
      </c>
      <c r="C145" s="2" t="s">
        <v>8</v>
      </c>
      <c r="D145" s="2" t="s">
        <v>159</v>
      </c>
      <c r="E145" s="2" t="s">
        <v>160</v>
      </c>
      <c r="F145" s="2" t="s">
        <v>413</v>
      </c>
      <c r="G145" s="2" t="s">
        <v>164</v>
      </c>
      <c r="H145" s="10">
        <f>WORKDAY(G145,125,'[1]Feriados y Materias'!$B$21:$B$61)</f>
        <v>46080</v>
      </c>
      <c r="I145" s="2" t="s">
        <v>192</v>
      </c>
      <c r="J145" s="2" t="s">
        <v>261</v>
      </c>
      <c r="K145" s="2" t="s">
        <v>1093</v>
      </c>
    </row>
    <row r="146" spans="1:11" x14ac:dyDescent="0.35">
      <c r="A146">
        <v>140</v>
      </c>
      <c r="B146" s="90" t="s">
        <v>16</v>
      </c>
      <c r="C146" s="2" t="s">
        <v>8</v>
      </c>
      <c r="D146" s="2" t="s">
        <v>159</v>
      </c>
      <c r="E146" s="2" t="s">
        <v>160</v>
      </c>
      <c r="F146" s="2" t="s">
        <v>414</v>
      </c>
      <c r="G146" s="2" t="s">
        <v>164</v>
      </c>
      <c r="H146" s="10">
        <f>WORKDAY(G146,125,'[1]Feriados y Materias'!$B$21:$B$61)</f>
        <v>46080</v>
      </c>
      <c r="I146" s="2" t="s">
        <v>192</v>
      </c>
      <c r="J146" s="2" t="s">
        <v>261</v>
      </c>
      <c r="K146" s="2" t="s">
        <v>1093</v>
      </c>
    </row>
    <row r="147" spans="1:11" x14ac:dyDescent="0.35">
      <c r="A147">
        <v>141</v>
      </c>
      <c r="B147" s="90" t="s">
        <v>16</v>
      </c>
      <c r="C147" s="2" t="s">
        <v>8</v>
      </c>
      <c r="D147" s="2" t="s">
        <v>159</v>
      </c>
      <c r="E147" s="2" t="s">
        <v>160</v>
      </c>
      <c r="F147" s="2" t="s">
        <v>415</v>
      </c>
      <c r="G147" s="2" t="s">
        <v>164</v>
      </c>
      <c r="H147" s="10">
        <f>WORKDAY(G147,125,'[1]Feriados y Materias'!$B$21:$B$61)</f>
        <v>46080</v>
      </c>
      <c r="I147" s="2" t="s">
        <v>192</v>
      </c>
      <c r="J147" s="2" t="s">
        <v>261</v>
      </c>
      <c r="K147" s="2" t="s">
        <v>1093</v>
      </c>
    </row>
    <row r="148" spans="1:11" x14ac:dyDescent="0.35">
      <c r="A148">
        <v>142</v>
      </c>
      <c r="B148" s="90" t="s">
        <v>16</v>
      </c>
      <c r="C148" s="2" t="s">
        <v>8</v>
      </c>
      <c r="D148" s="2" t="s">
        <v>159</v>
      </c>
      <c r="E148" s="2" t="s">
        <v>160</v>
      </c>
      <c r="F148" s="2" t="s">
        <v>417</v>
      </c>
      <c r="G148" s="2" t="s">
        <v>164</v>
      </c>
      <c r="H148" s="10">
        <f>WORKDAY(G148,125,'[1]Feriados y Materias'!$B$21:$B$61)</f>
        <v>46080</v>
      </c>
      <c r="I148" s="2" t="s">
        <v>192</v>
      </c>
      <c r="J148" s="2" t="s">
        <v>261</v>
      </c>
      <c r="K148" s="2" t="s">
        <v>1093</v>
      </c>
    </row>
    <row r="149" spans="1:11" x14ac:dyDescent="0.35">
      <c r="A149">
        <v>143</v>
      </c>
      <c r="B149" s="90" t="s">
        <v>16</v>
      </c>
      <c r="C149" s="2" t="s">
        <v>8</v>
      </c>
      <c r="D149" s="2" t="s">
        <v>159</v>
      </c>
      <c r="E149" s="2" t="s">
        <v>160</v>
      </c>
      <c r="F149" s="2" t="s">
        <v>418</v>
      </c>
      <c r="G149" s="2" t="s">
        <v>164</v>
      </c>
      <c r="H149" s="10">
        <f>WORKDAY(G149,125,'[1]Feriados y Materias'!$B$21:$B$61)</f>
        <v>46080</v>
      </c>
      <c r="I149" s="2" t="s">
        <v>192</v>
      </c>
      <c r="J149" s="2" t="s">
        <v>261</v>
      </c>
      <c r="K149" s="2" t="s">
        <v>1093</v>
      </c>
    </row>
    <row r="150" spans="1:11" x14ac:dyDescent="0.35">
      <c r="A150">
        <v>144</v>
      </c>
      <c r="B150" s="90" t="s">
        <v>16</v>
      </c>
      <c r="C150" s="2" t="s">
        <v>8</v>
      </c>
      <c r="D150" s="2" t="s">
        <v>159</v>
      </c>
      <c r="E150" s="2" t="s">
        <v>160</v>
      </c>
      <c r="F150" s="2" t="s">
        <v>419</v>
      </c>
      <c r="G150" s="2" t="s">
        <v>164</v>
      </c>
      <c r="H150" s="10">
        <f>WORKDAY(G150,125,'[1]Feriados y Materias'!$B$21:$B$61)</f>
        <v>46080</v>
      </c>
      <c r="I150" s="2" t="s">
        <v>192</v>
      </c>
      <c r="J150" s="2" t="s">
        <v>261</v>
      </c>
      <c r="K150" s="2" t="s">
        <v>1093</v>
      </c>
    </row>
    <row r="151" spans="1:11" x14ac:dyDescent="0.35">
      <c r="A151">
        <v>145</v>
      </c>
      <c r="B151" s="90" t="s">
        <v>16</v>
      </c>
      <c r="C151" s="2" t="s">
        <v>8</v>
      </c>
      <c r="D151" s="2" t="s">
        <v>159</v>
      </c>
      <c r="E151" s="2" t="s">
        <v>160</v>
      </c>
      <c r="F151" s="2" t="s">
        <v>420</v>
      </c>
      <c r="G151" s="2" t="s">
        <v>164</v>
      </c>
      <c r="H151" s="10">
        <f>WORKDAY(G151,125,'[1]Feriados y Materias'!$B$21:$B$61)</f>
        <v>46080</v>
      </c>
      <c r="I151" s="2" t="s">
        <v>192</v>
      </c>
      <c r="J151" s="2" t="s">
        <v>261</v>
      </c>
      <c r="K151" s="2" t="s">
        <v>1093</v>
      </c>
    </row>
    <row r="152" spans="1:11" x14ac:dyDescent="0.35">
      <c r="A152">
        <v>146</v>
      </c>
      <c r="B152" s="90" t="s">
        <v>16</v>
      </c>
      <c r="C152" s="2" t="s">
        <v>8</v>
      </c>
      <c r="D152" s="2" t="s">
        <v>159</v>
      </c>
      <c r="E152" s="2" t="s">
        <v>160</v>
      </c>
      <c r="F152" s="2" t="s">
        <v>421</v>
      </c>
      <c r="G152" s="2" t="s">
        <v>164</v>
      </c>
      <c r="H152" s="10">
        <f>WORKDAY(G152,125,'[1]Feriados y Materias'!$B$21:$B$61)</f>
        <v>46080</v>
      </c>
      <c r="I152" s="2" t="s">
        <v>192</v>
      </c>
      <c r="J152" s="2" t="s">
        <v>261</v>
      </c>
      <c r="K152" s="2" t="s">
        <v>1093</v>
      </c>
    </row>
    <row r="153" spans="1:11" x14ac:dyDescent="0.35">
      <c r="A153">
        <v>147</v>
      </c>
      <c r="B153" s="90" t="s">
        <v>16</v>
      </c>
      <c r="C153" s="2" t="s">
        <v>8</v>
      </c>
      <c r="D153" s="2" t="s">
        <v>159</v>
      </c>
      <c r="E153" s="2" t="s">
        <v>160</v>
      </c>
      <c r="F153" s="2" t="s">
        <v>422</v>
      </c>
      <c r="G153" s="2" t="s">
        <v>164</v>
      </c>
      <c r="H153" s="10">
        <f>WORKDAY(G153,125,'[1]Feriados y Materias'!$B$21:$B$61)</f>
        <v>46080</v>
      </c>
      <c r="I153" s="2" t="s">
        <v>192</v>
      </c>
      <c r="J153" s="2" t="s">
        <v>261</v>
      </c>
      <c r="K153" s="2" t="s">
        <v>1093</v>
      </c>
    </row>
    <row r="154" spans="1:11" x14ac:dyDescent="0.35">
      <c r="A154">
        <v>148</v>
      </c>
      <c r="B154" s="90" t="s">
        <v>16</v>
      </c>
      <c r="C154" s="2" t="s">
        <v>8</v>
      </c>
      <c r="D154" s="2" t="s">
        <v>159</v>
      </c>
      <c r="E154" s="2" t="s">
        <v>160</v>
      </c>
      <c r="F154" s="2" t="s">
        <v>423</v>
      </c>
      <c r="G154" s="2" t="s">
        <v>164</v>
      </c>
      <c r="H154" s="10">
        <f>WORKDAY(G154,125,'[1]Feriados y Materias'!$B$21:$B$61)</f>
        <v>46080</v>
      </c>
      <c r="I154" s="2" t="s">
        <v>192</v>
      </c>
      <c r="J154" s="2" t="s">
        <v>261</v>
      </c>
      <c r="K154" s="2" t="s">
        <v>1093</v>
      </c>
    </row>
    <row r="155" spans="1:11" x14ac:dyDescent="0.35">
      <c r="A155">
        <v>149</v>
      </c>
      <c r="B155" s="90" t="s">
        <v>16</v>
      </c>
      <c r="C155" s="2" t="s">
        <v>8</v>
      </c>
      <c r="D155" s="2" t="s">
        <v>159</v>
      </c>
      <c r="E155" s="2" t="s">
        <v>160</v>
      </c>
      <c r="F155" s="2" t="s">
        <v>424</v>
      </c>
      <c r="G155" s="2" t="s">
        <v>164</v>
      </c>
      <c r="H155" s="10">
        <f>WORKDAY(G155,125,'[1]Feriados y Materias'!$B$21:$B$61)</f>
        <v>46080</v>
      </c>
      <c r="I155" s="2" t="s">
        <v>192</v>
      </c>
      <c r="J155" s="2" t="s">
        <v>261</v>
      </c>
      <c r="K155" s="2" t="s">
        <v>1093</v>
      </c>
    </row>
    <row r="156" spans="1:11" x14ac:dyDescent="0.35">
      <c r="A156">
        <v>150</v>
      </c>
      <c r="B156" s="90" t="s">
        <v>16</v>
      </c>
      <c r="C156" s="2" t="s">
        <v>8</v>
      </c>
      <c r="D156" s="2" t="s">
        <v>159</v>
      </c>
      <c r="E156" s="2" t="s">
        <v>160</v>
      </c>
      <c r="F156" s="2" t="s">
        <v>425</v>
      </c>
      <c r="G156" s="2" t="s">
        <v>164</v>
      </c>
      <c r="H156" s="10">
        <f>WORKDAY(G156,125,'[1]Feriados y Materias'!$B$21:$B$61)</f>
        <v>46080</v>
      </c>
      <c r="I156" s="2" t="s">
        <v>192</v>
      </c>
      <c r="J156" s="2" t="s">
        <v>261</v>
      </c>
      <c r="K156" s="2" t="s">
        <v>1093</v>
      </c>
    </row>
    <row r="157" spans="1:11" x14ac:dyDescent="0.35">
      <c r="A157">
        <v>151</v>
      </c>
      <c r="B157" s="90" t="s">
        <v>16</v>
      </c>
      <c r="C157" s="2" t="s">
        <v>8</v>
      </c>
      <c r="D157" s="2" t="s">
        <v>159</v>
      </c>
      <c r="E157" s="2" t="s">
        <v>160</v>
      </c>
      <c r="F157" s="2" t="s">
        <v>426</v>
      </c>
      <c r="G157" s="2" t="s">
        <v>164</v>
      </c>
      <c r="H157" s="10">
        <f>WORKDAY(G157,125,'[1]Feriados y Materias'!$B$21:$B$61)</f>
        <v>46080</v>
      </c>
      <c r="I157" s="2" t="s">
        <v>192</v>
      </c>
      <c r="J157" s="2" t="s">
        <v>261</v>
      </c>
      <c r="K157" s="2" t="s">
        <v>1093</v>
      </c>
    </row>
    <row r="158" spans="1:11" x14ac:dyDescent="0.35">
      <c r="A158">
        <v>152</v>
      </c>
      <c r="B158" s="90" t="s">
        <v>16</v>
      </c>
      <c r="C158" s="2" t="s">
        <v>8</v>
      </c>
      <c r="D158" s="2" t="s">
        <v>159</v>
      </c>
      <c r="E158" s="2" t="s">
        <v>160</v>
      </c>
      <c r="F158" s="2" t="s">
        <v>427</v>
      </c>
      <c r="G158" s="2" t="s">
        <v>164</v>
      </c>
      <c r="H158" s="10">
        <f>WORKDAY(G158,125,'[1]Feriados y Materias'!$B$21:$B$61)</f>
        <v>46080</v>
      </c>
      <c r="I158" s="2" t="s">
        <v>192</v>
      </c>
      <c r="J158" s="2" t="s">
        <v>261</v>
      </c>
      <c r="K158" s="2" t="s">
        <v>1093</v>
      </c>
    </row>
    <row r="159" spans="1:11" x14ac:dyDescent="0.35">
      <c r="A159">
        <v>153</v>
      </c>
      <c r="B159" s="90" t="s">
        <v>16</v>
      </c>
      <c r="C159" s="2" t="s">
        <v>8</v>
      </c>
      <c r="D159" s="2" t="s">
        <v>159</v>
      </c>
      <c r="E159" s="2" t="s">
        <v>160</v>
      </c>
      <c r="F159" s="2" t="s">
        <v>428</v>
      </c>
      <c r="G159" s="2" t="s">
        <v>164</v>
      </c>
      <c r="H159" s="10">
        <f>WORKDAY(G159,125,'[1]Feriados y Materias'!$B$21:$B$61)</f>
        <v>46080</v>
      </c>
      <c r="I159" s="2" t="s">
        <v>192</v>
      </c>
      <c r="J159" s="2" t="s">
        <v>261</v>
      </c>
      <c r="K159" s="2" t="s">
        <v>1093</v>
      </c>
    </row>
    <row r="160" spans="1:11" x14ac:dyDescent="0.35">
      <c r="A160">
        <v>154</v>
      </c>
      <c r="B160" s="90" t="s">
        <v>16</v>
      </c>
      <c r="C160" s="2" t="s">
        <v>8</v>
      </c>
      <c r="D160" s="2" t="s">
        <v>159</v>
      </c>
      <c r="E160" s="2" t="s">
        <v>160</v>
      </c>
      <c r="F160" s="2" t="s">
        <v>429</v>
      </c>
      <c r="G160" s="2" t="s">
        <v>164</v>
      </c>
      <c r="H160" s="10">
        <f>WORKDAY(G160,125,'[1]Feriados y Materias'!$B$21:$B$61)</f>
        <v>46080</v>
      </c>
      <c r="I160" s="2" t="s">
        <v>192</v>
      </c>
      <c r="J160" s="2" t="s">
        <v>261</v>
      </c>
      <c r="K160" s="2" t="s">
        <v>1093</v>
      </c>
    </row>
    <row r="161" spans="1:11" x14ac:dyDescent="0.35">
      <c r="A161">
        <v>155</v>
      </c>
      <c r="B161" s="90" t="s">
        <v>16</v>
      </c>
      <c r="C161" s="2" t="s">
        <v>8</v>
      </c>
      <c r="D161" s="2" t="s">
        <v>159</v>
      </c>
      <c r="E161" s="2" t="s">
        <v>160</v>
      </c>
      <c r="F161" s="2" t="s">
        <v>430</v>
      </c>
      <c r="G161" s="2" t="s">
        <v>164</v>
      </c>
      <c r="H161" s="10">
        <f>WORKDAY(G161,125,'[1]Feriados y Materias'!$B$21:$B$61)</f>
        <v>46080</v>
      </c>
      <c r="I161" s="2" t="s">
        <v>192</v>
      </c>
      <c r="J161" s="2" t="s">
        <v>261</v>
      </c>
      <c r="K161" s="2" t="s">
        <v>1093</v>
      </c>
    </row>
    <row r="162" spans="1:11" x14ac:dyDescent="0.35">
      <c r="A162">
        <v>156</v>
      </c>
      <c r="B162" s="90" t="s">
        <v>16</v>
      </c>
      <c r="C162" s="2" t="s">
        <v>8</v>
      </c>
      <c r="D162" s="2" t="s">
        <v>159</v>
      </c>
      <c r="E162" s="2" t="s">
        <v>160</v>
      </c>
      <c r="F162" s="2" t="s">
        <v>431</v>
      </c>
      <c r="G162" s="2" t="s">
        <v>164</v>
      </c>
      <c r="H162" s="10">
        <f>WORKDAY(G162,125,'[1]Feriados y Materias'!$B$21:$B$61)</f>
        <v>46080</v>
      </c>
      <c r="I162" s="2" t="s">
        <v>192</v>
      </c>
      <c r="J162" s="2" t="s">
        <v>261</v>
      </c>
      <c r="K162" s="2" t="s">
        <v>1093</v>
      </c>
    </row>
    <row r="163" spans="1:11" x14ac:dyDescent="0.35">
      <c r="A163">
        <v>157</v>
      </c>
      <c r="B163" s="90" t="s">
        <v>16</v>
      </c>
      <c r="C163" s="2" t="s">
        <v>8</v>
      </c>
      <c r="D163" s="2" t="s">
        <v>159</v>
      </c>
      <c r="E163" s="2" t="s">
        <v>160</v>
      </c>
      <c r="F163" s="2" t="s">
        <v>432</v>
      </c>
      <c r="G163" s="2" t="s">
        <v>164</v>
      </c>
      <c r="H163" s="10">
        <f>WORKDAY(G163,125,'[1]Feriados y Materias'!$B$21:$B$61)</f>
        <v>46080</v>
      </c>
      <c r="I163" s="2" t="s">
        <v>192</v>
      </c>
      <c r="J163" s="2" t="s">
        <v>261</v>
      </c>
      <c r="K163" s="2" t="s">
        <v>1093</v>
      </c>
    </row>
    <row r="164" spans="1:11" x14ac:dyDescent="0.35">
      <c r="A164">
        <v>158</v>
      </c>
      <c r="B164" s="90" t="s">
        <v>16</v>
      </c>
      <c r="C164" s="2" t="s">
        <v>8</v>
      </c>
      <c r="D164" s="2" t="s">
        <v>159</v>
      </c>
      <c r="E164" s="2" t="s">
        <v>160</v>
      </c>
      <c r="F164" s="2" t="s">
        <v>433</v>
      </c>
      <c r="G164" s="2" t="s">
        <v>164</v>
      </c>
      <c r="H164" s="10">
        <f>WORKDAY(G164,125,'[1]Feriados y Materias'!$B$21:$B$61)</f>
        <v>46080</v>
      </c>
      <c r="I164" s="2" t="s">
        <v>192</v>
      </c>
      <c r="J164" s="2" t="s">
        <v>261</v>
      </c>
      <c r="K164" s="2" t="s">
        <v>1093</v>
      </c>
    </row>
    <row r="165" spans="1:11" x14ac:dyDescent="0.35">
      <c r="A165">
        <v>159</v>
      </c>
      <c r="B165" s="90" t="s">
        <v>16</v>
      </c>
      <c r="C165" s="2" t="s">
        <v>8</v>
      </c>
      <c r="D165" s="2" t="s">
        <v>159</v>
      </c>
      <c r="E165" s="2" t="s">
        <v>160</v>
      </c>
      <c r="F165" s="2" t="s">
        <v>434</v>
      </c>
      <c r="G165" s="2" t="s">
        <v>164</v>
      </c>
      <c r="H165" s="10">
        <f>WORKDAY(G165,125,'[1]Feriados y Materias'!$B$21:$B$61)</f>
        <v>46080</v>
      </c>
      <c r="I165" s="2" t="s">
        <v>192</v>
      </c>
      <c r="J165" s="2" t="s">
        <v>261</v>
      </c>
      <c r="K165" s="2" t="s">
        <v>1093</v>
      </c>
    </row>
    <row r="166" spans="1:11" x14ac:dyDescent="0.35">
      <c r="A166">
        <v>160</v>
      </c>
      <c r="B166" s="90" t="s">
        <v>16</v>
      </c>
      <c r="C166" s="2" t="s">
        <v>8</v>
      </c>
      <c r="D166" s="2" t="s">
        <v>159</v>
      </c>
      <c r="E166" s="2" t="s">
        <v>160</v>
      </c>
      <c r="F166" s="2" t="s">
        <v>435</v>
      </c>
      <c r="G166" s="2" t="s">
        <v>164</v>
      </c>
      <c r="H166" s="10">
        <f>WORKDAY(G166,125,'[1]Feriados y Materias'!$B$21:$B$61)</f>
        <v>46080</v>
      </c>
      <c r="I166" s="2" t="s">
        <v>192</v>
      </c>
      <c r="J166" s="2" t="s">
        <v>261</v>
      </c>
      <c r="K166" s="2" t="s">
        <v>1093</v>
      </c>
    </row>
    <row r="167" spans="1:11" x14ac:dyDescent="0.35">
      <c r="A167">
        <v>161</v>
      </c>
      <c r="B167" s="90" t="s">
        <v>16</v>
      </c>
      <c r="C167" s="2" t="s">
        <v>8</v>
      </c>
      <c r="D167" s="2" t="s">
        <v>159</v>
      </c>
      <c r="E167" s="2" t="s">
        <v>160</v>
      </c>
      <c r="F167" s="2" t="s">
        <v>436</v>
      </c>
      <c r="G167" s="2" t="s">
        <v>164</v>
      </c>
      <c r="H167" s="10">
        <f>WORKDAY(G167,125,'[1]Feriados y Materias'!$B$21:$B$61)</f>
        <v>46080</v>
      </c>
      <c r="I167" s="2" t="s">
        <v>192</v>
      </c>
      <c r="J167" s="2" t="s">
        <v>261</v>
      </c>
      <c r="K167" s="2" t="s">
        <v>1093</v>
      </c>
    </row>
    <row r="168" spans="1:11" x14ac:dyDescent="0.35">
      <c r="A168">
        <v>162</v>
      </c>
      <c r="B168" s="90" t="s">
        <v>16</v>
      </c>
      <c r="C168" s="2" t="s">
        <v>8</v>
      </c>
      <c r="D168" s="2" t="s">
        <v>159</v>
      </c>
      <c r="E168" s="2" t="s">
        <v>160</v>
      </c>
      <c r="F168" s="2" t="s">
        <v>437</v>
      </c>
      <c r="G168" s="2" t="s">
        <v>164</v>
      </c>
      <c r="H168" s="10">
        <f>WORKDAY(G168,125,'[1]Feriados y Materias'!$B$21:$B$61)</f>
        <v>46080</v>
      </c>
      <c r="I168" s="2" t="s">
        <v>192</v>
      </c>
      <c r="J168" s="2" t="s">
        <v>261</v>
      </c>
      <c r="K168" s="2" t="s">
        <v>1093</v>
      </c>
    </row>
    <row r="169" spans="1:11" x14ac:dyDescent="0.35">
      <c r="A169">
        <v>163</v>
      </c>
      <c r="B169" s="90" t="s">
        <v>16</v>
      </c>
      <c r="C169" s="2" t="s">
        <v>8</v>
      </c>
      <c r="D169" s="2" t="s">
        <v>159</v>
      </c>
      <c r="E169" s="2" t="s">
        <v>160</v>
      </c>
      <c r="F169" s="2" t="s">
        <v>438</v>
      </c>
      <c r="G169" s="2" t="s">
        <v>164</v>
      </c>
      <c r="H169" s="10">
        <f>WORKDAY(G169,125,'[1]Feriados y Materias'!$B$21:$B$61)</f>
        <v>46080</v>
      </c>
      <c r="I169" s="2" t="s">
        <v>192</v>
      </c>
      <c r="J169" s="2" t="s">
        <v>261</v>
      </c>
      <c r="K169" s="2" t="s">
        <v>1093</v>
      </c>
    </row>
    <row r="170" spans="1:11" x14ac:dyDescent="0.35">
      <c r="A170">
        <v>164</v>
      </c>
      <c r="B170" s="90" t="s">
        <v>16</v>
      </c>
      <c r="C170" s="2" t="s">
        <v>8</v>
      </c>
      <c r="D170" s="2" t="s">
        <v>159</v>
      </c>
      <c r="E170" s="2" t="s">
        <v>160</v>
      </c>
      <c r="F170" s="2" t="s">
        <v>439</v>
      </c>
      <c r="G170" s="2" t="s">
        <v>164</v>
      </c>
      <c r="H170" s="10">
        <f>WORKDAY(G170,125,'[1]Feriados y Materias'!$B$21:$B$61)</f>
        <v>46080</v>
      </c>
      <c r="I170" s="2" t="s">
        <v>192</v>
      </c>
      <c r="J170" s="2" t="s">
        <v>261</v>
      </c>
      <c r="K170" s="2" t="s">
        <v>1093</v>
      </c>
    </row>
    <row r="171" spans="1:11" x14ac:dyDescent="0.35">
      <c r="A171">
        <v>165</v>
      </c>
      <c r="B171" s="90" t="s">
        <v>16</v>
      </c>
      <c r="C171" s="2" t="s">
        <v>8</v>
      </c>
      <c r="D171" s="2" t="s">
        <v>159</v>
      </c>
      <c r="E171" s="2" t="s">
        <v>160</v>
      </c>
      <c r="F171" s="2" t="s">
        <v>440</v>
      </c>
      <c r="G171" s="2" t="s">
        <v>164</v>
      </c>
      <c r="H171" s="10">
        <f>WORKDAY(G171,125,'[1]Feriados y Materias'!$B$21:$B$61)</f>
        <v>46080</v>
      </c>
      <c r="I171" s="2" t="s">
        <v>192</v>
      </c>
      <c r="J171" s="2" t="s">
        <v>261</v>
      </c>
      <c r="K171" s="2" t="s">
        <v>1093</v>
      </c>
    </row>
    <row r="172" spans="1:11" x14ac:dyDescent="0.35">
      <c r="A172">
        <v>166</v>
      </c>
      <c r="B172" s="90" t="s">
        <v>16</v>
      </c>
      <c r="C172" s="2" t="s">
        <v>8</v>
      </c>
      <c r="D172" s="2" t="s">
        <v>159</v>
      </c>
      <c r="E172" s="2" t="s">
        <v>160</v>
      </c>
      <c r="F172" s="2" t="s">
        <v>441</v>
      </c>
      <c r="G172" s="2" t="s">
        <v>164</v>
      </c>
      <c r="H172" s="10">
        <f>WORKDAY(G172,125,'[1]Feriados y Materias'!$B$21:$B$61)</f>
        <v>46080</v>
      </c>
      <c r="I172" s="2" t="s">
        <v>192</v>
      </c>
      <c r="J172" s="2" t="s">
        <v>261</v>
      </c>
      <c r="K172" s="2" t="s">
        <v>1093</v>
      </c>
    </row>
    <row r="173" spans="1:11" x14ac:dyDescent="0.35">
      <c r="A173">
        <v>167</v>
      </c>
      <c r="B173" s="90" t="s">
        <v>16</v>
      </c>
      <c r="C173" s="2" t="s">
        <v>8</v>
      </c>
      <c r="D173" s="2" t="s">
        <v>159</v>
      </c>
      <c r="E173" s="2" t="s">
        <v>160</v>
      </c>
      <c r="F173" s="2" t="s">
        <v>442</v>
      </c>
      <c r="G173" s="2" t="s">
        <v>164</v>
      </c>
      <c r="H173" s="10">
        <f>WORKDAY(G173,125,'[1]Feriados y Materias'!$B$21:$B$61)</f>
        <v>46080</v>
      </c>
      <c r="I173" s="2" t="s">
        <v>192</v>
      </c>
      <c r="J173" s="2" t="s">
        <v>261</v>
      </c>
      <c r="K173" s="2" t="s">
        <v>1093</v>
      </c>
    </row>
    <row r="174" spans="1:11" x14ac:dyDescent="0.35">
      <c r="A174">
        <v>168</v>
      </c>
      <c r="B174" s="90" t="s">
        <v>16</v>
      </c>
      <c r="C174" s="2" t="s">
        <v>8</v>
      </c>
      <c r="D174" s="2" t="s">
        <v>159</v>
      </c>
      <c r="E174" s="2" t="s">
        <v>160</v>
      </c>
      <c r="F174" s="2" t="s">
        <v>443</v>
      </c>
      <c r="G174" s="2" t="s">
        <v>164</v>
      </c>
      <c r="H174" s="10">
        <f>WORKDAY(G174,125,'[1]Feriados y Materias'!$B$21:$B$61)</f>
        <v>46080</v>
      </c>
      <c r="I174" s="2" t="s">
        <v>192</v>
      </c>
      <c r="J174" s="2" t="s">
        <v>261</v>
      </c>
      <c r="K174" s="2" t="s">
        <v>1093</v>
      </c>
    </row>
    <row r="175" spans="1:11" x14ac:dyDescent="0.35">
      <c r="A175">
        <v>169</v>
      </c>
      <c r="B175" s="90" t="s">
        <v>16</v>
      </c>
      <c r="C175" s="2" t="s">
        <v>8</v>
      </c>
      <c r="D175" s="2" t="s">
        <v>159</v>
      </c>
      <c r="E175" s="2" t="s">
        <v>160</v>
      </c>
      <c r="F175" s="2" t="s">
        <v>444</v>
      </c>
      <c r="G175" s="2" t="s">
        <v>164</v>
      </c>
      <c r="H175" s="10">
        <f>WORKDAY(G175,125,'[1]Feriados y Materias'!$B$21:$B$61)</f>
        <v>46080</v>
      </c>
      <c r="I175" s="2" t="s">
        <v>192</v>
      </c>
      <c r="J175" s="2" t="s">
        <v>261</v>
      </c>
      <c r="K175" s="2" t="s">
        <v>1093</v>
      </c>
    </row>
    <row r="176" spans="1:11" x14ac:dyDescent="0.35">
      <c r="A176">
        <v>170</v>
      </c>
      <c r="B176" s="90" t="s">
        <v>16</v>
      </c>
      <c r="C176" s="2" t="s">
        <v>8</v>
      </c>
      <c r="D176" s="2" t="s">
        <v>159</v>
      </c>
      <c r="E176" s="2" t="s">
        <v>160</v>
      </c>
      <c r="F176" s="2" t="s">
        <v>445</v>
      </c>
      <c r="G176" s="2" t="s">
        <v>164</v>
      </c>
      <c r="H176" s="10">
        <f>WORKDAY(G176,125,'[1]Feriados y Materias'!$B$21:$B$61)</f>
        <v>46080</v>
      </c>
      <c r="I176" s="2" t="s">
        <v>192</v>
      </c>
      <c r="J176" s="2" t="s">
        <v>261</v>
      </c>
      <c r="K176" s="2" t="s">
        <v>1093</v>
      </c>
    </row>
    <row r="177" spans="1:11" x14ac:dyDescent="0.35">
      <c r="A177">
        <v>171</v>
      </c>
      <c r="B177" s="90" t="s">
        <v>16</v>
      </c>
      <c r="C177" s="2" t="s">
        <v>8</v>
      </c>
      <c r="D177" s="2" t="s">
        <v>159</v>
      </c>
      <c r="E177" s="2" t="s">
        <v>160</v>
      </c>
      <c r="F177" s="2" t="s">
        <v>446</v>
      </c>
      <c r="G177" s="2" t="s">
        <v>164</v>
      </c>
      <c r="H177" s="10">
        <f>WORKDAY(G177,125,'[1]Feriados y Materias'!$B$21:$B$61)</f>
        <v>46080</v>
      </c>
      <c r="I177" s="2" t="s">
        <v>192</v>
      </c>
      <c r="J177" s="2" t="s">
        <v>261</v>
      </c>
      <c r="K177" s="2" t="s">
        <v>1093</v>
      </c>
    </row>
    <row r="178" spans="1:11" x14ac:dyDescent="0.35">
      <c r="A178">
        <v>172</v>
      </c>
      <c r="B178" s="90" t="s">
        <v>16</v>
      </c>
      <c r="C178" s="2" t="s">
        <v>8</v>
      </c>
      <c r="D178" s="2" t="s">
        <v>159</v>
      </c>
      <c r="E178" s="2" t="s">
        <v>160</v>
      </c>
      <c r="F178" s="2" t="s">
        <v>447</v>
      </c>
      <c r="G178" s="2" t="s">
        <v>164</v>
      </c>
      <c r="H178" s="10">
        <f>WORKDAY(G178,125,'[1]Feriados y Materias'!$B$21:$B$61)</f>
        <v>46080</v>
      </c>
      <c r="I178" s="2" t="s">
        <v>192</v>
      </c>
      <c r="J178" s="2" t="s">
        <v>261</v>
      </c>
      <c r="K178" s="2" t="s">
        <v>1093</v>
      </c>
    </row>
    <row r="179" spans="1:11" x14ac:dyDescent="0.35">
      <c r="A179">
        <v>173</v>
      </c>
      <c r="B179" s="90" t="s">
        <v>16</v>
      </c>
      <c r="C179" s="2" t="s">
        <v>8</v>
      </c>
      <c r="D179" s="2" t="s">
        <v>159</v>
      </c>
      <c r="E179" s="2" t="s">
        <v>160</v>
      </c>
      <c r="F179" s="2" t="s">
        <v>448</v>
      </c>
      <c r="G179" s="2" t="s">
        <v>164</v>
      </c>
      <c r="H179" s="10">
        <f>WORKDAY(G179,125,'[1]Feriados y Materias'!$B$21:$B$61)</f>
        <v>46080</v>
      </c>
      <c r="I179" s="2" t="s">
        <v>192</v>
      </c>
      <c r="J179" s="2" t="s">
        <v>261</v>
      </c>
      <c r="K179" s="2" t="s">
        <v>1093</v>
      </c>
    </row>
    <row r="180" spans="1:11" x14ac:dyDescent="0.35">
      <c r="A180">
        <v>174</v>
      </c>
      <c r="B180" s="90" t="s">
        <v>16</v>
      </c>
      <c r="C180" s="2" t="s">
        <v>8</v>
      </c>
      <c r="D180" s="2" t="s">
        <v>159</v>
      </c>
      <c r="E180" s="2" t="s">
        <v>160</v>
      </c>
      <c r="F180" s="2" t="s">
        <v>449</v>
      </c>
      <c r="G180" s="2" t="s">
        <v>164</v>
      </c>
      <c r="H180" s="10">
        <f>WORKDAY(G180,125,'[1]Feriados y Materias'!$B$21:$B$61)</f>
        <v>46080</v>
      </c>
      <c r="I180" s="2" t="s">
        <v>192</v>
      </c>
      <c r="J180" s="2" t="s">
        <v>261</v>
      </c>
      <c r="K180" s="2" t="s">
        <v>1093</v>
      </c>
    </row>
    <row r="181" spans="1:11" x14ac:dyDescent="0.35">
      <c r="A181">
        <v>175</v>
      </c>
      <c r="B181" s="90" t="s">
        <v>16</v>
      </c>
      <c r="C181" s="2" t="s">
        <v>8</v>
      </c>
      <c r="D181" s="2" t="s">
        <v>159</v>
      </c>
      <c r="E181" s="2" t="s">
        <v>160</v>
      </c>
      <c r="F181" s="2" t="s">
        <v>450</v>
      </c>
      <c r="G181" s="2" t="s">
        <v>164</v>
      </c>
      <c r="H181" s="10">
        <f>WORKDAY(G181,125,'[1]Feriados y Materias'!$B$21:$B$61)</f>
        <v>46080</v>
      </c>
      <c r="I181" s="2" t="s">
        <v>192</v>
      </c>
      <c r="J181" s="2" t="s">
        <v>261</v>
      </c>
      <c r="K181" s="2" t="s">
        <v>1093</v>
      </c>
    </row>
    <row r="182" spans="1:11" x14ac:dyDescent="0.35">
      <c r="A182">
        <v>176</v>
      </c>
      <c r="B182" s="90" t="s">
        <v>16</v>
      </c>
      <c r="C182" s="2" t="s">
        <v>8</v>
      </c>
      <c r="D182" s="2" t="s">
        <v>159</v>
      </c>
      <c r="E182" s="2" t="s">
        <v>160</v>
      </c>
      <c r="F182" s="2" t="s">
        <v>451</v>
      </c>
      <c r="G182" s="2" t="s">
        <v>164</v>
      </c>
      <c r="H182" s="10">
        <f>WORKDAY(G182,125,'[1]Feriados y Materias'!$B$21:$B$61)</f>
        <v>46080</v>
      </c>
      <c r="I182" s="2" t="s">
        <v>192</v>
      </c>
      <c r="J182" s="2" t="s">
        <v>261</v>
      </c>
      <c r="K182" s="2" t="s">
        <v>1093</v>
      </c>
    </row>
    <row r="183" spans="1:11" x14ac:dyDescent="0.35">
      <c r="A183">
        <v>177</v>
      </c>
      <c r="B183" s="90" t="s">
        <v>16</v>
      </c>
      <c r="C183" s="2" t="s">
        <v>8</v>
      </c>
      <c r="D183" s="2" t="s">
        <v>159</v>
      </c>
      <c r="E183" s="2" t="s">
        <v>160</v>
      </c>
      <c r="F183" s="2" t="s">
        <v>452</v>
      </c>
      <c r="G183" s="2" t="s">
        <v>164</v>
      </c>
      <c r="H183" s="10">
        <f>WORKDAY(G183,125,'[1]Feriados y Materias'!$B$21:$B$61)</f>
        <v>46080</v>
      </c>
      <c r="I183" s="2" t="s">
        <v>192</v>
      </c>
      <c r="J183" s="2" t="s">
        <v>261</v>
      </c>
      <c r="K183" s="2" t="s">
        <v>1093</v>
      </c>
    </row>
    <row r="184" spans="1:11" x14ac:dyDescent="0.35">
      <c r="A184">
        <v>178</v>
      </c>
      <c r="B184" s="90" t="s">
        <v>16</v>
      </c>
      <c r="C184" s="2" t="s">
        <v>8</v>
      </c>
      <c r="D184" s="2" t="s">
        <v>159</v>
      </c>
      <c r="E184" s="2" t="s">
        <v>160</v>
      </c>
      <c r="F184" s="2" t="s">
        <v>453</v>
      </c>
      <c r="G184" s="2" t="s">
        <v>164</v>
      </c>
      <c r="H184" s="10">
        <f>WORKDAY(G184,125,'[1]Feriados y Materias'!$B$21:$B$61)</f>
        <v>46080</v>
      </c>
      <c r="I184" s="2" t="s">
        <v>192</v>
      </c>
      <c r="J184" s="2" t="s">
        <v>261</v>
      </c>
      <c r="K184" s="2" t="s">
        <v>1093</v>
      </c>
    </row>
    <row r="185" spans="1:11" x14ac:dyDescent="0.35">
      <c r="A185">
        <v>179</v>
      </c>
      <c r="B185" s="90" t="s">
        <v>16</v>
      </c>
      <c r="C185" s="2" t="s">
        <v>8</v>
      </c>
      <c r="D185" s="2" t="s">
        <v>159</v>
      </c>
      <c r="E185" s="2" t="s">
        <v>160</v>
      </c>
      <c r="F185" s="2" t="s">
        <v>454</v>
      </c>
      <c r="G185" s="2" t="s">
        <v>164</v>
      </c>
      <c r="H185" s="10">
        <f>WORKDAY(G185,125,'[1]Feriados y Materias'!$B$21:$B$61)</f>
        <v>46080</v>
      </c>
      <c r="I185" s="2" t="s">
        <v>192</v>
      </c>
      <c r="J185" s="2" t="s">
        <v>261</v>
      </c>
      <c r="K185" s="2" t="s">
        <v>1093</v>
      </c>
    </row>
    <row r="186" spans="1:11" x14ac:dyDescent="0.35">
      <c r="A186">
        <v>180</v>
      </c>
      <c r="B186" s="90" t="s">
        <v>16</v>
      </c>
      <c r="C186" s="2" t="s">
        <v>8</v>
      </c>
      <c r="D186" s="2" t="s">
        <v>159</v>
      </c>
      <c r="E186" s="2" t="s">
        <v>160</v>
      </c>
      <c r="F186" s="2" t="s">
        <v>455</v>
      </c>
      <c r="G186" s="2" t="s">
        <v>164</v>
      </c>
      <c r="H186" s="10">
        <f>WORKDAY(G186,125,'[1]Feriados y Materias'!$B$21:$B$61)</f>
        <v>46080</v>
      </c>
      <c r="I186" s="2" t="s">
        <v>192</v>
      </c>
      <c r="J186" s="2" t="s">
        <v>261</v>
      </c>
      <c r="K186" s="2" t="s">
        <v>1093</v>
      </c>
    </row>
    <row r="187" spans="1:11" x14ac:dyDescent="0.35">
      <c r="A187">
        <v>181</v>
      </c>
      <c r="B187" s="90" t="s">
        <v>16</v>
      </c>
      <c r="C187" s="2" t="s">
        <v>8</v>
      </c>
      <c r="D187" s="2" t="s">
        <v>159</v>
      </c>
      <c r="E187" s="2" t="s">
        <v>160</v>
      </c>
      <c r="F187" s="2" t="s">
        <v>456</v>
      </c>
      <c r="G187" s="2" t="s">
        <v>164</v>
      </c>
      <c r="H187" s="10">
        <f>WORKDAY(G187,125,'[1]Feriados y Materias'!$B$21:$B$61)</f>
        <v>46080</v>
      </c>
      <c r="I187" s="2" t="s">
        <v>192</v>
      </c>
      <c r="J187" s="2" t="s">
        <v>261</v>
      </c>
      <c r="K187" s="2" t="s">
        <v>1093</v>
      </c>
    </row>
    <row r="188" spans="1:11" x14ac:dyDescent="0.35">
      <c r="A188">
        <v>182</v>
      </c>
      <c r="B188" s="90" t="s">
        <v>16</v>
      </c>
      <c r="C188" s="2" t="s">
        <v>8</v>
      </c>
      <c r="D188" s="2" t="s">
        <v>159</v>
      </c>
      <c r="E188" s="2" t="s">
        <v>160</v>
      </c>
      <c r="F188" s="2" t="s">
        <v>457</v>
      </c>
      <c r="G188" s="2" t="s">
        <v>164</v>
      </c>
      <c r="H188" s="10">
        <f>WORKDAY(G188,125,'[1]Feriados y Materias'!$B$21:$B$61)</f>
        <v>46080</v>
      </c>
      <c r="I188" s="2" t="s">
        <v>192</v>
      </c>
      <c r="J188" s="2" t="s">
        <v>261</v>
      </c>
      <c r="K188" s="2" t="s">
        <v>1093</v>
      </c>
    </row>
    <row r="189" spans="1:11" x14ac:dyDescent="0.35">
      <c r="A189">
        <v>183</v>
      </c>
      <c r="B189" s="90" t="s">
        <v>16</v>
      </c>
      <c r="C189" s="2" t="s">
        <v>8</v>
      </c>
      <c r="D189" s="2" t="s">
        <v>159</v>
      </c>
      <c r="E189" s="2" t="s">
        <v>160</v>
      </c>
      <c r="F189" s="2" t="s">
        <v>458</v>
      </c>
      <c r="G189" s="2" t="s">
        <v>164</v>
      </c>
      <c r="H189" s="10">
        <f>WORKDAY(G189,125,'[1]Feriados y Materias'!$B$21:$B$61)</f>
        <v>46080</v>
      </c>
      <c r="I189" s="2" t="s">
        <v>192</v>
      </c>
      <c r="J189" s="2" t="s">
        <v>261</v>
      </c>
      <c r="K189" s="2" t="s">
        <v>1093</v>
      </c>
    </row>
    <row r="190" spans="1:11" x14ac:dyDescent="0.35">
      <c r="A190">
        <v>184</v>
      </c>
      <c r="B190" s="90" t="s">
        <v>16</v>
      </c>
      <c r="C190" s="2" t="s">
        <v>8</v>
      </c>
      <c r="D190" s="2" t="s">
        <v>159</v>
      </c>
      <c r="E190" s="2" t="s">
        <v>160</v>
      </c>
      <c r="F190" s="2" t="s">
        <v>459</v>
      </c>
      <c r="G190" s="2" t="s">
        <v>164</v>
      </c>
      <c r="H190" s="10">
        <f>WORKDAY(G190,125,'[1]Feriados y Materias'!$B$21:$B$61)</f>
        <v>46080</v>
      </c>
      <c r="I190" s="2" t="s">
        <v>192</v>
      </c>
      <c r="J190" s="2" t="s">
        <v>261</v>
      </c>
      <c r="K190" s="2" t="s">
        <v>1093</v>
      </c>
    </row>
    <row r="191" spans="1:11" x14ac:dyDescent="0.35">
      <c r="A191">
        <v>185</v>
      </c>
      <c r="B191" s="90" t="s">
        <v>16</v>
      </c>
      <c r="C191" s="2" t="s">
        <v>8</v>
      </c>
      <c r="D191" s="2" t="s">
        <v>159</v>
      </c>
      <c r="E191" s="2" t="s">
        <v>160</v>
      </c>
      <c r="F191" s="2" t="s">
        <v>460</v>
      </c>
      <c r="G191" s="2" t="s">
        <v>164</v>
      </c>
      <c r="H191" s="10">
        <f>WORKDAY(G191,125,'[1]Feriados y Materias'!$B$21:$B$61)</f>
        <v>46080</v>
      </c>
      <c r="I191" s="2" t="s">
        <v>192</v>
      </c>
      <c r="J191" s="2" t="s">
        <v>261</v>
      </c>
      <c r="K191" s="2" t="s">
        <v>1093</v>
      </c>
    </row>
    <row r="192" spans="1:11" x14ac:dyDescent="0.35">
      <c r="A192">
        <v>186</v>
      </c>
      <c r="B192" s="90" t="s">
        <v>16</v>
      </c>
      <c r="C192" s="2" t="s">
        <v>8</v>
      </c>
      <c r="D192" s="2" t="s">
        <v>159</v>
      </c>
      <c r="E192" s="2" t="s">
        <v>160</v>
      </c>
      <c r="F192" s="2" t="s">
        <v>461</v>
      </c>
      <c r="G192" s="2" t="s">
        <v>164</v>
      </c>
      <c r="H192" s="10">
        <f>WORKDAY(G192,125,'[1]Feriados y Materias'!$B$21:$B$61)</f>
        <v>46080</v>
      </c>
      <c r="I192" s="2" t="s">
        <v>192</v>
      </c>
      <c r="J192" s="2" t="s">
        <v>261</v>
      </c>
      <c r="K192" s="2" t="s">
        <v>1093</v>
      </c>
    </row>
    <row r="193" spans="1:11" x14ac:dyDescent="0.35">
      <c r="A193">
        <v>187</v>
      </c>
      <c r="B193" s="90" t="s">
        <v>16</v>
      </c>
      <c r="C193" s="2" t="s">
        <v>8</v>
      </c>
      <c r="D193" s="2" t="s">
        <v>159</v>
      </c>
      <c r="E193" s="2" t="s">
        <v>160</v>
      </c>
      <c r="F193" s="2" t="s">
        <v>462</v>
      </c>
      <c r="G193" s="2" t="s">
        <v>164</v>
      </c>
      <c r="H193" s="10">
        <f>WORKDAY(G193,125,'[1]Feriados y Materias'!$B$21:$B$61)</f>
        <v>46080</v>
      </c>
      <c r="I193" s="2" t="s">
        <v>192</v>
      </c>
      <c r="J193" s="2" t="s">
        <v>261</v>
      </c>
      <c r="K193" s="2" t="s">
        <v>1093</v>
      </c>
    </row>
    <row r="194" spans="1:11" x14ac:dyDescent="0.35">
      <c r="A194">
        <v>188</v>
      </c>
      <c r="B194" s="90" t="s">
        <v>16</v>
      </c>
      <c r="C194" s="2" t="s">
        <v>8</v>
      </c>
      <c r="D194" s="2" t="s">
        <v>159</v>
      </c>
      <c r="E194" s="2" t="s">
        <v>160</v>
      </c>
      <c r="F194" s="2" t="s">
        <v>463</v>
      </c>
      <c r="G194" s="2" t="s">
        <v>164</v>
      </c>
      <c r="H194" s="10">
        <f>WORKDAY(G194,125,'[1]Feriados y Materias'!$B$21:$B$61)</f>
        <v>46080</v>
      </c>
      <c r="I194" s="2" t="s">
        <v>192</v>
      </c>
      <c r="J194" s="2" t="s">
        <v>261</v>
      </c>
      <c r="K194" s="2" t="s">
        <v>1093</v>
      </c>
    </row>
    <row r="195" spans="1:11" x14ac:dyDescent="0.35">
      <c r="A195">
        <v>189</v>
      </c>
      <c r="B195" s="90" t="s">
        <v>16</v>
      </c>
      <c r="C195" s="2" t="s">
        <v>8</v>
      </c>
      <c r="D195" s="2" t="s">
        <v>159</v>
      </c>
      <c r="E195" s="2" t="s">
        <v>160</v>
      </c>
      <c r="F195" s="2" t="s">
        <v>464</v>
      </c>
      <c r="G195" s="2" t="s">
        <v>164</v>
      </c>
      <c r="H195" s="10">
        <f>WORKDAY(G195,125,'[1]Feriados y Materias'!$B$21:$B$61)</f>
        <v>46080</v>
      </c>
      <c r="I195" s="2" t="s">
        <v>192</v>
      </c>
      <c r="J195" s="2" t="s">
        <v>261</v>
      </c>
      <c r="K195" s="2" t="s">
        <v>1093</v>
      </c>
    </row>
    <row r="196" spans="1:11" x14ac:dyDescent="0.35">
      <c r="A196">
        <v>190</v>
      </c>
      <c r="B196" s="90" t="s">
        <v>16</v>
      </c>
      <c r="C196" s="2" t="s">
        <v>8</v>
      </c>
      <c r="D196" s="2" t="s">
        <v>159</v>
      </c>
      <c r="E196" s="2" t="s">
        <v>160</v>
      </c>
      <c r="F196" s="2" t="s">
        <v>465</v>
      </c>
      <c r="G196" s="2" t="s">
        <v>164</v>
      </c>
      <c r="H196" s="10">
        <f>WORKDAY(G196,125,'[1]Feriados y Materias'!$B$21:$B$61)</f>
        <v>46080</v>
      </c>
      <c r="I196" s="2" t="s">
        <v>192</v>
      </c>
      <c r="J196" s="2" t="s">
        <v>261</v>
      </c>
      <c r="K196" s="2" t="s">
        <v>1093</v>
      </c>
    </row>
    <row r="197" spans="1:11" x14ac:dyDescent="0.35">
      <c r="A197">
        <v>191</v>
      </c>
      <c r="B197" s="90" t="s">
        <v>16</v>
      </c>
      <c r="C197" s="2" t="s">
        <v>8</v>
      </c>
      <c r="D197" s="2" t="s">
        <v>159</v>
      </c>
      <c r="E197" s="2" t="s">
        <v>160</v>
      </c>
      <c r="F197" s="2" t="s">
        <v>466</v>
      </c>
      <c r="G197" s="2" t="s">
        <v>164</v>
      </c>
      <c r="H197" s="10">
        <f>WORKDAY(G197,125,'[1]Feriados y Materias'!$B$21:$B$61)</f>
        <v>46080</v>
      </c>
      <c r="I197" s="2" t="s">
        <v>192</v>
      </c>
      <c r="J197" s="2" t="s">
        <v>261</v>
      </c>
      <c r="K197" s="2" t="s">
        <v>1093</v>
      </c>
    </row>
    <row r="198" spans="1:11" x14ac:dyDescent="0.35">
      <c r="A198">
        <v>192</v>
      </c>
      <c r="B198" s="90" t="s">
        <v>16</v>
      </c>
      <c r="C198" s="2" t="s">
        <v>8</v>
      </c>
      <c r="D198" s="2" t="s">
        <v>159</v>
      </c>
      <c r="E198" s="2" t="s">
        <v>160</v>
      </c>
      <c r="F198" s="2" t="s">
        <v>467</v>
      </c>
      <c r="G198" s="2" t="s">
        <v>164</v>
      </c>
      <c r="H198" s="10">
        <f>WORKDAY(G198,125,'[1]Feriados y Materias'!$B$21:$B$61)</f>
        <v>46080</v>
      </c>
      <c r="I198" s="2" t="s">
        <v>192</v>
      </c>
      <c r="J198" s="2" t="s">
        <v>261</v>
      </c>
      <c r="K198" s="2" t="s">
        <v>1093</v>
      </c>
    </row>
    <row r="199" spans="1:11" x14ac:dyDescent="0.35">
      <c r="A199">
        <v>193</v>
      </c>
      <c r="B199" s="90" t="s">
        <v>16</v>
      </c>
      <c r="C199" s="2" t="s">
        <v>8</v>
      </c>
      <c r="D199" s="2" t="s">
        <v>159</v>
      </c>
      <c r="E199" s="2" t="s">
        <v>160</v>
      </c>
      <c r="F199" s="2" t="s">
        <v>468</v>
      </c>
      <c r="G199" s="2" t="s">
        <v>164</v>
      </c>
      <c r="H199" s="10">
        <f>WORKDAY(G199,125,'[1]Feriados y Materias'!$B$21:$B$61)</f>
        <v>46080</v>
      </c>
      <c r="I199" s="2" t="s">
        <v>192</v>
      </c>
      <c r="J199" s="2" t="s">
        <v>261</v>
      </c>
      <c r="K199" s="2" t="s">
        <v>1093</v>
      </c>
    </row>
    <row r="200" spans="1:11" x14ac:dyDescent="0.35">
      <c r="A200">
        <v>194</v>
      </c>
      <c r="B200" s="90" t="s">
        <v>16</v>
      </c>
      <c r="C200" s="2" t="s">
        <v>8</v>
      </c>
      <c r="D200" s="2" t="s">
        <v>159</v>
      </c>
      <c r="E200" s="2" t="s">
        <v>160</v>
      </c>
      <c r="F200" s="2" t="s">
        <v>469</v>
      </c>
      <c r="G200" s="2" t="s">
        <v>164</v>
      </c>
      <c r="H200" s="10">
        <f>WORKDAY(G200,125,'[1]Feriados y Materias'!$B$21:$B$61)</f>
        <v>46080</v>
      </c>
      <c r="I200" s="2" t="s">
        <v>192</v>
      </c>
      <c r="J200" s="2" t="s">
        <v>261</v>
      </c>
      <c r="K200" s="2" t="s">
        <v>1093</v>
      </c>
    </row>
    <row r="201" spans="1:11" x14ac:dyDescent="0.35">
      <c r="A201">
        <v>195</v>
      </c>
      <c r="B201" s="90" t="s">
        <v>16</v>
      </c>
      <c r="C201" s="2" t="s">
        <v>8</v>
      </c>
      <c r="D201" s="2" t="s">
        <v>159</v>
      </c>
      <c r="E201" s="2" t="s">
        <v>160</v>
      </c>
      <c r="F201" s="2" t="s">
        <v>470</v>
      </c>
      <c r="G201" s="2" t="s">
        <v>164</v>
      </c>
      <c r="H201" s="10">
        <f>WORKDAY(G201,125,'[1]Feriados y Materias'!$B$21:$B$61)</f>
        <v>46080</v>
      </c>
      <c r="I201" s="2" t="s">
        <v>192</v>
      </c>
      <c r="J201" s="2" t="s">
        <v>261</v>
      </c>
      <c r="K201" s="2" t="s">
        <v>1093</v>
      </c>
    </row>
    <row r="202" spans="1:11" x14ac:dyDescent="0.35">
      <c r="A202">
        <v>196</v>
      </c>
      <c r="B202" s="90" t="s">
        <v>16</v>
      </c>
      <c r="C202" s="2" t="s">
        <v>8</v>
      </c>
      <c r="D202" s="2" t="s">
        <v>159</v>
      </c>
      <c r="E202" s="2" t="s">
        <v>160</v>
      </c>
      <c r="F202" s="2" t="s">
        <v>471</v>
      </c>
      <c r="G202" s="2" t="s">
        <v>164</v>
      </c>
      <c r="H202" s="10">
        <f>WORKDAY(G202,125,'[1]Feriados y Materias'!$B$21:$B$61)</f>
        <v>46080</v>
      </c>
      <c r="I202" s="2" t="s">
        <v>192</v>
      </c>
      <c r="J202" s="2" t="s">
        <v>261</v>
      </c>
      <c r="K202" s="2" t="s">
        <v>1093</v>
      </c>
    </row>
    <row r="203" spans="1:11" x14ac:dyDescent="0.35">
      <c r="A203">
        <v>197</v>
      </c>
      <c r="B203" s="90" t="s">
        <v>16</v>
      </c>
      <c r="C203" s="2" t="s">
        <v>8</v>
      </c>
      <c r="D203" s="2" t="s">
        <v>159</v>
      </c>
      <c r="E203" s="2" t="s">
        <v>160</v>
      </c>
      <c r="F203" s="2" t="s">
        <v>472</v>
      </c>
      <c r="G203" s="2" t="s">
        <v>164</v>
      </c>
      <c r="H203" s="10">
        <f>WORKDAY(G203,125,'[1]Feriados y Materias'!$B$21:$B$61)</f>
        <v>46080</v>
      </c>
      <c r="I203" s="2" t="s">
        <v>192</v>
      </c>
      <c r="J203" s="2" t="s">
        <v>261</v>
      </c>
      <c r="K203" s="2" t="s">
        <v>1093</v>
      </c>
    </row>
    <row r="204" spans="1:11" x14ac:dyDescent="0.35">
      <c r="A204">
        <v>198</v>
      </c>
      <c r="B204" s="90" t="s">
        <v>16</v>
      </c>
      <c r="C204" s="2" t="s">
        <v>8</v>
      </c>
      <c r="D204" s="2" t="s">
        <v>159</v>
      </c>
      <c r="E204" s="2" t="s">
        <v>160</v>
      </c>
      <c r="F204" s="2" t="s">
        <v>473</v>
      </c>
      <c r="G204" s="2" t="s">
        <v>164</v>
      </c>
      <c r="H204" s="10">
        <f>WORKDAY(G204,125,'[1]Feriados y Materias'!$B$21:$B$61)</f>
        <v>46080</v>
      </c>
      <c r="I204" s="2" t="s">
        <v>192</v>
      </c>
      <c r="J204" s="2" t="s">
        <v>261</v>
      </c>
      <c r="K204" s="2" t="s">
        <v>1093</v>
      </c>
    </row>
    <row r="205" spans="1:11" x14ac:dyDescent="0.35">
      <c r="A205">
        <v>199</v>
      </c>
      <c r="B205" s="90" t="s">
        <v>16</v>
      </c>
      <c r="C205" s="2" t="s">
        <v>8</v>
      </c>
      <c r="D205" s="2" t="s">
        <v>159</v>
      </c>
      <c r="E205" s="2" t="s">
        <v>160</v>
      </c>
      <c r="F205" s="2" t="s">
        <v>474</v>
      </c>
      <c r="G205" s="2" t="s">
        <v>164</v>
      </c>
      <c r="H205" s="10">
        <f>WORKDAY(G205,125,'[1]Feriados y Materias'!$B$21:$B$61)</f>
        <v>46080</v>
      </c>
      <c r="I205" s="2" t="s">
        <v>192</v>
      </c>
      <c r="J205" s="2" t="s">
        <v>261</v>
      </c>
      <c r="K205" s="2" t="s">
        <v>1093</v>
      </c>
    </row>
    <row r="206" spans="1:11" x14ac:dyDescent="0.35">
      <c r="A206">
        <v>200</v>
      </c>
      <c r="B206" s="90" t="s">
        <v>16</v>
      </c>
      <c r="C206" s="2" t="s">
        <v>8</v>
      </c>
      <c r="D206" s="2" t="s">
        <v>159</v>
      </c>
      <c r="E206" s="2" t="s">
        <v>160</v>
      </c>
      <c r="F206" s="2" t="s">
        <v>475</v>
      </c>
      <c r="G206" s="2" t="s">
        <v>164</v>
      </c>
      <c r="H206" s="10">
        <f>WORKDAY(G206,125,'[1]Feriados y Materias'!$B$21:$B$61)</f>
        <v>46080</v>
      </c>
      <c r="I206" s="2" t="s">
        <v>192</v>
      </c>
      <c r="J206" s="2" t="s">
        <v>261</v>
      </c>
      <c r="K206" s="2" t="s">
        <v>1093</v>
      </c>
    </row>
    <row r="207" spans="1:11" x14ac:dyDescent="0.35">
      <c r="A207">
        <v>201</v>
      </c>
      <c r="B207" s="90" t="s">
        <v>16</v>
      </c>
      <c r="C207" s="2" t="s">
        <v>8</v>
      </c>
      <c r="D207" s="2" t="s">
        <v>159</v>
      </c>
      <c r="E207" s="2" t="s">
        <v>160</v>
      </c>
      <c r="F207" s="2" t="s">
        <v>476</v>
      </c>
      <c r="G207" s="2" t="s">
        <v>164</v>
      </c>
      <c r="H207" s="10">
        <f>WORKDAY(G207,125,'[1]Feriados y Materias'!$B$21:$B$61)</f>
        <v>46080</v>
      </c>
      <c r="I207" s="2" t="s">
        <v>192</v>
      </c>
      <c r="J207" s="2" t="s">
        <v>261</v>
      </c>
      <c r="K207" s="2" t="s">
        <v>1093</v>
      </c>
    </row>
    <row r="208" spans="1:11" x14ac:dyDescent="0.35">
      <c r="A208">
        <v>202</v>
      </c>
      <c r="B208" s="90" t="s">
        <v>16</v>
      </c>
      <c r="C208" s="2" t="s">
        <v>8</v>
      </c>
      <c r="D208" s="2" t="s">
        <v>159</v>
      </c>
      <c r="E208" s="2" t="s">
        <v>160</v>
      </c>
      <c r="F208" s="2" t="s">
        <v>477</v>
      </c>
      <c r="G208" s="2" t="s">
        <v>164</v>
      </c>
      <c r="H208" s="10">
        <f>WORKDAY(G208,125,'[1]Feriados y Materias'!$B$21:$B$61)</f>
        <v>46080</v>
      </c>
      <c r="I208" s="2" t="s">
        <v>192</v>
      </c>
      <c r="J208" s="2" t="s">
        <v>261</v>
      </c>
      <c r="K208" s="2" t="s">
        <v>1093</v>
      </c>
    </row>
    <row r="209" spans="1:11" x14ac:dyDescent="0.35">
      <c r="A209">
        <v>203</v>
      </c>
      <c r="B209" s="90" t="s">
        <v>16</v>
      </c>
      <c r="C209" s="2" t="s">
        <v>8</v>
      </c>
      <c r="D209" s="2" t="s">
        <v>159</v>
      </c>
      <c r="E209" s="2" t="s">
        <v>160</v>
      </c>
      <c r="F209" s="2" t="s">
        <v>478</v>
      </c>
      <c r="G209" s="2" t="s">
        <v>164</v>
      </c>
      <c r="H209" s="10">
        <f>WORKDAY(G209,125,'[1]Feriados y Materias'!$B$21:$B$61)</f>
        <v>46080</v>
      </c>
      <c r="I209" s="2" t="s">
        <v>192</v>
      </c>
      <c r="J209" s="2" t="s">
        <v>261</v>
      </c>
      <c r="K209" s="2" t="s">
        <v>1093</v>
      </c>
    </row>
    <row r="210" spans="1:11" x14ac:dyDescent="0.35">
      <c r="A210">
        <v>204</v>
      </c>
      <c r="B210" s="90" t="s">
        <v>16</v>
      </c>
      <c r="C210" s="2" t="s">
        <v>8</v>
      </c>
      <c r="D210" s="2" t="s">
        <v>159</v>
      </c>
      <c r="E210" s="2" t="s">
        <v>160</v>
      </c>
      <c r="F210" s="2" t="s">
        <v>479</v>
      </c>
      <c r="G210" s="2" t="s">
        <v>164</v>
      </c>
      <c r="H210" s="10">
        <f>WORKDAY(G210,125,'[1]Feriados y Materias'!$B$21:$B$61)</f>
        <v>46080</v>
      </c>
      <c r="I210" s="2" t="s">
        <v>192</v>
      </c>
      <c r="J210" s="2" t="s">
        <v>261</v>
      </c>
      <c r="K210" s="2" t="s">
        <v>1093</v>
      </c>
    </row>
    <row r="211" spans="1:11" x14ac:dyDescent="0.35">
      <c r="A211">
        <v>205</v>
      </c>
      <c r="B211" s="90" t="s">
        <v>16</v>
      </c>
      <c r="C211" s="2" t="s">
        <v>8</v>
      </c>
      <c r="D211" s="2" t="s">
        <v>159</v>
      </c>
      <c r="E211" s="2" t="s">
        <v>160</v>
      </c>
      <c r="F211" s="2" t="s">
        <v>480</v>
      </c>
      <c r="G211" s="2" t="s">
        <v>164</v>
      </c>
      <c r="H211" s="10">
        <f>WORKDAY(G211,125,'[1]Feriados y Materias'!$B$21:$B$61)</f>
        <v>46080</v>
      </c>
      <c r="I211" s="2" t="s">
        <v>192</v>
      </c>
      <c r="J211" s="2" t="s">
        <v>261</v>
      </c>
      <c r="K211" s="2" t="s">
        <v>1093</v>
      </c>
    </row>
    <row r="212" spans="1:11" x14ac:dyDescent="0.35">
      <c r="A212">
        <v>206</v>
      </c>
      <c r="B212" s="90" t="s">
        <v>16</v>
      </c>
      <c r="C212" s="2" t="s">
        <v>8</v>
      </c>
      <c r="D212" s="2" t="s">
        <v>159</v>
      </c>
      <c r="E212" s="2" t="s">
        <v>160</v>
      </c>
      <c r="F212" s="2" t="s">
        <v>481</v>
      </c>
      <c r="G212" s="2" t="s">
        <v>164</v>
      </c>
      <c r="H212" s="10">
        <f>WORKDAY(G212,125,'[1]Feriados y Materias'!$B$21:$B$61)</f>
        <v>46080</v>
      </c>
      <c r="I212" s="2" t="s">
        <v>192</v>
      </c>
      <c r="J212" s="2" t="s">
        <v>261</v>
      </c>
      <c r="K212" s="2" t="s">
        <v>1093</v>
      </c>
    </row>
    <row r="213" spans="1:11" x14ac:dyDescent="0.35">
      <c r="A213">
        <v>207</v>
      </c>
      <c r="B213" s="90" t="s">
        <v>16</v>
      </c>
      <c r="C213" s="2" t="s">
        <v>8</v>
      </c>
      <c r="D213" s="2" t="s">
        <v>159</v>
      </c>
      <c r="E213" s="2" t="s">
        <v>160</v>
      </c>
      <c r="F213" s="2" t="s">
        <v>482</v>
      </c>
      <c r="G213" s="2" t="s">
        <v>164</v>
      </c>
      <c r="H213" s="10">
        <f>WORKDAY(G213,125,'[1]Feriados y Materias'!$B$21:$B$61)</f>
        <v>46080</v>
      </c>
      <c r="I213" s="2" t="s">
        <v>192</v>
      </c>
      <c r="J213" s="2" t="s">
        <v>261</v>
      </c>
      <c r="K213" s="2" t="s">
        <v>1093</v>
      </c>
    </row>
    <row r="214" spans="1:11" x14ac:dyDescent="0.35">
      <c r="A214">
        <v>208</v>
      </c>
      <c r="B214" s="90" t="s">
        <v>16</v>
      </c>
      <c r="C214" s="2" t="s">
        <v>8</v>
      </c>
      <c r="D214" s="2" t="s">
        <v>159</v>
      </c>
      <c r="E214" s="2" t="s">
        <v>160</v>
      </c>
      <c r="F214" s="2" t="s">
        <v>483</v>
      </c>
      <c r="G214" s="2" t="s">
        <v>164</v>
      </c>
      <c r="H214" s="10">
        <f>WORKDAY(G214,125,'[1]Feriados y Materias'!$B$21:$B$61)</f>
        <v>46080</v>
      </c>
      <c r="I214" s="2" t="s">
        <v>192</v>
      </c>
      <c r="J214" s="2" t="s">
        <v>261</v>
      </c>
      <c r="K214" s="2" t="s">
        <v>1093</v>
      </c>
    </row>
    <row r="215" spans="1:11" x14ac:dyDescent="0.35">
      <c r="A215">
        <v>209</v>
      </c>
      <c r="B215" s="90" t="s">
        <v>16</v>
      </c>
      <c r="C215" s="2" t="s">
        <v>8</v>
      </c>
      <c r="D215" s="2" t="s">
        <v>159</v>
      </c>
      <c r="E215" s="2" t="s">
        <v>160</v>
      </c>
      <c r="F215" s="2" t="s">
        <v>484</v>
      </c>
      <c r="G215" s="2" t="s">
        <v>164</v>
      </c>
      <c r="H215" s="10">
        <f>WORKDAY(G215,125,'[1]Feriados y Materias'!$B$21:$B$61)</f>
        <v>46080</v>
      </c>
      <c r="I215" s="2" t="s">
        <v>192</v>
      </c>
      <c r="J215" s="2" t="s">
        <v>261</v>
      </c>
      <c r="K215" s="2" t="s">
        <v>1093</v>
      </c>
    </row>
    <row r="216" spans="1:11" x14ac:dyDescent="0.35">
      <c r="A216">
        <v>210</v>
      </c>
      <c r="B216" s="90" t="s">
        <v>16</v>
      </c>
      <c r="C216" s="2" t="s">
        <v>8</v>
      </c>
      <c r="D216" s="2" t="s">
        <v>159</v>
      </c>
      <c r="E216" s="2" t="s">
        <v>160</v>
      </c>
      <c r="F216" s="2" t="s">
        <v>485</v>
      </c>
      <c r="G216" s="2" t="s">
        <v>164</v>
      </c>
      <c r="H216" s="10">
        <f>WORKDAY(G216,125,'[1]Feriados y Materias'!$B$21:$B$61)</f>
        <v>46080</v>
      </c>
      <c r="I216" s="2" t="s">
        <v>192</v>
      </c>
      <c r="J216" s="2" t="s">
        <v>261</v>
      </c>
      <c r="K216" s="2" t="s">
        <v>1093</v>
      </c>
    </row>
    <row r="217" spans="1:11" x14ac:dyDescent="0.35">
      <c r="A217">
        <v>211</v>
      </c>
      <c r="B217" s="90" t="s">
        <v>16</v>
      </c>
      <c r="C217" s="2" t="s">
        <v>8</v>
      </c>
      <c r="D217" s="2" t="s">
        <v>159</v>
      </c>
      <c r="E217" s="2" t="s">
        <v>160</v>
      </c>
      <c r="F217" s="2" t="s">
        <v>486</v>
      </c>
      <c r="G217" s="2" t="s">
        <v>164</v>
      </c>
      <c r="H217" s="10">
        <f>WORKDAY(G217,125,'[1]Feriados y Materias'!$B$21:$B$61)</f>
        <v>46080</v>
      </c>
      <c r="I217" s="2" t="s">
        <v>192</v>
      </c>
      <c r="J217" s="2" t="s">
        <v>261</v>
      </c>
      <c r="K217" s="2" t="s">
        <v>1093</v>
      </c>
    </row>
    <row r="218" spans="1:11" x14ac:dyDescent="0.35">
      <c r="A218">
        <v>212</v>
      </c>
      <c r="B218" s="90" t="s">
        <v>16</v>
      </c>
      <c r="C218" s="2" t="s">
        <v>8</v>
      </c>
      <c r="D218" s="2" t="s">
        <v>159</v>
      </c>
      <c r="E218" s="2" t="s">
        <v>160</v>
      </c>
      <c r="F218" s="2" t="s">
        <v>487</v>
      </c>
      <c r="G218" s="2" t="s">
        <v>164</v>
      </c>
      <c r="H218" s="10">
        <f>WORKDAY(G218,125,'[1]Feriados y Materias'!$B$21:$B$61)</f>
        <v>46080</v>
      </c>
      <c r="I218" s="2" t="s">
        <v>192</v>
      </c>
      <c r="J218" s="2" t="s">
        <v>261</v>
      </c>
      <c r="K218" s="2" t="s">
        <v>1093</v>
      </c>
    </row>
    <row r="219" spans="1:11" x14ac:dyDescent="0.35">
      <c r="A219">
        <v>213</v>
      </c>
      <c r="B219" s="90" t="s">
        <v>16</v>
      </c>
      <c r="C219" s="2" t="s">
        <v>8</v>
      </c>
      <c r="D219" s="2" t="s">
        <v>159</v>
      </c>
      <c r="E219" s="2" t="s">
        <v>160</v>
      </c>
      <c r="F219" s="2" t="s">
        <v>488</v>
      </c>
      <c r="G219" s="2" t="s">
        <v>164</v>
      </c>
      <c r="H219" s="10">
        <f>WORKDAY(G219,125,'[1]Feriados y Materias'!$B$21:$B$61)</f>
        <v>46080</v>
      </c>
      <c r="I219" s="2" t="s">
        <v>192</v>
      </c>
      <c r="J219" s="2" t="s">
        <v>261</v>
      </c>
      <c r="K219" s="2" t="s">
        <v>1093</v>
      </c>
    </row>
    <row r="220" spans="1:11" x14ac:dyDescent="0.35">
      <c r="A220">
        <v>214</v>
      </c>
      <c r="B220" s="90" t="s">
        <v>16</v>
      </c>
      <c r="C220" s="2" t="s">
        <v>8</v>
      </c>
      <c r="D220" s="2" t="s">
        <v>159</v>
      </c>
      <c r="E220" s="2" t="s">
        <v>160</v>
      </c>
      <c r="F220" s="2" t="s">
        <v>489</v>
      </c>
      <c r="G220" s="2" t="s">
        <v>164</v>
      </c>
      <c r="H220" s="10">
        <f>WORKDAY(G220,125,'[1]Feriados y Materias'!$B$21:$B$61)</f>
        <v>46080</v>
      </c>
      <c r="I220" s="2" t="s">
        <v>192</v>
      </c>
      <c r="J220" s="2" t="s">
        <v>261</v>
      </c>
      <c r="K220" s="2" t="s">
        <v>1093</v>
      </c>
    </row>
    <row r="221" spans="1:11" x14ac:dyDescent="0.35">
      <c r="A221">
        <v>215</v>
      </c>
      <c r="B221" s="90" t="s">
        <v>16</v>
      </c>
      <c r="C221" s="2" t="s">
        <v>8</v>
      </c>
      <c r="D221" s="2" t="s">
        <v>159</v>
      </c>
      <c r="E221" s="2" t="s">
        <v>160</v>
      </c>
      <c r="F221" s="2" t="s">
        <v>490</v>
      </c>
      <c r="G221" s="2" t="s">
        <v>164</v>
      </c>
      <c r="H221" s="10">
        <f>WORKDAY(G221,125,'[1]Feriados y Materias'!$B$21:$B$61)</f>
        <v>46080</v>
      </c>
      <c r="I221" s="2" t="s">
        <v>192</v>
      </c>
      <c r="J221" s="2" t="s">
        <v>261</v>
      </c>
      <c r="K221" s="2" t="s">
        <v>1093</v>
      </c>
    </row>
    <row r="222" spans="1:11" x14ac:dyDescent="0.35">
      <c r="A222">
        <v>216</v>
      </c>
      <c r="B222" s="90" t="s">
        <v>16</v>
      </c>
      <c r="C222" s="2" t="s">
        <v>8</v>
      </c>
      <c r="D222" s="2" t="s">
        <v>159</v>
      </c>
      <c r="E222" s="2" t="s">
        <v>160</v>
      </c>
      <c r="F222" s="2" t="s">
        <v>491</v>
      </c>
      <c r="G222" s="2" t="s">
        <v>164</v>
      </c>
      <c r="H222" s="10">
        <f>WORKDAY(G222,125,'[1]Feriados y Materias'!$B$21:$B$61)</f>
        <v>46080</v>
      </c>
      <c r="I222" s="2" t="s">
        <v>192</v>
      </c>
      <c r="J222" s="2" t="s">
        <v>261</v>
      </c>
      <c r="K222" s="2" t="s">
        <v>1093</v>
      </c>
    </row>
    <row r="223" spans="1:11" x14ac:dyDescent="0.35">
      <c r="A223">
        <v>217</v>
      </c>
      <c r="B223" s="90" t="s">
        <v>16</v>
      </c>
      <c r="C223" s="2" t="s">
        <v>8</v>
      </c>
      <c r="D223" s="2" t="s">
        <v>159</v>
      </c>
      <c r="E223" s="2" t="s">
        <v>160</v>
      </c>
      <c r="F223" s="2" t="s">
        <v>492</v>
      </c>
      <c r="G223" s="2" t="s">
        <v>164</v>
      </c>
      <c r="H223" s="10">
        <f>WORKDAY(G223,125,'[1]Feriados y Materias'!$B$21:$B$61)</f>
        <v>46080</v>
      </c>
      <c r="I223" s="2" t="s">
        <v>192</v>
      </c>
      <c r="J223" s="2" t="s">
        <v>261</v>
      </c>
      <c r="K223" s="2" t="s">
        <v>1093</v>
      </c>
    </row>
    <row r="224" spans="1:11" x14ac:dyDescent="0.35">
      <c r="A224">
        <v>218</v>
      </c>
      <c r="B224" s="90" t="s">
        <v>16</v>
      </c>
      <c r="C224" s="2" t="s">
        <v>8</v>
      </c>
      <c r="D224" s="2" t="s">
        <v>159</v>
      </c>
      <c r="E224" s="2" t="s">
        <v>160</v>
      </c>
      <c r="F224" s="2" t="s">
        <v>493</v>
      </c>
      <c r="G224" s="2" t="s">
        <v>164</v>
      </c>
      <c r="H224" s="10">
        <f>WORKDAY(G224,125,'[1]Feriados y Materias'!$B$21:$B$61)</f>
        <v>46080</v>
      </c>
      <c r="I224" s="2" t="s">
        <v>192</v>
      </c>
      <c r="J224" s="2" t="s">
        <v>261</v>
      </c>
      <c r="K224" s="2" t="s">
        <v>1093</v>
      </c>
    </row>
    <row r="225" spans="1:11" x14ac:dyDescent="0.35">
      <c r="A225">
        <v>219</v>
      </c>
      <c r="B225" s="90" t="s">
        <v>16</v>
      </c>
      <c r="C225" s="2" t="s">
        <v>8</v>
      </c>
      <c r="D225" s="2" t="s">
        <v>159</v>
      </c>
      <c r="E225" s="2" t="s">
        <v>160</v>
      </c>
      <c r="F225" s="2" t="s">
        <v>494</v>
      </c>
      <c r="G225" s="2" t="s">
        <v>164</v>
      </c>
      <c r="H225" s="10">
        <f>WORKDAY(G225,125,'[1]Feriados y Materias'!$B$21:$B$61)</f>
        <v>46080</v>
      </c>
      <c r="I225" s="2" t="s">
        <v>192</v>
      </c>
      <c r="J225" s="2" t="s">
        <v>261</v>
      </c>
      <c r="K225" s="2" t="s">
        <v>1093</v>
      </c>
    </row>
    <row r="226" spans="1:11" x14ac:dyDescent="0.35">
      <c r="A226">
        <v>220</v>
      </c>
      <c r="B226" s="90" t="s">
        <v>16</v>
      </c>
      <c r="C226" s="2" t="s">
        <v>8</v>
      </c>
      <c r="D226" s="2" t="s">
        <v>159</v>
      </c>
      <c r="E226" s="2" t="s">
        <v>160</v>
      </c>
      <c r="F226" s="2" t="s">
        <v>495</v>
      </c>
      <c r="G226" s="2" t="s">
        <v>164</v>
      </c>
      <c r="H226" s="10">
        <f>WORKDAY(G226,125,'[1]Feriados y Materias'!$B$21:$B$61)</f>
        <v>46080</v>
      </c>
      <c r="I226" s="2" t="s">
        <v>192</v>
      </c>
      <c r="J226" s="2" t="s">
        <v>261</v>
      </c>
      <c r="K226" s="2" t="s">
        <v>1093</v>
      </c>
    </row>
    <row r="227" spans="1:11" x14ac:dyDescent="0.35">
      <c r="A227">
        <v>221</v>
      </c>
      <c r="B227" s="90" t="s">
        <v>16</v>
      </c>
      <c r="C227" s="2" t="s">
        <v>8</v>
      </c>
      <c r="D227" s="2" t="s">
        <v>159</v>
      </c>
      <c r="E227" s="2" t="s">
        <v>160</v>
      </c>
      <c r="F227" s="2" t="s">
        <v>496</v>
      </c>
      <c r="G227" s="2" t="s">
        <v>164</v>
      </c>
      <c r="H227" s="10">
        <f>WORKDAY(G227,125,'[1]Feriados y Materias'!$B$21:$B$61)</f>
        <v>46080</v>
      </c>
      <c r="I227" s="2" t="s">
        <v>192</v>
      </c>
      <c r="J227" s="2" t="s">
        <v>261</v>
      </c>
      <c r="K227" s="2" t="s">
        <v>1093</v>
      </c>
    </row>
    <row r="228" spans="1:11" x14ac:dyDescent="0.35">
      <c r="A228">
        <v>222</v>
      </c>
      <c r="B228" s="90" t="s">
        <v>16</v>
      </c>
      <c r="C228" s="2" t="s">
        <v>8</v>
      </c>
      <c r="D228" s="2" t="s">
        <v>159</v>
      </c>
      <c r="E228" s="2" t="s">
        <v>160</v>
      </c>
      <c r="F228" s="2" t="s">
        <v>497</v>
      </c>
      <c r="G228" s="2" t="s">
        <v>164</v>
      </c>
      <c r="H228" s="10">
        <f>WORKDAY(G228,125,'[1]Feriados y Materias'!$B$21:$B$61)</f>
        <v>46080</v>
      </c>
      <c r="I228" s="2" t="s">
        <v>192</v>
      </c>
      <c r="J228" s="2" t="s">
        <v>261</v>
      </c>
      <c r="K228" s="2" t="s">
        <v>1093</v>
      </c>
    </row>
    <row r="229" spans="1:11" x14ac:dyDescent="0.35">
      <c r="A229">
        <v>223</v>
      </c>
      <c r="B229" s="90" t="s">
        <v>16</v>
      </c>
      <c r="C229" s="2" t="s">
        <v>8</v>
      </c>
      <c r="D229" s="2" t="s">
        <v>159</v>
      </c>
      <c r="E229" s="2" t="s">
        <v>160</v>
      </c>
      <c r="F229" s="2" t="s">
        <v>498</v>
      </c>
      <c r="G229" s="2" t="s">
        <v>164</v>
      </c>
      <c r="H229" s="10">
        <f>WORKDAY(G229,125,'[1]Feriados y Materias'!$B$21:$B$61)</f>
        <v>46080</v>
      </c>
      <c r="I229" s="2" t="s">
        <v>192</v>
      </c>
      <c r="J229" s="2" t="s">
        <v>261</v>
      </c>
      <c r="K229" s="2" t="s">
        <v>1093</v>
      </c>
    </row>
    <row r="230" spans="1:11" x14ac:dyDescent="0.35">
      <c r="A230">
        <v>224</v>
      </c>
      <c r="B230" s="90" t="s">
        <v>16</v>
      </c>
      <c r="C230" s="2" t="s">
        <v>8</v>
      </c>
      <c r="D230" s="2" t="s">
        <v>159</v>
      </c>
      <c r="E230" s="2" t="s">
        <v>160</v>
      </c>
      <c r="F230" s="2" t="s">
        <v>499</v>
      </c>
      <c r="G230" s="2" t="s">
        <v>164</v>
      </c>
      <c r="H230" s="10">
        <f>WORKDAY(G230,125,'[1]Feriados y Materias'!$B$21:$B$61)</f>
        <v>46080</v>
      </c>
      <c r="I230" s="2" t="s">
        <v>192</v>
      </c>
      <c r="J230" s="2" t="s">
        <v>261</v>
      </c>
      <c r="K230" s="2" t="s">
        <v>1093</v>
      </c>
    </row>
    <row r="231" spans="1:11" x14ac:dyDescent="0.35">
      <c r="A231">
        <v>225</v>
      </c>
      <c r="B231" s="90" t="s">
        <v>16</v>
      </c>
      <c r="C231" s="2" t="s">
        <v>8</v>
      </c>
      <c r="D231" s="2" t="s">
        <v>159</v>
      </c>
      <c r="E231" s="2" t="s">
        <v>160</v>
      </c>
      <c r="F231" s="2" t="s">
        <v>500</v>
      </c>
      <c r="G231" s="2" t="s">
        <v>164</v>
      </c>
      <c r="H231" s="10">
        <f>WORKDAY(G231,125,'[1]Feriados y Materias'!$B$21:$B$61)</f>
        <v>46080</v>
      </c>
      <c r="I231" s="2" t="s">
        <v>192</v>
      </c>
      <c r="J231" s="2" t="s">
        <v>261</v>
      </c>
      <c r="K231" s="2" t="s">
        <v>1093</v>
      </c>
    </row>
    <row r="232" spans="1:11" x14ac:dyDescent="0.35">
      <c r="A232">
        <v>226</v>
      </c>
      <c r="B232" s="90" t="s">
        <v>16</v>
      </c>
      <c r="C232" s="2" t="s">
        <v>8</v>
      </c>
      <c r="D232" s="2" t="s">
        <v>159</v>
      </c>
      <c r="E232" s="2" t="s">
        <v>160</v>
      </c>
      <c r="F232" s="2" t="s">
        <v>501</v>
      </c>
      <c r="G232" s="2" t="s">
        <v>164</v>
      </c>
      <c r="H232" s="10">
        <f>WORKDAY(G232,125,'[1]Feriados y Materias'!$B$21:$B$61)</f>
        <v>46080</v>
      </c>
      <c r="I232" s="2" t="s">
        <v>192</v>
      </c>
      <c r="J232" s="2" t="s">
        <v>261</v>
      </c>
      <c r="K232" s="2" t="s">
        <v>1093</v>
      </c>
    </row>
    <row r="233" spans="1:11" x14ac:dyDescent="0.35">
      <c r="A233">
        <v>227</v>
      </c>
      <c r="B233" s="90" t="s">
        <v>16</v>
      </c>
      <c r="C233" s="2" t="s">
        <v>8</v>
      </c>
      <c r="D233" s="2" t="s">
        <v>159</v>
      </c>
      <c r="E233" s="2" t="s">
        <v>160</v>
      </c>
      <c r="F233" s="2" t="s">
        <v>502</v>
      </c>
      <c r="G233" s="2" t="s">
        <v>164</v>
      </c>
      <c r="H233" s="10">
        <f>WORKDAY(G233,125,'[1]Feriados y Materias'!$B$21:$B$61)</f>
        <v>46080</v>
      </c>
      <c r="I233" s="2" t="s">
        <v>192</v>
      </c>
      <c r="J233" s="2" t="s">
        <v>261</v>
      </c>
      <c r="K233" s="2" t="s">
        <v>1093</v>
      </c>
    </row>
    <row r="234" spans="1:11" x14ac:dyDescent="0.35">
      <c r="A234">
        <v>228</v>
      </c>
      <c r="B234" s="90" t="s">
        <v>16</v>
      </c>
      <c r="C234" s="2" t="s">
        <v>8</v>
      </c>
      <c r="D234" s="2" t="s">
        <v>159</v>
      </c>
      <c r="E234" s="2" t="s">
        <v>160</v>
      </c>
      <c r="F234" s="2" t="s">
        <v>503</v>
      </c>
      <c r="G234" s="2" t="s">
        <v>164</v>
      </c>
      <c r="H234" s="10">
        <f>WORKDAY(G234,125,'[1]Feriados y Materias'!$B$21:$B$61)</f>
        <v>46080</v>
      </c>
      <c r="I234" s="2" t="s">
        <v>192</v>
      </c>
      <c r="J234" s="2" t="s">
        <v>261</v>
      </c>
      <c r="K234" s="2" t="s">
        <v>1093</v>
      </c>
    </row>
    <row r="235" spans="1:11" x14ac:dyDescent="0.35">
      <c r="A235">
        <v>229</v>
      </c>
      <c r="B235" s="90" t="s">
        <v>16</v>
      </c>
      <c r="C235" s="2" t="s">
        <v>8</v>
      </c>
      <c r="D235" s="2" t="s">
        <v>159</v>
      </c>
      <c r="E235" s="2" t="s">
        <v>160</v>
      </c>
      <c r="F235" s="2" t="s">
        <v>504</v>
      </c>
      <c r="G235" s="2" t="s">
        <v>164</v>
      </c>
      <c r="H235" s="10">
        <f>WORKDAY(G235,125,'[1]Feriados y Materias'!$B$21:$B$61)</f>
        <v>46080</v>
      </c>
      <c r="I235" s="2" t="s">
        <v>192</v>
      </c>
      <c r="J235" s="2" t="s">
        <v>261</v>
      </c>
      <c r="K235" s="2" t="s">
        <v>1093</v>
      </c>
    </row>
    <row r="236" spans="1:11" x14ac:dyDescent="0.35">
      <c r="A236">
        <v>230</v>
      </c>
      <c r="B236" s="90" t="s">
        <v>16</v>
      </c>
      <c r="C236" s="2" t="s">
        <v>8</v>
      </c>
      <c r="D236" s="2" t="s">
        <v>159</v>
      </c>
      <c r="E236" s="2" t="s">
        <v>160</v>
      </c>
      <c r="F236" s="2" t="s">
        <v>505</v>
      </c>
      <c r="G236" s="2" t="s">
        <v>164</v>
      </c>
      <c r="H236" s="10">
        <f>WORKDAY(G236,125,'[1]Feriados y Materias'!$B$21:$B$61)</f>
        <v>46080</v>
      </c>
      <c r="I236" s="2" t="s">
        <v>192</v>
      </c>
      <c r="J236" s="2" t="s">
        <v>261</v>
      </c>
      <c r="K236" s="2" t="s">
        <v>1093</v>
      </c>
    </row>
    <row r="237" spans="1:11" x14ac:dyDescent="0.35">
      <c r="A237">
        <v>231</v>
      </c>
      <c r="B237" s="90" t="s">
        <v>16</v>
      </c>
      <c r="C237" s="2" t="s">
        <v>8</v>
      </c>
      <c r="D237" s="2" t="s">
        <v>159</v>
      </c>
      <c r="E237" s="2" t="s">
        <v>160</v>
      </c>
      <c r="F237" s="2" t="s">
        <v>506</v>
      </c>
      <c r="G237" s="2" t="s">
        <v>164</v>
      </c>
      <c r="H237" s="10">
        <f>WORKDAY(G237,125,'[1]Feriados y Materias'!$B$21:$B$61)</f>
        <v>46080</v>
      </c>
      <c r="I237" s="2" t="s">
        <v>192</v>
      </c>
      <c r="J237" s="2" t="s">
        <v>261</v>
      </c>
      <c r="K237" s="2" t="s">
        <v>1093</v>
      </c>
    </row>
    <row r="238" spans="1:11" x14ac:dyDescent="0.35">
      <c r="A238">
        <v>232</v>
      </c>
      <c r="B238" s="90" t="s">
        <v>16</v>
      </c>
      <c r="C238" s="2" t="s">
        <v>8</v>
      </c>
      <c r="D238" s="2" t="s">
        <v>159</v>
      </c>
      <c r="E238" s="2" t="s">
        <v>160</v>
      </c>
      <c r="F238" s="2" t="s">
        <v>507</v>
      </c>
      <c r="G238" s="2" t="s">
        <v>164</v>
      </c>
      <c r="H238" s="10">
        <f>WORKDAY(G238,125,'[1]Feriados y Materias'!$B$21:$B$61)</f>
        <v>46080</v>
      </c>
      <c r="I238" s="2" t="s">
        <v>192</v>
      </c>
      <c r="J238" s="2" t="s">
        <v>261</v>
      </c>
      <c r="K238" s="2" t="s">
        <v>1093</v>
      </c>
    </row>
    <row r="239" spans="1:11" x14ac:dyDescent="0.35">
      <c r="A239">
        <v>233</v>
      </c>
      <c r="B239" s="90" t="s">
        <v>16</v>
      </c>
      <c r="C239" s="2" t="s">
        <v>8</v>
      </c>
      <c r="D239" s="2" t="s">
        <v>159</v>
      </c>
      <c r="E239" s="2" t="s">
        <v>160</v>
      </c>
      <c r="F239" s="2" t="s">
        <v>508</v>
      </c>
      <c r="G239" s="2" t="s">
        <v>164</v>
      </c>
      <c r="H239" s="10">
        <f>WORKDAY(G239,125,'[1]Feriados y Materias'!$B$21:$B$61)</f>
        <v>46080</v>
      </c>
      <c r="I239" s="2" t="s">
        <v>192</v>
      </c>
      <c r="J239" s="2" t="s">
        <v>261</v>
      </c>
      <c r="K239" s="2" t="s">
        <v>1093</v>
      </c>
    </row>
    <row r="240" spans="1:11" x14ac:dyDescent="0.35">
      <c r="A240">
        <v>234</v>
      </c>
      <c r="B240" s="90" t="s">
        <v>16</v>
      </c>
      <c r="C240" s="2" t="s">
        <v>8</v>
      </c>
      <c r="D240" s="2" t="s">
        <v>159</v>
      </c>
      <c r="E240" s="2" t="s">
        <v>160</v>
      </c>
      <c r="F240" s="2" t="s">
        <v>509</v>
      </c>
      <c r="G240" s="2" t="s">
        <v>164</v>
      </c>
      <c r="H240" s="10">
        <f>WORKDAY(G240,125,'[1]Feriados y Materias'!$B$21:$B$61)</f>
        <v>46080</v>
      </c>
      <c r="I240" s="2" t="s">
        <v>192</v>
      </c>
      <c r="J240" s="2" t="s">
        <v>261</v>
      </c>
      <c r="K240" s="2" t="s">
        <v>1093</v>
      </c>
    </row>
    <row r="241" spans="1:11" x14ac:dyDescent="0.35">
      <c r="A241">
        <v>235</v>
      </c>
      <c r="B241" s="90" t="s">
        <v>16</v>
      </c>
      <c r="C241" s="2" t="s">
        <v>8</v>
      </c>
      <c r="D241" s="2" t="s">
        <v>159</v>
      </c>
      <c r="E241" s="2" t="s">
        <v>160</v>
      </c>
      <c r="F241" s="2" t="s">
        <v>510</v>
      </c>
      <c r="G241" s="2" t="s">
        <v>164</v>
      </c>
      <c r="H241" s="10">
        <f>WORKDAY(G241,125,'[1]Feriados y Materias'!$B$21:$B$61)</f>
        <v>46080</v>
      </c>
      <c r="I241" s="2" t="s">
        <v>192</v>
      </c>
      <c r="J241" s="2" t="s">
        <v>261</v>
      </c>
      <c r="K241" s="2" t="s">
        <v>1093</v>
      </c>
    </row>
    <row r="242" spans="1:11" x14ac:dyDescent="0.35">
      <c r="A242">
        <v>236</v>
      </c>
      <c r="B242" s="90" t="s">
        <v>16</v>
      </c>
      <c r="C242" s="2" t="s">
        <v>8</v>
      </c>
      <c r="D242" s="2" t="s">
        <v>159</v>
      </c>
      <c r="E242" s="2" t="s">
        <v>160</v>
      </c>
      <c r="F242" s="2" t="s">
        <v>511</v>
      </c>
      <c r="G242" s="2" t="s">
        <v>164</v>
      </c>
      <c r="H242" s="10">
        <f>WORKDAY(G242,125,'[1]Feriados y Materias'!$B$21:$B$61)</f>
        <v>46080</v>
      </c>
      <c r="I242" s="2" t="s">
        <v>192</v>
      </c>
      <c r="J242" s="2" t="s">
        <v>261</v>
      </c>
      <c r="K242" s="2" t="s">
        <v>1093</v>
      </c>
    </row>
    <row r="243" spans="1:11" x14ac:dyDescent="0.35">
      <c r="A243">
        <v>237</v>
      </c>
      <c r="B243" s="90" t="s">
        <v>16</v>
      </c>
      <c r="C243" s="2" t="s">
        <v>8</v>
      </c>
      <c r="D243" s="2" t="s">
        <v>159</v>
      </c>
      <c r="E243" s="2" t="s">
        <v>160</v>
      </c>
      <c r="F243" s="2" t="s">
        <v>512</v>
      </c>
      <c r="G243" s="2" t="s">
        <v>164</v>
      </c>
      <c r="H243" s="10">
        <f>WORKDAY(G243,125,'[1]Feriados y Materias'!$B$21:$B$61)</f>
        <v>46080</v>
      </c>
      <c r="I243" s="2" t="s">
        <v>192</v>
      </c>
      <c r="J243" s="2" t="s">
        <v>261</v>
      </c>
      <c r="K243" s="2" t="s">
        <v>1093</v>
      </c>
    </row>
    <row r="244" spans="1:11" x14ac:dyDescent="0.35">
      <c r="A244">
        <v>238</v>
      </c>
      <c r="B244" s="90" t="s">
        <v>16</v>
      </c>
      <c r="C244" s="2" t="s">
        <v>8</v>
      </c>
      <c r="D244" s="2" t="s">
        <v>159</v>
      </c>
      <c r="E244" s="2" t="s">
        <v>160</v>
      </c>
      <c r="F244" s="2" t="s">
        <v>513</v>
      </c>
      <c r="G244" s="2" t="s">
        <v>164</v>
      </c>
      <c r="H244" s="10">
        <f>WORKDAY(G244,125,'[1]Feriados y Materias'!$B$21:$B$61)</f>
        <v>46080</v>
      </c>
      <c r="I244" s="2" t="s">
        <v>192</v>
      </c>
      <c r="J244" s="2" t="s">
        <v>261</v>
      </c>
      <c r="K244" s="2" t="s">
        <v>1093</v>
      </c>
    </row>
    <row r="245" spans="1:11" x14ac:dyDescent="0.35">
      <c r="A245">
        <v>239</v>
      </c>
      <c r="B245" s="90" t="s">
        <v>16</v>
      </c>
      <c r="C245" s="2" t="s">
        <v>8</v>
      </c>
      <c r="D245" s="2" t="s">
        <v>159</v>
      </c>
      <c r="E245" s="2" t="s">
        <v>160</v>
      </c>
      <c r="F245" s="2" t="s">
        <v>514</v>
      </c>
      <c r="G245" s="2" t="s">
        <v>164</v>
      </c>
      <c r="H245" s="10">
        <f>WORKDAY(G245,125,'[1]Feriados y Materias'!$B$21:$B$61)</f>
        <v>46080</v>
      </c>
      <c r="I245" s="2" t="s">
        <v>192</v>
      </c>
      <c r="J245" s="2" t="s">
        <v>261</v>
      </c>
      <c r="K245" s="2" t="s">
        <v>1093</v>
      </c>
    </row>
    <row r="246" spans="1:11" x14ac:dyDescent="0.35">
      <c r="A246">
        <v>240</v>
      </c>
      <c r="B246" s="90" t="s">
        <v>16</v>
      </c>
      <c r="C246" s="2" t="s">
        <v>8</v>
      </c>
      <c r="D246" s="2" t="s">
        <v>159</v>
      </c>
      <c r="E246" s="2" t="s">
        <v>160</v>
      </c>
      <c r="F246" s="2" t="s">
        <v>515</v>
      </c>
      <c r="G246" s="2" t="s">
        <v>164</v>
      </c>
      <c r="H246" s="10">
        <f>WORKDAY(G246,125,'[1]Feriados y Materias'!$B$21:$B$61)</f>
        <v>46080</v>
      </c>
      <c r="I246" s="2" t="s">
        <v>192</v>
      </c>
      <c r="J246" s="2" t="s">
        <v>261</v>
      </c>
      <c r="K246" s="2" t="s">
        <v>1093</v>
      </c>
    </row>
    <row r="247" spans="1:11" x14ac:dyDescent="0.35">
      <c r="A247">
        <v>241</v>
      </c>
      <c r="B247" s="90" t="s">
        <v>16</v>
      </c>
      <c r="C247" s="2" t="s">
        <v>8</v>
      </c>
      <c r="D247" s="2" t="s">
        <v>159</v>
      </c>
      <c r="E247" s="2" t="s">
        <v>160</v>
      </c>
      <c r="F247" s="2" t="s">
        <v>516</v>
      </c>
      <c r="G247" s="2" t="s">
        <v>164</v>
      </c>
      <c r="H247" s="10">
        <f>WORKDAY(G247,125,'[1]Feriados y Materias'!$B$21:$B$61)</f>
        <v>46080</v>
      </c>
      <c r="I247" s="2" t="s">
        <v>192</v>
      </c>
      <c r="J247" s="2" t="s">
        <v>261</v>
      </c>
      <c r="K247" s="2" t="s">
        <v>1093</v>
      </c>
    </row>
    <row r="248" spans="1:11" x14ac:dyDescent="0.35">
      <c r="A248">
        <v>242</v>
      </c>
      <c r="B248" s="90" t="s">
        <v>16</v>
      </c>
      <c r="C248" s="2" t="s">
        <v>8</v>
      </c>
      <c r="D248" s="2" t="s">
        <v>159</v>
      </c>
      <c r="E248" s="2" t="s">
        <v>160</v>
      </c>
      <c r="F248" s="2" t="s">
        <v>517</v>
      </c>
      <c r="G248" s="2" t="s">
        <v>164</v>
      </c>
      <c r="H248" s="10">
        <f>WORKDAY(G248,125,'[1]Feriados y Materias'!$B$21:$B$61)</f>
        <v>46080</v>
      </c>
      <c r="I248" s="2" t="s">
        <v>192</v>
      </c>
      <c r="J248" s="2" t="s">
        <v>261</v>
      </c>
      <c r="K248" s="2" t="s">
        <v>1093</v>
      </c>
    </row>
    <row r="249" spans="1:11" x14ac:dyDescent="0.35">
      <c r="A249">
        <v>243</v>
      </c>
      <c r="B249" s="90" t="s">
        <v>16</v>
      </c>
      <c r="C249" s="2" t="s">
        <v>8</v>
      </c>
      <c r="D249" s="2" t="s">
        <v>159</v>
      </c>
      <c r="E249" s="2" t="s">
        <v>160</v>
      </c>
      <c r="F249" s="2" t="s">
        <v>518</v>
      </c>
      <c r="G249" s="2" t="s">
        <v>164</v>
      </c>
      <c r="H249" s="10">
        <f>WORKDAY(G249,125,'[1]Feriados y Materias'!$B$21:$B$61)</f>
        <v>46080</v>
      </c>
      <c r="I249" s="2" t="s">
        <v>192</v>
      </c>
      <c r="J249" s="2" t="s">
        <v>261</v>
      </c>
      <c r="K249" s="2" t="s">
        <v>1093</v>
      </c>
    </row>
    <row r="250" spans="1:11" x14ac:dyDescent="0.35">
      <c r="A250">
        <v>244</v>
      </c>
      <c r="B250" s="90" t="s">
        <v>16</v>
      </c>
      <c r="C250" s="2" t="s">
        <v>8</v>
      </c>
      <c r="D250" s="2" t="s">
        <v>159</v>
      </c>
      <c r="E250" s="2" t="s">
        <v>160</v>
      </c>
      <c r="F250" s="2" t="s">
        <v>519</v>
      </c>
      <c r="G250" s="2" t="s">
        <v>164</v>
      </c>
      <c r="H250" s="10">
        <f>WORKDAY(G250,125,'[1]Feriados y Materias'!$B$21:$B$61)</f>
        <v>46080</v>
      </c>
      <c r="I250" s="2" t="s">
        <v>192</v>
      </c>
      <c r="J250" s="2" t="s">
        <v>261</v>
      </c>
      <c r="K250" s="2" t="s">
        <v>1093</v>
      </c>
    </row>
    <row r="251" spans="1:11" x14ac:dyDescent="0.35">
      <c r="A251">
        <v>245</v>
      </c>
      <c r="B251" s="90" t="s">
        <v>16</v>
      </c>
      <c r="C251" s="2" t="s">
        <v>8</v>
      </c>
      <c r="D251" s="2" t="s">
        <v>159</v>
      </c>
      <c r="E251" s="2" t="s">
        <v>160</v>
      </c>
      <c r="F251" s="2" t="s">
        <v>520</v>
      </c>
      <c r="G251" s="2" t="s">
        <v>164</v>
      </c>
      <c r="H251" s="10">
        <f>WORKDAY(G251,125,'[1]Feriados y Materias'!$B$21:$B$61)</f>
        <v>46080</v>
      </c>
      <c r="I251" s="2" t="s">
        <v>192</v>
      </c>
      <c r="J251" s="2" t="s">
        <v>261</v>
      </c>
      <c r="K251" s="2" t="s">
        <v>1093</v>
      </c>
    </row>
    <row r="252" spans="1:11" x14ac:dyDescent="0.35">
      <c r="A252">
        <v>246</v>
      </c>
      <c r="B252" s="90" t="s">
        <v>16</v>
      </c>
      <c r="C252" s="2" t="s">
        <v>8</v>
      </c>
      <c r="D252" s="2" t="s">
        <v>159</v>
      </c>
      <c r="E252" s="2" t="s">
        <v>160</v>
      </c>
      <c r="F252" s="2" t="s">
        <v>521</v>
      </c>
      <c r="G252" s="2" t="s">
        <v>164</v>
      </c>
      <c r="H252" s="10">
        <f>WORKDAY(G252,125,'[1]Feriados y Materias'!$B$21:$B$61)</f>
        <v>46080</v>
      </c>
      <c r="I252" s="2" t="s">
        <v>192</v>
      </c>
      <c r="J252" s="2" t="s">
        <v>261</v>
      </c>
      <c r="K252" s="2" t="s">
        <v>1093</v>
      </c>
    </row>
    <row r="253" spans="1:11" x14ac:dyDescent="0.35">
      <c r="A253">
        <v>247</v>
      </c>
      <c r="B253" s="90" t="s">
        <v>16</v>
      </c>
      <c r="C253" s="2" t="s">
        <v>8</v>
      </c>
      <c r="D253" s="2" t="s">
        <v>159</v>
      </c>
      <c r="E253" s="2" t="s">
        <v>160</v>
      </c>
      <c r="F253" s="2" t="s">
        <v>522</v>
      </c>
      <c r="G253" s="2" t="s">
        <v>164</v>
      </c>
      <c r="H253" s="10">
        <f>WORKDAY(G253,125,'[1]Feriados y Materias'!$B$21:$B$61)</f>
        <v>46080</v>
      </c>
      <c r="I253" s="2" t="s">
        <v>192</v>
      </c>
      <c r="J253" s="2" t="s">
        <v>261</v>
      </c>
      <c r="K253" s="2" t="s">
        <v>1093</v>
      </c>
    </row>
    <row r="254" spans="1:11" x14ac:dyDescent="0.35">
      <c r="A254">
        <v>248</v>
      </c>
      <c r="B254" s="90" t="s">
        <v>16</v>
      </c>
      <c r="C254" s="2" t="s">
        <v>8</v>
      </c>
      <c r="D254" s="2" t="s">
        <v>159</v>
      </c>
      <c r="E254" s="2" t="s">
        <v>160</v>
      </c>
      <c r="F254" s="2" t="s">
        <v>523</v>
      </c>
      <c r="G254" s="2" t="s">
        <v>164</v>
      </c>
      <c r="H254" s="10">
        <f>WORKDAY(G254,125,'[1]Feriados y Materias'!$B$21:$B$61)</f>
        <v>46080</v>
      </c>
      <c r="I254" s="2" t="s">
        <v>192</v>
      </c>
      <c r="J254" s="2" t="s">
        <v>261</v>
      </c>
      <c r="K254" s="2" t="s">
        <v>1093</v>
      </c>
    </row>
    <row r="255" spans="1:11" x14ac:dyDescent="0.35">
      <c r="A255">
        <v>249</v>
      </c>
      <c r="B255" s="90" t="s">
        <v>16</v>
      </c>
      <c r="C255" s="2" t="s">
        <v>8</v>
      </c>
      <c r="D255" s="2" t="s">
        <v>159</v>
      </c>
      <c r="E255" s="2" t="s">
        <v>160</v>
      </c>
      <c r="F255" s="2" t="s">
        <v>524</v>
      </c>
      <c r="G255" s="2" t="s">
        <v>164</v>
      </c>
      <c r="H255" s="10">
        <f>WORKDAY(G255,125,'[1]Feriados y Materias'!$B$21:$B$61)</f>
        <v>46080</v>
      </c>
      <c r="I255" s="2" t="s">
        <v>192</v>
      </c>
      <c r="J255" s="2" t="s">
        <v>261</v>
      </c>
      <c r="K255" s="2" t="s">
        <v>1093</v>
      </c>
    </row>
    <row r="256" spans="1:11" x14ac:dyDescent="0.35">
      <c r="A256">
        <v>250</v>
      </c>
      <c r="B256" s="90" t="s">
        <v>16</v>
      </c>
      <c r="C256" s="2" t="s">
        <v>8</v>
      </c>
      <c r="D256" s="2" t="s">
        <v>159</v>
      </c>
      <c r="E256" s="2" t="s">
        <v>160</v>
      </c>
      <c r="F256" s="2" t="s">
        <v>525</v>
      </c>
      <c r="G256" s="2" t="s">
        <v>164</v>
      </c>
      <c r="H256" s="10">
        <f>WORKDAY(G256,125,'[1]Feriados y Materias'!$B$21:$B$61)</f>
        <v>46080</v>
      </c>
      <c r="I256" s="2" t="s">
        <v>192</v>
      </c>
      <c r="J256" s="2" t="s">
        <v>261</v>
      </c>
      <c r="K256" s="2" t="s">
        <v>1093</v>
      </c>
    </row>
    <row r="257" spans="1:11" x14ac:dyDescent="0.35">
      <c r="A257">
        <v>251</v>
      </c>
      <c r="B257" s="90" t="s">
        <v>16</v>
      </c>
      <c r="C257" s="2" t="s">
        <v>8</v>
      </c>
      <c r="D257" s="2" t="s">
        <v>159</v>
      </c>
      <c r="E257" s="2" t="s">
        <v>160</v>
      </c>
      <c r="F257" s="2" t="s">
        <v>526</v>
      </c>
      <c r="G257" s="2" t="s">
        <v>164</v>
      </c>
      <c r="H257" s="10">
        <f>WORKDAY(G257,125,'[1]Feriados y Materias'!$B$21:$B$61)</f>
        <v>46080</v>
      </c>
      <c r="I257" s="2" t="s">
        <v>192</v>
      </c>
      <c r="J257" s="2" t="s">
        <v>261</v>
      </c>
      <c r="K257" s="2" t="s">
        <v>1093</v>
      </c>
    </row>
    <row r="258" spans="1:11" x14ac:dyDescent="0.35">
      <c r="A258">
        <v>252</v>
      </c>
      <c r="B258" s="90" t="s">
        <v>16</v>
      </c>
      <c r="C258" s="2" t="s">
        <v>8</v>
      </c>
      <c r="D258" s="2" t="s">
        <v>159</v>
      </c>
      <c r="E258" s="2" t="s">
        <v>160</v>
      </c>
      <c r="F258" s="2" t="s">
        <v>527</v>
      </c>
      <c r="G258" s="2" t="s">
        <v>164</v>
      </c>
      <c r="H258" s="10">
        <f>WORKDAY(G258,125,'[1]Feriados y Materias'!$B$21:$B$61)</f>
        <v>46080</v>
      </c>
      <c r="I258" s="2" t="s">
        <v>192</v>
      </c>
      <c r="J258" s="2" t="s">
        <v>261</v>
      </c>
      <c r="K258" s="2" t="s">
        <v>1093</v>
      </c>
    </row>
    <row r="259" spans="1:11" x14ac:dyDescent="0.35">
      <c r="A259">
        <v>253</v>
      </c>
      <c r="B259" s="90" t="s">
        <v>16</v>
      </c>
      <c r="C259" s="2" t="s">
        <v>8</v>
      </c>
      <c r="D259" s="2" t="s">
        <v>159</v>
      </c>
      <c r="E259" s="2" t="s">
        <v>160</v>
      </c>
      <c r="F259" s="2" t="s">
        <v>528</v>
      </c>
      <c r="G259" s="2" t="s">
        <v>164</v>
      </c>
      <c r="H259" s="10">
        <f>WORKDAY(G259,125,'[1]Feriados y Materias'!$B$21:$B$61)</f>
        <v>46080</v>
      </c>
      <c r="I259" s="2" t="s">
        <v>192</v>
      </c>
      <c r="J259" s="2" t="s">
        <v>261</v>
      </c>
      <c r="K259" s="2" t="s">
        <v>1093</v>
      </c>
    </row>
    <row r="260" spans="1:11" x14ac:dyDescent="0.35">
      <c r="A260">
        <v>254</v>
      </c>
      <c r="B260" s="90" t="s">
        <v>16</v>
      </c>
      <c r="C260" s="2" t="s">
        <v>8</v>
      </c>
      <c r="D260" s="2" t="s">
        <v>159</v>
      </c>
      <c r="E260" s="2" t="s">
        <v>160</v>
      </c>
      <c r="F260" s="2" t="s">
        <v>529</v>
      </c>
      <c r="G260" s="2" t="s">
        <v>164</v>
      </c>
      <c r="H260" s="10">
        <f>WORKDAY(G260,125,'[1]Feriados y Materias'!$B$21:$B$61)</f>
        <v>46080</v>
      </c>
      <c r="I260" s="2" t="s">
        <v>192</v>
      </c>
      <c r="J260" s="2" t="s">
        <v>261</v>
      </c>
      <c r="K260" s="2" t="s">
        <v>1093</v>
      </c>
    </row>
    <row r="261" spans="1:11" x14ac:dyDescent="0.35">
      <c r="A261">
        <v>255</v>
      </c>
      <c r="B261" s="90" t="s">
        <v>16</v>
      </c>
      <c r="C261" s="2" t="s">
        <v>8</v>
      </c>
      <c r="D261" s="2" t="s">
        <v>159</v>
      </c>
      <c r="E261" s="2" t="s">
        <v>160</v>
      </c>
      <c r="F261" s="2" t="s">
        <v>530</v>
      </c>
      <c r="G261" s="2" t="s">
        <v>164</v>
      </c>
      <c r="H261" s="10">
        <f>WORKDAY(G261,125,'[1]Feriados y Materias'!$B$21:$B$61)</f>
        <v>46080</v>
      </c>
      <c r="I261" s="2" t="s">
        <v>192</v>
      </c>
      <c r="J261" s="2" t="s">
        <v>261</v>
      </c>
      <c r="K261" s="2" t="s">
        <v>1093</v>
      </c>
    </row>
    <row r="262" spans="1:11" x14ac:dyDescent="0.35">
      <c r="A262">
        <v>256</v>
      </c>
      <c r="B262" s="90" t="s">
        <v>16</v>
      </c>
      <c r="C262" s="2" t="s">
        <v>8</v>
      </c>
      <c r="D262" s="2" t="s">
        <v>159</v>
      </c>
      <c r="E262" s="2" t="s">
        <v>160</v>
      </c>
      <c r="F262" s="2" t="s">
        <v>531</v>
      </c>
      <c r="G262" s="2" t="s">
        <v>164</v>
      </c>
      <c r="H262" s="10">
        <f>WORKDAY(G262,125,'[1]Feriados y Materias'!$B$21:$B$61)</f>
        <v>46080</v>
      </c>
      <c r="I262" s="2" t="s">
        <v>192</v>
      </c>
      <c r="J262" s="2" t="s">
        <v>261</v>
      </c>
      <c r="K262" s="2" t="s">
        <v>1093</v>
      </c>
    </row>
    <row r="263" spans="1:11" x14ac:dyDescent="0.35">
      <c r="A263">
        <v>257</v>
      </c>
      <c r="B263" s="90" t="s">
        <v>16</v>
      </c>
      <c r="C263" s="2" t="s">
        <v>8</v>
      </c>
      <c r="D263" s="2" t="s">
        <v>159</v>
      </c>
      <c r="E263" s="2" t="s">
        <v>160</v>
      </c>
      <c r="F263" s="2" t="s">
        <v>532</v>
      </c>
      <c r="G263" s="2" t="s">
        <v>164</v>
      </c>
      <c r="H263" s="10">
        <f>WORKDAY(G263,125,'[1]Feriados y Materias'!$B$21:$B$61)</f>
        <v>46080</v>
      </c>
      <c r="I263" s="2" t="s">
        <v>192</v>
      </c>
      <c r="J263" s="2" t="s">
        <v>261</v>
      </c>
      <c r="K263" s="2" t="s">
        <v>1093</v>
      </c>
    </row>
    <row r="264" spans="1:11" x14ac:dyDescent="0.35">
      <c r="A264">
        <v>258</v>
      </c>
      <c r="B264" s="90" t="s">
        <v>16</v>
      </c>
      <c r="C264" s="2" t="s">
        <v>8</v>
      </c>
      <c r="D264" s="2" t="s">
        <v>159</v>
      </c>
      <c r="E264" s="2" t="s">
        <v>160</v>
      </c>
      <c r="F264" s="2" t="s">
        <v>533</v>
      </c>
      <c r="G264" s="2" t="s">
        <v>164</v>
      </c>
      <c r="H264" s="10">
        <f>WORKDAY(G264,125,'[1]Feriados y Materias'!$B$21:$B$61)</f>
        <v>46080</v>
      </c>
      <c r="I264" s="2" t="s">
        <v>192</v>
      </c>
      <c r="J264" s="2" t="s">
        <v>261</v>
      </c>
      <c r="K264" s="2" t="s">
        <v>1093</v>
      </c>
    </row>
    <row r="265" spans="1:11" x14ac:dyDescent="0.35">
      <c r="A265">
        <v>259</v>
      </c>
      <c r="B265" s="90" t="s">
        <v>16</v>
      </c>
      <c r="C265" s="2" t="s">
        <v>8</v>
      </c>
      <c r="D265" s="2" t="s">
        <v>159</v>
      </c>
      <c r="E265" s="2" t="s">
        <v>160</v>
      </c>
      <c r="F265" s="2" t="s">
        <v>534</v>
      </c>
      <c r="G265" s="2" t="s">
        <v>164</v>
      </c>
      <c r="H265" s="10">
        <f>WORKDAY(G265,125,'[1]Feriados y Materias'!$B$21:$B$61)</f>
        <v>46080</v>
      </c>
      <c r="I265" s="2" t="s">
        <v>192</v>
      </c>
      <c r="J265" s="2" t="s">
        <v>261</v>
      </c>
      <c r="K265" s="2" t="s">
        <v>1093</v>
      </c>
    </row>
    <row r="266" spans="1:11" x14ac:dyDescent="0.35">
      <c r="A266">
        <v>260</v>
      </c>
      <c r="B266" s="90" t="s">
        <v>16</v>
      </c>
      <c r="C266" s="2" t="s">
        <v>8</v>
      </c>
      <c r="D266" s="2" t="s">
        <v>159</v>
      </c>
      <c r="E266" s="2" t="s">
        <v>160</v>
      </c>
      <c r="F266" s="2" t="s">
        <v>535</v>
      </c>
      <c r="G266" s="2" t="s">
        <v>164</v>
      </c>
      <c r="H266" s="10">
        <f>WORKDAY(G266,125,'[1]Feriados y Materias'!$B$21:$B$61)</f>
        <v>46080</v>
      </c>
      <c r="I266" s="2" t="s">
        <v>192</v>
      </c>
      <c r="J266" s="2" t="s">
        <v>261</v>
      </c>
      <c r="K266" s="2" t="s">
        <v>1093</v>
      </c>
    </row>
    <row r="267" spans="1:11" x14ac:dyDescent="0.35">
      <c r="A267">
        <v>261</v>
      </c>
      <c r="B267" s="90" t="s">
        <v>16</v>
      </c>
      <c r="C267" s="2" t="s">
        <v>8</v>
      </c>
      <c r="D267" s="2" t="s">
        <v>159</v>
      </c>
      <c r="E267" s="2" t="s">
        <v>160</v>
      </c>
      <c r="F267" s="2" t="s">
        <v>536</v>
      </c>
      <c r="G267" s="2" t="s">
        <v>164</v>
      </c>
      <c r="H267" s="10">
        <f>WORKDAY(G267,125,'[1]Feriados y Materias'!$B$21:$B$61)</f>
        <v>46080</v>
      </c>
      <c r="I267" s="2" t="s">
        <v>192</v>
      </c>
      <c r="J267" s="2" t="s">
        <v>261</v>
      </c>
      <c r="K267" s="2" t="s">
        <v>1093</v>
      </c>
    </row>
    <row r="268" spans="1:11" x14ac:dyDescent="0.35">
      <c r="A268">
        <v>262</v>
      </c>
      <c r="B268" s="90" t="s">
        <v>16</v>
      </c>
      <c r="C268" s="2" t="s">
        <v>8</v>
      </c>
      <c r="D268" s="2" t="s">
        <v>159</v>
      </c>
      <c r="E268" s="2" t="s">
        <v>160</v>
      </c>
      <c r="F268" s="2" t="s">
        <v>537</v>
      </c>
      <c r="G268" s="2" t="s">
        <v>164</v>
      </c>
      <c r="H268" s="10">
        <f>WORKDAY(G268,125,'[1]Feriados y Materias'!$B$21:$B$61)</f>
        <v>46080</v>
      </c>
      <c r="I268" s="2" t="s">
        <v>192</v>
      </c>
      <c r="J268" s="2" t="s">
        <v>261</v>
      </c>
      <c r="K268" s="2" t="s">
        <v>1093</v>
      </c>
    </row>
    <row r="269" spans="1:11" x14ac:dyDescent="0.35">
      <c r="A269">
        <v>263</v>
      </c>
      <c r="B269" s="90" t="s">
        <v>16</v>
      </c>
      <c r="C269" s="2" t="s">
        <v>8</v>
      </c>
      <c r="D269" s="2" t="s">
        <v>159</v>
      </c>
      <c r="E269" s="2" t="s">
        <v>160</v>
      </c>
      <c r="F269" s="2" t="s">
        <v>538</v>
      </c>
      <c r="G269" s="2" t="s">
        <v>164</v>
      </c>
      <c r="H269" s="10">
        <f>WORKDAY(G269,125,'[1]Feriados y Materias'!$B$21:$B$61)</f>
        <v>46080</v>
      </c>
      <c r="I269" s="2" t="s">
        <v>192</v>
      </c>
      <c r="J269" s="2" t="s">
        <v>261</v>
      </c>
      <c r="K269" s="2" t="s">
        <v>1093</v>
      </c>
    </row>
    <row r="270" spans="1:11" x14ac:dyDescent="0.35">
      <c r="A270">
        <v>264</v>
      </c>
      <c r="B270" s="90" t="s">
        <v>16</v>
      </c>
      <c r="C270" s="2" t="s">
        <v>8</v>
      </c>
      <c r="D270" s="2" t="s">
        <v>159</v>
      </c>
      <c r="E270" s="2" t="s">
        <v>160</v>
      </c>
      <c r="F270" s="2" t="s">
        <v>539</v>
      </c>
      <c r="G270" s="2" t="s">
        <v>164</v>
      </c>
      <c r="H270" s="10">
        <f>WORKDAY(G270,125,'[1]Feriados y Materias'!$B$21:$B$61)</f>
        <v>46080</v>
      </c>
      <c r="I270" s="2" t="s">
        <v>192</v>
      </c>
      <c r="J270" s="2" t="s">
        <v>261</v>
      </c>
      <c r="K270" s="2" t="s">
        <v>1093</v>
      </c>
    </row>
    <row r="271" spans="1:11" x14ac:dyDescent="0.35">
      <c r="A271">
        <v>265</v>
      </c>
      <c r="B271" s="90" t="s">
        <v>16</v>
      </c>
      <c r="C271" s="2" t="s">
        <v>8</v>
      </c>
      <c r="D271" s="2" t="s">
        <v>159</v>
      </c>
      <c r="E271" s="2" t="s">
        <v>160</v>
      </c>
      <c r="F271" s="2" t="s">
        <v>540</v>
      </c>
      <c r="G271" s="2" t="s">
        <v>164</v>
      </c>
      <c r="H271" s="10">
        <f>WORKDAY(G271,125,'[1]Feriados y Materias'!$B$21:$B$61)</f>
        <v>46080</v>
      </c>
      <c r="I271" s="2" t="s">
        <v>192</v>
      </c>
      <c r="J271" s="2" t="s">
        <v>261</v>
      </c>
      <c r="K271" s="2" t="s">
        <v>1093</v>
      </c>
    </row>
    <row r="272" spans="1:11" x14ac:dyDescent="0.35">
      <c r="A272">
        <v>266</v>
      </c>
      <c r="B272" s="90" t="s">
        <v>16</v>
      </c>
      <c r="C272" s="2" t="s">
        <v>8</v>
      </c>
      <c r="D272" s="2" t="s">
        <v>159</v>
      </c>
      <c r="E272" s="2" t="s">
        <v>160</v>
      </c>
      <c r="F272" s="2" t="s">
        <v>541</v>
      </c>
      <c r="G272" s="2" t="s">
        <v>164</v>
      </c>
      <c r="H272" s="10">
        <f>WORKDAY(G272,125,'[1]Feriados y Materias'!$B$21:$B$61)</f>
        <v>46080</v>
      </c>
      <c r="I272" s="2" t="s">
        <v>192</v>
      </c>
      <c r="J272" s="2" t="s">
        <v>261</v>
      </c>
      <c r="K272" s="2" t="s">
        <v>1093</v>
      </c>
    </row>
    <row r="273" spans="1:11" x14ac:dyDescent="0.35">
      <c r="A273">
        <v>267</v>
      </c>
      <c r="B273" s="90" t="s">
        <v>16</v>
      </c>
      <c r="C273" s="2" t="s">
        <v>8</v>
      </c>
      <c r="D273" s="2" t="s">
        <v>159</v>
      </c>
      <c r="E273" s="2" t="s">
        <v>160</v>
      </c>
      <c r="F273" s="2" t="s">
        <v>542</v>
      </c>
      <c r="G273" s="2" t="s">
        <v>164</v>
      </c>
      <c r="H273" s="10">
        <f>WORKDAY(G273,125,'[1]Feriados y Materias'!$B$21:$B$61)</f>
        <v>46080</v>
      </c>
      <c r="I273" s="2" t="s">
        <v>192</v>
      </c>
      <c r="J273" s="2" t="s">
        <v>261</v>
      </c>
      <c r="K273" s="2" t="s">
        <v>1093</v>
      </c>
    </row>
    <row r="274" spans="1:11" x14ac:dyDescent="0.35">
      <c r="A274">
        <v>268</v>
      </c>
      <c r="B274" s="90" t="s">
        <v>16</v>
      </c>
      <c r="C274" s="2" t="s">
        <v>8</v>
      </c>
      <c r="D274" s="2" t="s">
        <v>159</v>
      </c>
      <c r="E274" s="2" t="s">
        <v>160</v>
      </c>
      <c r="F274" s="2" t="s">
        <v>543</v>
      </c>
      <c r="G274" s="2" t="s">
        <v>164</v>
      </c>
      <c r="H274" s="10">
        <f>WORKDAY(G274,125,'[1]Feriados y Materias'!$B$21:$B$61)</f>
        <v>46080</v>
      </c>
      <c r="I274" s="2" t="s">
        <v>192</v>
      </c>
      <c r="J274" s="2" t="s">
        <v>261</v>
      </c>
      <c r="K274" s="2" t="s">
        <v>1093</v>
      </c>
    </row>
    <row r="275" spans="1:11" x14ac:dyDescent="0.35">
      <c r="A275">
        <v>269</v>
      </c>
      <c r="B275" s="90" t="s">
        <v>16</v>
      </c>
      <c r="C275" s="2" t="s">
        <v>8</v>
      </c>
      <c r="D275" s="2" t="s">
        <v>159</v>
      </c>
      <c r="E275" s="2" t="s">
        <v>160</v>
      </c>
      <c r="F275" s="2" t="s">
        <v>544</v>
      </c>
      <c r="G275" s="2" t="s">
        <v>164</v>
      </c>
      <c r="H275" s="10">
        <f>WORKDAY(G275,125,'[1]Feriados y Materias'!$B$21:$B$61)</f>
        <v>46080</v>
      </c>
      <c r="I275" s="2" t="s">
        <v>192</v>
      </c>
      <c r="J275" s="2" t="s">
        <v>261</v>
      </c>
      <c r="K275" s="2" t="s">
        <v>1093</v>
      </c>
    </row>
    <row r="276" spans="1:11" x14ac:dyDescent="0.35">
      <c r="A276">
        <v>270</v>
      </c>
      <c r="B276" s="90" t="s">
        <v>16</v>
      </c>
      <c r="C276" s="2" t="s">
        <v>8</v>
      </c>
      <c r="D276" s="2" t="s">
        <v>159</v>
      </c>
      <c r="E276" s="2" t="s">
        <v>160</v>
      </c>
      <c r="F276" s="2" t="s">
        <v>545</v>
      </c>
      <c r="G276" s="2" t="s">
        <v>164</v>
      </c>
      <c r="H276" s="10">
        <f>WORKDAY(G276,125,'[1]Feriados y Materias'!$B$21:$B$61)</f>
        <v>46080</v>
      </c>
      <c r="I276" s="2" t="s">
        <v>192</v>
      </c>
      <c r="J276" s="2" t="s">
        <v>261</v>
      </c>
      <c r="K276" s="2" t="s">
        <v>1093</v>
      </c>
    </row>
    <row r="277" spans="1:11" x14ac:dyDescent="0.35">
      <c r="A277">
        <v>271</v>
      </c>
      <c r="B277" s="90" t="s">
        <v>16</v>
      </c>
      <c r="C277" s="2" t="s">
        <v>8</v>
      </c>
      <c r="D277" s="2" t="s">
        <v>159</v>
      </c>
      <c r="E277" s="2" t="s">
        <v>160</v>
      </c>
      <c r="F277" s="2" t="s">
        <v>546</v>
      </c>
      <c r="G277" s="2" t="s">
        <v>164</v>
      </c>
      <c r="H277" s="10">
        <f>WORKDAY(G277,125,'[1]Feriados y Materias'!$B$21:$B$61)</f>
        <v>46080</v>
      </c>
      <c r="I277" s="2" t="s">
        <v>192</v>
      </c>
      <c r="J277" s="2" t="s">
        <v>261</v>
      </c>
      <c r="K277" s="2" t="s">
        <v>1093</v>
      </c>
    </row>
    <row r="278" spans="1:11" x14ac:dyDescent="0.35">
      <c r="A278">
        <v>272</v>
      </c>
      <c r="B278" s="90" t="s">
        <v>16</v>
      </c>
      <c r="C278" s="2" t="s">
        <v>8</v>
      </c>
      <c r="D278" s="2" t="s">
        <v>159</v>
      </c>
      <c r="E278" s="2" t="s">
        <v>160</v>
      </c>
      <c r="F278" s="2" t="s">
        <v>547</v>
      </c>
      <c r="G278" s="2" t="s">
        <v>164</v>
      </c>
      <c r="H278" s="10">
        <f>WORKDAY(G278,125,'[1]Feriados y Materias'!$B$21:$B$61)</f>
        <v>46080</v>
      </c>
      <c r="I278" s="2" t="s">
        <v>192</v>
      </c>
      <c r="J278" s="2" t="s">
        <v>261</v>
      </c>
      <c r="K278" s="2" t="s">
        <v>1093</v>
      </c>
    </row>
    <row r="279" spans="1:11" x14ac:dyDescent="0.35">
      <c r="A279">
        <v>273</v>
      </c>
      <c r="B279" s="90" t="s">
        <v>16</v>
      </c>
      <c r="C279" s="2" t="s">
        <v>8</v>
      </c>
      <c r="D279" s="2" t="s">
        <v>159</v>
      </c>
      <c r="E279" s="2" t="s">
        <v>160</v>
      </c>
      <c r="F279" s="2" t="s">
        <v>548</v>
      </c>
      <c r="G279" s="2" t="s">
        <v>164</v>
      </c>
      <c r="H279" s="10">
        <f>WORKDAY(G279,125,'[1]Feriados y Materias'!$B$21:$B$61)</f>
        <v>46080</v>
      </c>
      <c r="I279" s="2" t="s">
        <v>192</v>
      </c>
      <c r="J279" s="2" t="s">
        <v>261</v>
      </c>
      <c r="K279" s="2" t="s">
        <v>1093</v>
      </c>
    </row>
    <row r="280" spans="1:11" x14ac:dyDescent="0.35">
      <c r="A280">
        <v>274</v>
      </c>
      <c r="B280" s="90" t="s">
        <v>16</v>
      </c>
      <c r="C280" s="2" t="s">
        <v>8</v>
      </c>
      <c r="D280" s="2" t="s">
        <v>159</v>
      </c>
      <c r="E280" s="2" t="s">
        <v>160</v>
      </c>
      <c r="F280" s="2" t="s">
        <v>549</v>
      </c>
      <c r="G280" s="2" t="s">
        <v>164</v>
      </c>
      <c r="H280" s="10">
        <f>WORKDAY(G280,125,'[1]Feriados y Materias'!$B$21:$B$61)</f>
        <v>46080</v>
      </c>
      <c r="I280" s="2" t="s">
        <v>192</v>
      </c>
      <c r="J280" s="2" t="s">
        <v>261</v>
      </c>
      <c r="K280" s="2" t="s">
        <v>1093</v>
      </c>
    </row>
    <row r="281" spans="1:11" x14ac:dyDescent="0.35">
      <c r="A281">
        <v>275</v>
      </c>
      <c r="B281" s="90" t="s">
        <v>16</v>
      </c>
      <c r="C281" s="2" t="s">
        <v>8</v>
      </c>
      <c r="D281" s="2" t="s">
        <v>159</v>
      </c>
      <c r="E281" s="2" t="s">
        <v>160</v>
      </c>
      <c r="F281" s="2" t="s">
        <v>550</v>
      </c>
      <c r="G281" s="2" t="s">
        <v>164</v>
      </c>
      <c r="H281" s="10">
        <f>WORKDAY(G281,125,'[1]Feriados y Materias'!$B$21:$B$61)</f>
        <v>46080</v>
      </c>
      <c r="I281" s="2" t="s">
        <v>192</v>
      </c>
      <c r="J281" s="2" t="s">
        <v>261</v>
      </c>
      <c r="K281" s="2" t="s">
        <v>1093</v>
      </c>
    </row>
    <row r="282" spans="1:11" x14ac:dyDescent="0.35">
      <c r="A282">
        <v>276</v>
      </c>
      <c r="B282" s="90" t="s">
        <v>16</v>
      </c>
      <c r="C282" s="2" t="s">
        <v>8</v>
      </c>
      <c r="D282" s="2" t="s">
        <v>159</v>
      </c>
      <c r="E282" s="2" t="s">
        <v>160</v>
      </c>
      <c r="F282" s="2" t="s">
        <v>551</v>
      </c>
      <c r="G282" s="2" t="s">
        <v>164</v>
      </c>
      <c r="H282" s="10">
        <f>WORKDAY(G282,125,'[1]Feriados y Materias'!$B$21:$B$61)</f>
        <v>46080</v>
      </c>
      <c r="I282" s="2" t="s">
        <v>192</v>
      </c>
      <c r="J282" s="2" t="s">
        <v>261</v>
      </c>
      <c r="K282" s="2" t="s">
        <v>1093</v>
      </c>
    </row>
    <row r="283" spans="1:11" x14ac:dyDescent="0.35">
      <c r="A283">
        <v>277</v>
      </c>
      <c r="B283" s="90" t="s">
        <v>16</v>
      </c>
      <c r="C283" s="2" t="s">
        <v>8</v>
      </c>
      <c r="D283" s="2" t="s">
        <v>159</v>
      </c>
      <c r="E283" s="2" t="s">
        <v>160</v>
      </c>
      <c r="F283" s="2" t="s">
        <v>552</v>
      </c>
      <c r="G283" s="2" t="s">
        <v>164</v>
      </c>
      <c r="H283" s="10">
        <f>WORKDAY(G283,125,'[1]Feriados y Materias'!$B$21:$B$61)</f>
        <v>46080</v>
      </c>
      <c r="I283" s="2" t="s">
        <v>192</v>
      </c>
      <c r="J283" s="2" t="s">
        <v>261</v>
      </c>
      <c r="K283" s="2" t="s">
        <v>1093</v>
      </c>
    </row>
    <row r="284" spans="1:11" x14ac:dyDescent="0.35">
      <c r="A284">
        <v>278</v>
      </c>
      <c r="B284" s="90" t="s">
        <v>16</v>
      </c>
      <c r="C284" s="2" t="s">
        <v>8</v>
      </c>
      <c r="D284" s="2" t="s">
        <v>159</v>
      </c>
      <c r="E284" s="2" t="s">
        <v>160</v>
      </c>
      <c r="F284" s="2" t="s">
        <v>553</v>
      </c>
      <c r="G284" s="2" t="s">
        <v>164</v>
      </c>
      <c r="H284" s="10">
        <f>WORKDAY(G284,125,'[1]Feriados y Materias'!$B$21:$B$61)</f>
        <v>46080</v>
      </c>
      <c r="I284" s="2" t="s">
        <v>192</v>
      </c>
      <c r="J284" s="2" t="s">
        <v>261</v>
      </c>
      <c r="K284" s="2" t="s">
        <v>1093</v>
      </c>
    </row>
    <row r="285" spans="1:11" x14ac:dyDescent="0.35">
      <c r="A285">
        <v>279</v>
      </c>
      <c r="B285" s="90" t="s">
        <v>16</v>
      </c>
      <c r="C285" s="2" t="s">
        <v>8</v>
      </c>
      <c r="D285" s="2" t="s">
        <v>159</v>
      </c>
      <c r="E285" s="2" t="s">
        <v>160</v>
      </c>
      <c r="F285" s="2" t="s">
        <v>554</v>
      </c>
      <c r="G285" s="2" t="s">
        <v>164</v>
      </c>
      <c r="H285" s="10">
        <f>WORKDAY(G285,125,'[1]Feriados y Materias'!$B$21:$B$61)</f>
        <v>46080</v>
      </c>
      <c r="I285" s="2" t="s">
        <v>192</v>
      </c>
      <c r="J285" s="2" t="s">
        <v>261</v>
      </c>
      <c r="K285" s="2" t="s">
        <v>1093</v>
      </c>
    </row>
    <row r="286" spans="1:11" x14ac:dyDescent="0.35">
      <c r="A286">
        <v>280</v>
      </c>
      <c r="B286" s="90" t="s">
        <v>16</v>
      </c>
      <c r="C286" s="2" t="s">
        <v>8</v>
      </c>
      <c r="D286" s="2" t="s">
        <v>159</v>
      </c>
      <c r="E286" s="2" t="s">
        <v>160</v>
      </c>
      <c r="F286" s="2" t="s">
        <v>555</v>
      </c>
      <c r="G286" s="2" t="s">
        <v>164</v>
      </c>
      <c r="H286" s="10">
        <f>WORKDAY(G286,125,'[1]Feriados y Materias'!$B$21:$B$61)</f>
        <v>46080</v>
      </c>
      <c r="I286" s="2" t="s">
        <v>192</v>
      </c>
      <c r="J286" s="2" t="s">
        <v>261</v>
      </c>
      <c r="K286" s="2" t="s">
        <v>1093</v>
      </c>
    </row>
    <row r="287" spans="1:11" x14ac:dyDescent="0.35">
      <c r="A287">
        <v>281</v>
      </c>
      <c r="B287" s="90" t="s">
        <v>16</v>
      </c>
      <c r="C287" s="2" t="s">
        <v>8</v>
      </c>
      <c r="D287" s="2" t="s">
        <v>159</v>
      </c>
      <c r="E287" s="2" t="s">
        <v>160</v>
      </c>
      <c r="F287" s="2" t="s">
        <v>556</v>
      </c>
      <c r="G287" s="2" t="s">
        <v>164</v>
      </c>
      <c r="H287" s="10">
        <f>WORKDAY(G287,125,'[1]Feriados y Materias'!$B$21:$B$61)</f>
        <v>46080</v>
      </c>
      <c r="I287" s="2" t="s">
        <v>192</v>
      </c>
      <c r="J287" s="2" t="s">
        <v>261</v>
      </c>
      <c r="K287" s="2" t="s">
        <v>1093</v>
      </c>
    </row>
    <row r="288" spans="1:11" x14ac:dyDescent="0.35">
      <c r="A288">
        <v>282</v>
      </c>
      <c r="B288" s="90" t="s">
        <v>16</v>
      </c>
      <c r="C288" s="2" t="s">
        <v>8</v>
      </c>
      <c r="D288" s="2" t="s">
        <v>159</v>
      </c>
      <c r="E288" s="2" t="s">
        <v>160</v>
      </c>
      <c r="F288" s="2" t="s">
        <v>557</v>
      </c>
      <c r="G288" s="2" t="s">
        <v>164</v>
      </c>
      <c r="H288" s="10">
        <f>WORKDAY(G288,125,'[1]Feriados y Materias'!$B$21:$B$61)</f>
        <v>46080</v>
      </c>
      <c r="I288" s="2" t="s">
        <v>192</v>
      </c>
      <c r="J288" s="2" t="s">
        <v>261</v>
      </c>
      <c r="K288" s="2" t="s">
        <v>1093</v>
      </c>
    </row>
    <row r="289" spans="1:11" x14ac:dyDescent="0.35">
      <c r="A289">
        <v>283</v>
      </c>
      <c r="B289" s="90" t="s">
        <v>16</v>
      </c>
      <c r="C289" s="2" t="s">
        <v>8</v>
      </c>
      <c r="D289" s="2" t="s">
        <v>159</v>
      </c>
      <c r="E289" s="2" t="s">
        <v>160</v>
      </c>
      <c r="F289" s="2" t="s">
        <v>558</v>
      </c>
      <c r="G289" s="2" t="s">
        <v>164</v>
      </c>
      <c r="H289" s="10">
        <f>WORKDAY(G289,125,'[1]Feriados y Materias'!$B$21:$B$61)</f>
        <v>46080</v>
      </c>
      <c r="I289" s="2" t="s">
        <v>192</v>
      </c>
      <c r="J289" s="2" t="s">
        <v>261</v>
      </c>
      <c r="K289" s="2" t="s">
        <v>1093</v>
      </c>
    </row>
    <row r="290" spans="1:11" x14ac:dyDescent="0.35">
      <c r="A290">
        <v>284</v>
      </c>
      <c r="B290" s="90" t="s">
        <v>16</v>
      </c>
      <c r="C290" s="2" t="s">
        <v>8</v>
      </c>
      <c r="D290" s="2" t="s">
        <v>159</v>
      </c>
      <c r="E290" s="2" t="s">
        <v>160</v>
      </c>
      <c r="F290" s="2" t="s">
        <v>559</v>
      </c>
      <c r="G290" s="2" t="s">
        <v>164</v>
      </c>
      <c r="H290" s="10">
        <f>WORKDAY(G290,125,'[1]Feriados y Materias'!$B$21:$B$61)</f>
        <v>46080</v>
      </c>
      <c r="I290" s="2" t="s">
        <v>192</v>
      </c>
      <c r="J290" s="2" t="s">
        <v>261</v>
      </c>
      <c r="K290" s="2" t="s">
        <v>1093</v>
      </c>
    </row>
    <row r="291" spans="1:11" x14ac:dyDescent="0.35">
      <c r="A291">
        <v>285</v>
      </c>
      <c r="B291" s="90" t="s">
        <v>16</v>
      </c>
      <c r="C291" s="2" t="s">
        <v>8</v>
      </c>
      <c r="D291" s="2" t="s">
        <v>159</v>
      </c>
      <c r="E291" s="2" t="s">
        <v>160</v>
      </c>
      <c r="F291" s="2" t="s">
        <v>560</v>
      </c>
      <c r="G291" s="2" t="s">
        <v>164</v>
      </c>
      <c r="H291" s="10">
        <f>WORKDAY(G291,125,'[1]Feriados y Materias'!$B$21:$B$61)</f>
        <v>46080</v>
      </c>
      <c r="I291" s="2" t="s">
        <v>192</v>
      </c>
      <c r="J291" s="2" t="s">
        <v>261</v>
      </c>
      <c r="K291" s="2" t="s">
        <v>1093</v>
      </c>
    </row>
    <row r="292" spans="1:11" x14ac:dyDescent="0.35">
      <c r="A292">
        <v>286</v>
      </c>
      <c r="B292" s="90" t="s">
        <v>16</v>
      </c>
      <c r="C292" s="2" t="s">
        <v>8</v>
      </c>
      <c r="D292" s="2" t="s">
        <v>159</v>
      </c>
      <c r="E292" s="2" t="s">
        <v>160</v>
      </c>
      <c r="F292" s="2" t="s">
        <v>561</v>
      </c>
      <c r="G292" s="2" t="s">
        <v>164</v>
      </c>
      <c r="H292" s="10">
        <f>WORKDAY(G292,125,'[1]Feriados y Materias'!$B$21:$B$61)</f>
        <v>46080</v>
      </c>
      <c r="I292" s="2" t="s">
        <v>192</v>
      </c>
      <c r="J292" s="2" t="s">
        <v>261</v>
      </c>
      <c r="K292" s="2" t="s">
        <v>1093</v>
      </c>
    </row>
    <row r="293" spans="1:11" x14ac:dyDescent="0.35">
      <c r="A293">
        <v>287</v>
      </c>
      <c r="B293" s="90" t="s">
        <v>16</v>
      </c>
      <c r="C293" s="2" t="s">
        <v>8</v>
      </c>
      <c r="D293" s="2" t="s">
        <v>159</v>
      </c>
      <c r="E293" s="2" t="s">
        <v>160</v>
      </c>
      <c r="F293" s="2" t="s">
        <v>562</v>
      </c>
      <c r="G293" s="2" t="s">
        <v>164</v>
      </c>
      <c r="H293" s="10">
        <f>WORKDAY(G293,125,'[1]Feriados y Materias'!$B$21:$B$61)</f>
        <v>46080</v>
      </c>
      <c r="I293" s="2" t="s">
        <v>192</v>
      </c>
      <c r="J293" s="2" t="s">
        <v>261</v>
      </c>
      <c r="K293" s="2" t="s">
        <v>1093</v>
      </c>
    </row>
    <row r="294" spans="1:11" x14ac:dyDescent="0.35">
      <c r="A294">
        <v>288</v>
      </c>
      <c r="B294" s="90" t="s">
        <v>16</v>
      </c>
      <c r="C294" s="2" t="s">
        <v>8</v>
      </c>
      <c r="D294" s="2" t="s">
        <v>159</v>
      </c>
      <c r="E294" s="2" t="s">
        <v>160</v>
      </c>
      <c r="F294" s="2" t="s">
        <v>563</v>
      </c>
      <c r="G294" s="2" t="s">
        <v>164</v>
      </c>
      <c r="H294" s="10">
        <f>WORKDAY(G294,125,'[1]Feriados y Materias'!$B$21:$B$61)</f>
        <v>46080</v>
      </c>
      <c r="I294" s="2" t="s">
        <v>192</v>
      </c>
      <c r="J294" s="2" t="s">
        <v>261</v>
      </c>
      <c r="K294" s="2" t="s">
        <v>1093</v>
      </c>
    </row>
    <row r="295" spans="1:11" x14ac:dyDescent="0.35">
      <c r="A295">
        <v>289</v>
      </c>
      <c r="B295" s="90" t="s">
        <v>16</v>
      </c>
      <c r="C295" s="2" t="s">
        <v>8</v>
      </c>
      <c r="D295" s="2" t="s">
        <v>159</v>
      </c>
      <c r="E295" s="2" t="s">
        <v>160</v>
      </c>
      <c r="F295" s="2" t="s">
        <v>564</v>
      </c>
      <c r="G295" s="2" t="s">
        <v>164</v>
      </c>
      <c r="H295" s="10">
        <f>WORKDAY(G295,125,'[1]Feriados y Materias'!$B$21:$B$61)</f>
        <v>46080</v>
      </c>
      <c r="I295" s="2" t="s">
        <v>192</v>
      </c>
      <c r="J295" s="2" t="s">
        <v>261</v>
      </c>
      <c r="K295" s="2" t="s">
        <v>1093</v>
      </c>
    </row>
    <row r="296" spans="1:11" x14ac:dyDescent="0.35">
      <c r="A296">
        <v>290</v>
      </c>
      <c r="B296" s="90" t="s">
        <v>16</v>
      </c>
      <c r="C296" s="2" t="s">
        <v>8</v>
      </c>
      <c r="D296" s="2" t="s">
        <v>159</v>
      </c>
      <c r="E296" s="2" t="s">
        <v>160</v>
      </c>
      <c r="F296" s="2" t="s">
        <v>565</v>
      </c>
      <c r="G296" s="2" t="s">
        <v>164</v>
      </c>
      <c r="H296" s="10">
        <f>WORKDAY(G296,125,'[1]Feriados y Materias'!$B$21:$B$61)</f>
        <v>46080</v>
      </c>
      <c r="I296" s="2" t="s">
        <v>192</v>
      </c>
      <c r="J296" s="2" t="s">
        <v>261</v>
      </c>
      <c r="K296" s="2" t="s">
        <v>1093</v>
      </c>
    </row>
    <row r="297" spans="1:11" x14ac:dyDescent="0.35">
      <c r="A297">
        <v>291</v>
      </c>
      <c r="B297" s="90" t="s">
        <v>16</v>
      </c>
      <c r="C297" s="2" t="s">
        <v>8</v>
      </c>
      <c r="D297" s="2" t="s">
        <v>159</v>
      </c>
      <c r="E297" s="2" t="s">
        <v>160</v>
      </c>
      <c r="F297" s="2" t="s">
        <v>566</v>
      </c>
      <c r="G297" s="2" t="s">
        <v>164</v>
      </c>
      <c r="H297" s="10">
        <f>WORKDAY(G297,125,'[1]Feriados y Materias'!$B$21:$B$61)</f>
        <v>46080</v>
      </c>
      <c r="I297" s="2" t="s">
        <v>192</v>
      </c>
      <c r="J297" s="2" t="s">
        <v>261</v>
      </c>
      <c r="K297" s="2" t="s">
        <v>1093</v>
      </c>
    </row>
    <row r="298" spans="1:11" x14ac:dyDescent="0.35">
      <c r="A298">
        <v>292</v>
      </c>
      <c r="B298" s="90" t="s">
        <v>16</v>
      </c>
      <c r="C298" s="2" t="s">
        <v>8</v>
      </c>
      <c r="D298" s="2" t="s">
        <v>159</v>
      </c>
      <c r="E298" s="2" t="s">
        <v>160</v>
      </c>
      <c r="F298" s="2" t="s">
        <v>567</v>
      </c>
      <c r="G298" s="2" t="s">
        <v>164</v>
      </c>
      <c r="H298" s="10">
        <f>WORKDAY(G298,125,'[1]Feriados y Materias'!$B$21:$B$61)</f>
        <v>46080</v>
      </c>
      <c r="I298" s="2" t="s">
        <v>192</v>
      </c>
      <c r="J298" s="2" t="s">
        <v>261</v>
      </c>
      <c r="K298" s="2" t="s">
        <v>1093</v>
      </c>
    </row>
    <row r="299" spans="1:11" x14ac:dyDescent="0.35">
      <c r="A299">
        <v>293</v>
      </c>
      <c r="B299" s="90" t="s">
        <v>16</v>
      </c>
      <c r="C299" s="2" t="s">
        <v>8</v>
      </c>
      <c r="D299" s="2" t="s">
        <v>159</v>
      </c>
      <c r="E299" s="2" t="s">
        <v>160</v>
      </c>
      <c r="F299" s="2" t="s">
        <v>568</v>
      </c>
      <c r="G299" s="2" t="s">
        <v>164</v>
      </c>
      <c r="H299" s="10">
        <f>WORKDAY(G299,125,'[1]Feriados y Materias'!$B$21:$B$61)</f>
        <v>46080</v>
      </c>
      <c r="I299" s="2" t="s">
        <v>192</v>
      </c>
      <c r="J299" s="2" t="s">
        <v>261</v>
      </c>
      <c r="K299" s="2" t="s">
        <v>1093</v>
      </c>
    </row>
    <row r="300" spans="1:11" x14ac:dyDescent="0.35">
      <c r="A300">
        <v>294</v>
      </c>
      <c r="B300" s="90" t="s">
        <v>16</v>
      </c>
      <c r="C300" s="2" t="s">
        <v>8</v>
      </c>
      <c r="D300" s="2" t="s">
        <v>159</v>
      </c>
      <c r="E300" s="2" t="s">
        <v>160</v>
      </c>
      <c r="F300" s="2" t="s">
        <v>569</v>
      </c>
      <c r="G300" s="2" t="s">
        <v>164</v>
      </c>
      <c r="H300" s="10">
        <f>WORKDAY(G300,125,'[1]Feriados y Materias'!$B$21:$B$61)</f>
        <v>46080</v>
      </c>
      <c r="I300" s="2" t="s">
        <v>192</v>
      </c>
      <c r="J300" s="2" t="s">
        <v>261</v>
      </c>
      <c r="K300" s="2" t="s">
        <v>1093</v>
      </c>
    </row>
    <row r="301" spans="1:11" x14ac:dyDescent="0.35">
      <c r="A301">
        <v>295</v>
      </c>
      <c r="B301" s="90" t="s">
        <v>16</v>
      </c>
      <c r="C301" s="2" t="s">
        <v>8</v>
      </c>
      <c r="D301" s="2" t="s">
        <v>159</v>
      </c>
      <c r="E301" s="2" t="s">
        <v>160</v>
      </c>
      <c r="F301" s="2" t="s">
        <v>570</v>
      </c>
      <c r="G301" s="2" t="s">
        <v>164</v>
      </c>
      <c r="H301" s="10">
        <f>WORKDAY(G301,125,'[1]Feriados y Materias'!$B$21:$B$61)</f>
        <v>46080</v>
      </c>
      <c r="I301" s="2" t="s">
        <v>192</v>
      </c>
      <c r="J301" s="2" t="s">
        <v>261</v>
      </c>
      <c r="K301" s="2" t="s">
        <v>1093</v>
      </c>
    </row>
    <row r="302" spans="1:11" x14ac:dyDescent="0.35">
      <c r="A302">
        <v>296</v>
      </c>
      <c r="B302" s="90" t="s">
        <v>16</v>
      </c>
      <c r="C302" s="2" t="s">
        <v>8</v>
      </c>
      <c r="D302" s="2" t="s">
        <v>159</v>
      </c>
      <c r="E302" s="2" t="s">
        <v>160</v>
      </c>
      <c r="F302" s="2" t="s">
        <v>571</v>
      </c>
      <c r="G302" s="2" t="s">
        <v>164</v>
      </c>
      <c r="H302" s="10">
        <f>WORKDAY(G302,125,'[1]Feriados y Materias'!$B$21:$B$61)</f>
        <v>46080</v>
      </c>
      <c r="I302" s="2" t="s">
        <v>192</v>
      </c>
      <c r="J302" s="2" t="s">
        <v>261</v>
      </c>
      <c r="K302" s="2" t="s">
        <v>1093</v>
      </c>
    </row>
    <row r="303" spans="1:11" x14ac:dyDescent="0.35">
      <c r="A303">
        <v>297</v>
      </c>
      <c r="B303" s="90" t="s">
        <v>16</v>
      </c>
      <c r="C303" s="2" t="s">
        <v>8</v>
      </c>
      <c r="D303" s="2" t="s">
        <v>159</v>
      </c>
      <c r="E303" s="2" t="s">
        <v>160</v>
      </c>
      <c r="F303" s="2" t="s">
        <v>572</v>
      </c>
      <c r="G303" s="2" t="s">
        <v>164</v>
      </c>
      <c r="H303" s="10">
        <f>WORKDAY(G303,125,'[1]Feriados y Materias'!$B$21:$B$61)</f>
        <v>46080</v>
      </c>
      <c r="I303" s="2" t="s">
        <v>192</v>
      </c>
      <c r="J303" s="2" t="s">
        <v>261</v>
      </c>
      <c r="K303" s="2" t="s">
        <v>1093</v>
      </c>
    </row>
    <row r="304" spans="1:11" x14ac:dyDescent="0.35">
      <c r="A304">
        <v>298</v>
      </c>
      <c r="B304" s="90" t="s">
        <v>16</v>
      </c>
      <c r="C304" s="2" t="s">
        <v>8</v>
      </c>
      <c r="D304" s="2" t="s">
        <v>159</v>
      </c>
      <c r="E304" s="2" t="s">
        <v>160</v>
      </c>
      <c r="F304" s="2" t="s">
        <v>573</v>
      </c>
      <c r="G304" s="2" t="s">
        <v>164</v>
      </c>
      <c r="H304" s="10">
        <f>WORKDAY(G304,125,'[1]Feriados y Materias'!$B$21:$B$61)</f>
        <v>46080</v>
      </c>
      <c r="I304" s="2" t="s">
        <v>192</v>
      </c>
      <c r="J304" s="2" t="s">
        <v>261</v>
      </c>
      <c r="K304" s="2" t="s">
        <v>1093</v>
      </c>
    </row>
    <row r="305" spans="1:11" x14ac:dyDescent="0.35">
      <c r="A305">
        <v>299</v>
      </c>
      <c r="B305" s="90" t="s">
        <v>16</v>
      </c>
      <c r="C305" s="2" t="s">
        <v>8</v>
      </c>
      <c r="D305" s="2" t="s">
        <v>159</v>
      </c>
      <c r="E305" s="2" t="s">
        <v>160</v>
      </c>
      <c r="F305" s="2" t="s">
        <v>574</v>
      </c>
      <c r="G305" s="2" t="s">
        <v>164</v>
      </c>
      <c r="H305" s="10">
        <f>WORKDAY(G305,125,'[1]Feriados y Materias'!$B$21:$B$61)</f>
        <v>46080</v>
      </c>
      <c r="I305" s="2" t="s">
        <v>192</v>
      </c>
      <c r="J305" s="2" t="s">
        <v>261</v>
      </c>
      <c r="K305" s="2" t="s">
        <v>1093</v>
      </c>
    </row>
    <row r="306" spans="1:11" x14ac:dyDescent="0.35">
      <c r="A306">
        <v>300</v>
      </c>
      <c r="B306" s="90" t="s">
        <v>16</v>
      </c>
      <c r="C306" s="2" t="s">
        <v>8</v>
      </c>
      <c r="D306" s="2" t="s">
        <v>159</v>
      </c>
      <c r="E306" s="2" t="s">
        <v>160</v>
      </c>
      <c r="F306" s="2" t="s">
        <v>575</v>
      </c>
      <c r="G306" s="2" t="s">
        <v>164</v>
      </c>
      <c r="H306" s="10">
        <f>WORKDAY(G306,125,'[1]Feriados y Materias'!$B$21:$B$61)</f>
        <v>46080</v>
      </c>
      <c r="I306" s="2" t="s">
        <v>192</v>
      </c>
      <c r="J306" s="2" t="s">
        <v>261</v>
      </c>
      <c r="K306" s="2" t="s">
        <v>1093</v>
      </c>
    </row>
    <row r="307" spans="1:11" x14ac:dyDescent="0.35">
      <c r="A307">
        <v>301</v>
      </c>
      <c r="B307" s="90" t="s">
        <v>16</v>
      </c>
      <c r="C307" s="2" t="s">
        <v>8</v>
      </c>
      <c r="D307" s="2" t="s">
        <v>159</v>
      </c>
      <c r="E307" s="2" t="s">
        <v>160</v>
      </c>
      <c r="F307" s="2" t="s">
        <v>576</v>
      </c>
      <c r="G307" s="2" t="s">
        <v>164</v>
      </c>
      <c r="H307" s="10">
        <f>WORKDAY(G307,125,'[1]Feriados y Materias'!$B$21:$B$61)</f>
        <v>46080</v>
      </c>
      <c r="I307" s="2" t="s">
        <v>192</v>
      </c>
      <c r="J307" s="2" t="s">
        <v>261</v>
      </c>
      <c r="K307" s="2" t="s">
        <v>1093</v>
      </c>
    </row>
    <row r="308" spans="1:11" x14ac:dyDescent="0.35">
      <c r="A308">
        <v>302</v>
      </c>
      <c r="B308" s="90" t="s">
        <v>16</v>
      </c>
      <c r="C308" s="2" t="s">
        <v>8</v>
      </c>
      <c r="D308" s="2" t="s">
        <v>159</v>
      </c>
      <c r="E308" s="2" t="s">
        <v>160</v>
      </c>
      <c r="F308" s="2" t="s">
        <v>577</v>
      </c>
      <c r="G308" s="2" t="s">
        <v>164</v>
      </c>
      <c r="H308" s="10">
        <f>WORKDAY(G308,125,'[1]Feriados y Materias'!$B$21:$B$61)</f>
        <v>46080</v>
      </c>
      <c r="I308" s="2" t="s">
        <v>192</v>
      </c>
      <c r="J308" s="2" t="s">
        <v>261</v>
      </c>
      <c r="K308" s="2" t="s">
        <v>1093</v>
      </c>
    </row>
    <row r="309" spans="1:11" x14ac:dyDescent="0.35">
      <c r="A309">
        <v>303</v>
      </c>
      <c r="B309" s="90" t="s">
        <v>16</v>
      </c>
      <c r="C309" s="2" t="s">
        <v>8</v>
      </c>
      <c r="D309" s="2" t="s">
        <v>159</v>
      </c>
      <c r="E309" s="2" t="s">
        <v>160</v>
      </c>
      <c r="F309" s="2" t="s">
        <v>578</v>
      </c>
      <c r="G309" s="2" t="s">
        <v>164</v>
      </c>
      <c r="H309" s="10">
        <f>WORKDAY(G309,125,'[1]Feriados y Materias'!$B$21:$B$61)</f>
        <v>46080</v>
      </c>
      <c r="I309" s="2" t="s">
        <v>192</v>
      </c>
      <c r="J309" s="2" t="s">
        <v>261</v>
      </c>
      <c r="K309" s="2" t="s">
        <v>1093</v>
      </c>
    </row>
    <row r="310" spans="1:11" x14ac:dyDescent="0.35">
      <c r="A310">
        <v>304</v>
      </c>
      <c r="B310" s="90" t="s">
        <v>16</v>
      </c>
      <c r="C310" s="2" t="s">
        <v>8</v>
      </c>
      <c r="D310" s="2" t="s">
        <v>159</v>
      </c>
      <c r="E310" s="2" t="s">
        <v>160</v>
      </c>
      <c r="F310" s="2" t="s">
        <v>579</v>
      </c>
      <c r="G310" s="2" t="s">
        <v>164</v>
      </c>
      <c r="H310" s="10">
        <f>WORKDAY(G310,125,'[1]Feriados y Materias'!$B$21:$B$61)</f>
        <v>46080</v>
      </c>
      <c r="I310" s="2" t="s">
        <v>192</v>
      </c>
      <c r="J310" s="2" t="s">
        <v>261</v>
      </c>
      <c r="K310" s="2" t="s">
        <v>1093</v>
      </c>
    </row>
    <row r="311" spans="1:11" x14ac:dyDescent="0.35">
      <c r="A311">
        <v>305</v>
      </c>
      <c r="B311" s="90" t="s">
        <v>16</v>
      </c>
      <c r="C311" s="2" t="s">
        <v>8</v>
      </c>
      <c r="D311" s="2" t="s">
        <v>159</v>
      </c>
      <c r="E311" s="2" t="s">
        <v>160</v>
      </c>
      <c r="F311" s="2" t="s">
        <v>580</v>
      </c>
      <c r="G311" s="2" t="s">
        <v>164</v>
      </c>
      <c r="H311" s="10">
        <f>WORKDAY(G311,125,'[1]Feriados y Materias'!$B$21:$B$61)</f>
        <v>46080</v>
      </c>
      <c r="I311" s="2" t="s">
        <v>192</v>
      </c>
      <c r="J311" s="2" t="s">
        <v>261</v>
      </c>
      <c r="K311" s="2" t="s">
        <v>1093</v>
      </c>
    </row>
    <row r="312" spans="1:11" x14ac:dyDescent="0.35">
      <c r="A312">
        <v>306</v>
      </c>
      <c r="B312" s="90" t="s">
        <v>16</v>
      </c>
      <c r="C312" s="2" t="s">
        <v>8</v>
      </c>
      <c r="D312" s="2" t="s">
        <v>159</v>
      </c>
      <c r="E312" s="2" t="s">
        <v>160</v>
      </c>
      <c r="F312" s="2" t="s">
        <v>581</v>
      </c>
      <c r="G312" s="2" t="s">
        <v>164</v>
      </c>
      <c r="H312" s="10">
        <f>WORKDAY(G312,125,'[1]Feriados y Materias'!$B$21:$B$61)</f>
        <v>46080</v>
      </c>
      <c r="I312" s="2" t="s">
        <v>192</v>
      </c>
      <c r="J312" s="2" t="s">
        <v>261</v>
      </c>
      <c r="K312" s="2" t="s">
        <v>1093</v>
      </c>
    </row>
    <row r="313" spans="1:11" x14ac:dyDescent="0.35">
      <c r="A313">
        <v>307</v>
      </c>
      <c r="B313" s="90" t="s">
        <v>16</v>
      </c>
      <c r="C313" s="2" t="s">
        <v>8</v>
      </c>
      <c r="D313" s="2" t="s">
        <v>159</v>
      </c>
      <c r="E313" s="2" t="s">
        <v>160</v>
      </c>
      <c r="F313" s="2" t="s">
        <v>582</v>
      </c>
      <c r="G313" s="2" t="s">
        <v>164</v>
      </c>
      <c r="H313" s="10">
        <f>WORKDAY(G313,125,'[1]Feriados y Materias'!$B$21:$B$61)</f>
        <v>46080</v>
      </c>
      <c r="I313" s="2" t="s">
        <v>192</v>
      </c>
      <c r="J313" s="2" t="s">
        <v>261</v>
      </c>
      <c r="K313" s="2" t="s">
        <v>1093</v>
      </c>
    </row>
    <row r="314" spans="1:11" x14ac:dyDescent="0.35">
      <c r="A314">
        <v>308</v>
      </c>
      <c r="B314" s="90" t="s">
        <v>16</v>
      </c>
      <c r="C314" s="2" t="s">
        <v>8</v>
      </c>
      <c r="D314" s="2" t="s">
        <v>159</v>
      </c>
      <c r="E314" s="2" t="s">
        <v>160</v>
      </c>
      <c r="F314" s="2" t="s">
        <v>583</v>
      </c>
      <c r="G314" s="2" t="s">
        <v>164</v>
      </c>
      <c r="H314" s="10">
        <f>WORKDAY(G314,125,'[1]Feriados y Materias'!$B$21:$B$61)</f>
        <v>46080</v>
      </c>
      <c r="I314" s="2" t="s">
        <v>192</v>
      </c>
      <c r="J314" s="2" t="s">
        <v>261</v>
      </c>
      <c r="K314" s="2" t="s">
        <v>1093</v>
      </c>
    </row>
    <row r="315" spans="1:11" x14ac:dyDescent="0.35">
      <c r="A315">
        <v>309</v>
      </c>
      <c r="B315" s="90" t="s">
        <v>16</v>
      </c>
      <c r="C315" s="2" t="s">
        <v>8</v>
      </c>
      <c r="D315" s="2" t="s">
        <v>159</v>
      </c>
      <c r="E315" s="2" t="s">
        <v>160</v>
      </c>
      <c r="F315" s="2" t="s">
        <v>584</v>
      </c>
      <c r="G315" s="2" t="s">
        <v>164</v>
      </c>
      <c r="H315" s="10">
        <f>WORKDAY(G315,125,'[1]Feriados y Materias'!$B$21:$B$61)</f>
        <v>46080</v>
      </c>
      <c r="I315" s="2" t="s">
        <v>192</v>
      </c>
      <c r="J315" s="2" t="s">
        <v>261</v>
      </c>
      <c r="K315" s="2" t="s">
        <v>1093</v>
      </c>
    </row>
    <row r="316" spans="1:11" x14ac:dyDescent="0.35">
      <c r="A316">
        <v>310</v>
      </c>
      <c r="B316" s="90" t="s">
        <v>16</v>
      </c>
      <c r="C316" s="2" t="s">
        <v>8</v>
      </c>
      <c r="D316" s="2" t="s">
        <v>159</v>
      </c>
      <c r="E316" s="2" t="s">
        <v>160</v>
      </c>
      <c r="F316" s="2" t="s">
        <v>585</v>
      </c>
      <c r="G316" s="2" t="s">
        <v>164</v>
      </c>
      <c r="H316" s="10">
        <f>WORKDAY(G316,125,'[1]Feriados y Materias'!$B$21:$B$61)</f>
        <v>46080</v>
      </c>
      <c r="I316" s="2" t="s">
        <v>192</v>
      </c>
      <c r="J316" s="2" t="s">
        <v>261</v>
      </c>
      <c r="K316" s="2" t="s">
        <v>1093</v>
      </c>
    </row>
    <row r="317" spans="1:11" x14ac:dyDescent="0.35">
      <c r="A317">
        <v>311</v>
      </c>
      <c r="B317" s="90" t="s">
        <v>16</v>
      </c>
      <c r="C317" s="2" t="s">
        <v>8</v>
      </c>
      <c r="D317" s="2" t="s">
        <v>159</v>
      </c>
      <c r="E317" s="2" t="s">
        <v>160</v>
      </c>
      <c r="F317" s="2" t="s">
        <v>586</v>
      </c>
      <c r="G317" s="2" t="s">
        <v>164</v>
      </c>
      <c r="H317" s="10">
        <f>WORKDAY(G317,125,'[1]Feriados y Materias'!$B$21:$B$61)</f>
        <v>46080</v>
      </c>
      <c r="I317" s="2" t="s">
        <v>192</v>
      </c>
      <c r="J317" s="2" t="s">
        <v>261</v>
      </c>
      <c r="K317" s="2" t="s">
        <v>1093</v>
      </c>
    </row>
    <row r="318" spans="1:11" x14ac:dyDescent="0.35">
      <c r="A318">
        <v>312</v>
      </c>
      <c r="B318" s="90" t="s">
        <v>16</v>
      </c>
      <c r="C318" s="2" t="s">
        <v>8</v>
      </c>
      <c r="D318" s="2" t="s">
        <v>159</v>
      </c>
      <c r="E318" s="2" t="s">
        <v>160</v>
      </c>
      <c r="F318" s="2" t="s">
        <v>587</v>
      </c>
      <c r="G318" s="2" t="s">
        <v>164</v>
      </c>
      <c r="H318" s="10">
        <f>WORKDAY(G318,125,'[1]Feriados y Materias'!$B$21:$B$61)</f>
        <v>46080</v>
      </c>
      <c r="I318" s="2" t="s">
        <v>192</v>
      </c>
      <c r="J318" s="2" t="s">
        <v>261</v>
      </c>
      <c r="K318" s="2" t="s">
        <v>1093</v>
      </c>
    </row>
    <row r="319" spans="1:11" x14ac:dyDescent="0.35">
      <c r="A319">
        <v>313</v>
      </c>
      <c r="B319" s="90" t="s">
        <v>16</v>
      </c>
      <c r="C319" s="2" t="s">
        <v>8</v>
      </c>
      <c r="D319" s="2" t="s">
        <v>159</v>
      </c>
      <c r="E319" s="2" t="s">
        <v>160</v>
      </c>
      <c r="F319" s="2" t="s">
        <v>588</v>
      </c>
      <c r="G319" s="2" t="s">
        <v>164</v>
      </c>
      <c r="H319" s="10">
        <f>WORKDAY(G319,125,'[1]Feriados y Materias'!$B$21:$B$61)</f>
        <v>46080</v>
      </c>
      <c r="I319" s="2" t="s">
        <v>192</v>
      </c>
      <c r="J319" s="2" t="s">
        <v>261</v>
      </c>
      <c r="K319" s="2" t="s">
        <v>1093</v>
      </c>
    </row>
    <row r="320" spans="1:11" x14ac:dyDescent="0.35">
      <c r="A320">
        <v>314</v>
      </c>
      <c r="B320" s="90" t="s">
        <v>16</v>
      </c>
      <c r="C320" s="2" t="s">
        <v>8</v>
      </c>
      <c r="D320" s="2" t="s">
        <v>159</v>
      </c>
      <c r="E320" s="2" t="s">
        <v>160</v>
      </c>
      <c r="F320" s="2" t="s">
        <v>589</v>
      </c>
      <c r="G320" s="2" t="s">
        <v>164</v>
      </c>
      <c r="H320" s="10">
        <f>WORKDAY(G320,125,'[1]Feriados y Materias'!$B$21:$B$61)</f>
        <v>46080</v>
      </c>
      <c r="I320" s="2" t="s">
        <v>192</v>
      </c>
      <c r="J320" s="2" t="s">
        <v>261</v>
      </c>
      <c r="K320" s="2" t="s">
        <v>1093</v>
      </c>
    </row>
    <row r="321" spans="1:11" x14ac:dyDescent="0.35">
      <c r="A321">
        <v>315</v>
      </c>
      <c r="B321" s="90" t="s">
        <v>16</v>
      </c>
      <c r="C321" s="2" t="s">
        <v>8</v>
      </c>
      <c r="D321" s="2" t="s">
        <v>159</v>
      </c>
      <c r="E321" s="2" t="s">
        <v>160</v>
      </c>
      <c r="F321" s="2" t="s">
        <v>590</v>
      </c>
      <c r="G321" s="2" t="s">
        <v>164</v>
      </c>
      <c r="H321" s="10">
        <f>WORKDAY(G321,125,'[1]Feriados y Materias'!$B$21:$B$61)</f>
        <v>46080</v>
      </c>
      <c r="I321" s="2" t="s">
        <v>192</v>
      </c>
      <c r="J321" s="2" t="s">
        <v>261</v>
      </c>
      <c r="K321" s="2" t="s">
        <v>1093</v>
      </c>
    </row>
    <row r="322" spans="1:11" x14ac:dyDescent="0.35">
      <c r="A322">
        <v>316</v>
      </c>
      <c r="B322" s="90" t="s">
        <v>16</v>
      </c>
      <c r="C322" s="2" t="s">
        <v>8</v>
      </c>
      <c r="D322" s="2" t="s">
        <v>159</v>
      </c>
      <c r="E322" s="2" t="s">
        <v>160</v>
      </c>
      <c r="F322" s="2" t="s">
        <v>591</v>
      </c>
      <c r="G322" s="2" t="s">
        <v>164</v>
      </c>
      <c r="H322" s="10">
        <f>WORKDAY(G322,125,'[1]Feriados y Materias'!$B$21:$B$61)</f>
        <v>46080</v>
      </c>
      <c r="I322" s="2" t="s">
        <v>192</v>
      </c>
      <c r="J322" s="2" t="s">
        <v>261</v>
      </c>
      <c r="K322" s="2" t="s">
        <v>1093</v>
      </c>
    </row>
    <row r="323" spans="1:11" x14ac:dyDescent="0.35">
      <c r="A323">
        <v>317</v>
      </c>
      <c r="B323" s="90" t="s">
        <v>16</v>
      </c>
      <c r="C323" s="2" t="s">
        <v>8</v>
      </c>
      <c r="D323" s="2" t="s">
        <v>159</v>
      </c>
      <c r="E323" s="2" t="s">
        <v>160</v>
      </c>
      <c r="F323" s="2" t="s">
        <v>592</v>
      </c>
      <c r="G323" s="2" t="s">
        <v>164</v>
      </c>
      <c r="H323" s="10">
        <f>WORKDAY(G323,125,'[1]Feriados y Materias'!$B$21:$B$61)</f>
        <v>46080</v>
      </c>
      <c r="I323" s="2" t="s">
        <v>192</v>
      </c>
      <c r="J323" s="2" t="s">
        <v>261</v>
      </c>
      <c r="K323" s="2" t="s">
        <v>1093</v>
      </c>
    </row>
    <row r="324" spans="1:11" x14ac:dyDescent="0.35">
      <c r="A324">
        <v>318</v>
      </c>
      <c r="B324" s="90" t="s">
        <v>16</v>
      </c>
      <c r="C324" s="2" t="s">
        <v>8</v>
      </c>
      <c r="D324" s="2" t="s">
        <v>159</v>
      </c>
      <c r="E324" s="2" t="s">
        <v>160</v>
      </c>
      <c r="F324" s="2" t="s">
        <v>593</v>
      </c>
      <c r="G324" s="2" t="s">
        <v>164</v>
      </c>
      <c r="H324" s="10">
        <f>WORKDAY(G324,125,'[1]Feriados y Materias'!$B$21:$B$61)</f>
        <v>46080</v>
      </c>
      <c r="I324" s="2" t="s">
        <v>192</v>
      </c>
      <c r="J324" s="2" t="s">
        <v>261</v>
      </c>
      <c r="K324" s="2" t="s">
        <v>1093</v>
      </c>
    </row>
    <row r="325" spans="1:11" x14ac:dyDescent="0.35">
      <c r="A325">
        <v>319</v>
      </c>
      <c r="B325" s="90" t="s">
        <v>16</v>
      </c>
      <c r="C325" s="2" t="s">
        <v>8</v>
      </c>
      <c r="D325" s="2" t="s">
        <v>159</v>
      </c>
      <c r="E325" s="2" t="s">
        <v>160</v>
      </c>
      <c r="F325" s="2" t="s">
        <v>594</v>
      </c>
      <c r="G325" s="2" t="s">
        <v>164</v>
      </c>
      <c r="H325" s="10">
        <f>WORKDAY(G325,125,'[1]Feriados y Materias'!$B$21:$B$61)</f>
        <v>46080</v>
      </c>
      <c r="I325" s="2" t="s">
        <v>192</v>
      </c>
      <c r="J325" s="2" t="s">
        <v>261</v>
      </c>
      <c r="K325" s="2" t="s">
        <v>1093</v>
      </c>
    </row>
    <row r="326" spans="1:11" x14ac:dyDescent="0.35">
      <c r="A326">
        <v>320</v>
      </c>
      <c r="B326" s="90" t="s">
        <v>16</v>
      </c>
      <c r="C326" s="2" t="s">
        <v>8</v>
      </c>
      <c r="D326" s="2" t="s">
        <v>159</v>
      </c>
      <c r="E326" s="2" t="s">
        <v>160</v>
      </c>
      <c r="F326" s="2" t="s">
        <v>595</v>
      </c>
      <c r="G326" s="2" t="s">
        <v>164</v>
      </c>
      <c r="H326" s="10">
        <f>WORKDAY(G326,125,'[1]Feriados y Materias'!$B$21:$B$61)</f>
        <v>46080</v>
      </c>
      <c r="I326" s="2" t="s">
        <v>192</v>
      </c>
      <c r="J326" s="2" t="s">
        <v>261</v>
      </c>
      <c r="K326" s="2" t="s">
        <v>1093</v>
      </c>
    </row>
    <row r="327" spans="1:11" x14ac:dyDescent="0.35">
      <c r="A327">
        <v>321</v>
      </c>
      <c r="B327" s="90" t="s">
        <v>16</v>
      </c>
      <c r="C327" s="2" t="s">
        <v>8</v>
      </c>
      <c r="D327" s="2" t="s">
        <v>159</v>
      </c>
      <c r="E327" s="2" t="s">
        <v>160</v>
      </c>
      <c r="F327" s="2" t="s">
        <v>596</v>
      </c>
      <c r="G327" s="2" t="s">
        <v>164</v>
      </c>
      <c r="H327" s="10">
        <f>WORKDAY(G327,125,'[1]Feriados y Materias'!$B$21:$B$61)</f>
        <v>46080</v>
      </c>
      <c r="I327" s="2" t="s">
        <v>192</v>
      </c>
      <c r="J327" s="2" t="s">
        <v>261</v>
      </c>
      <c r="K327" s="2" t="s">
        <v>1093</v>
      </c>
    </row>
    <row r="328" spans="1:11" x14ac:dyDescent="0.35">
      <c r="A328">
        <v>322</v>
      </c>
      <c r="B328" s="90" t="s">
        <v>16</v>
      </c>
      <c r="C328" s="2" t="s">
        <v>8</v>
      </c>
      <c r="D328" s="2" t="s">
        <v>159</v>
      </c>
      <c r="E328" s="2" t="s">
        <v>160</v>
      </c>
      <c r="F328" s="2" t="s">
        <v>597</v>
      </c>
      <c r="G328" s="2" t="s">
        <v>164</v>
      </c>
      <c r="H328" s="10">
        <f>WORKDAY(G328,125,'[1]Feriados y Materias'!$B$21:$B$61)</f>
        <v>46080</v>
      </c>
      <c r="I328" s="2" t="s">
        <v>192</v>
      </c>
      <c r="J328" s="2" t="s">
        <v>261</v>
      </c>
      <c r="K328" s="2" t="s">
        <v>1093</v>
      </c>
    </row>
    <row r="329" spans="1:11" x14ac:dyDescent="0.35">
      <c r="A329">
        <v>323</v>
      </c>
      <c r="B329" s="90" t="s">
        <v>16</v>
      </c>
      <c r="C329" s="2" t="s">
        <v>8</v>
      </c>
      <c r="D329" s="2" t="s">
        <v>159</v>
      </c>
      <c r="E329" s="2" t="s">
        <v>160</v>
      </c>
      <c r="F329" s="2" t="s">
        <v>598</v>
      </c>
      <c r="G329" s="2" t="s">
        <v>164</v>
      </c>
      <c r="H329" s="10">
        <f>WORKDAY(G329,125,'[1]Feriados y Materias'!$B$21:$B$61)</f>
        <v>46080</v>
      </c>
      <c r="I329" s="2" t="s">
        <v>192</v>
      </c>
      <c r="J329" s="2" t="s">
        <v>261</v>
      </c>
      <c r="K329" s="2" t="s">
        <v>1093</v>
      </c>
    </row>
    <row r="330" spans="1:11" x14ac:dyDescent="0.35">
      <c r="A330">
        <v>324</v>
      </c>
      <c r="B330" s="90" t="s">
        <v>16</v>
      </c>
      <c r="C330" s="2" t="s">
        <v>8</v>
      </c>
      <c r="D330" s="2" t="s">
        <v>159</v>
      </c>
      <c r="E330" s="2" t="s">
        <v>160</v>
      </c>
      <c r="F330" s="2" t="s">
        <v>599</v>
      </c>
      <c r="G330" s="2" t="s">
        <v>164</v>
      </c>
      <c r="H330" s="10">
        <f>WORKDAY(G330,125,'[1]Feriados y Materias'!$B$21:$B$61)</f>
        <v>46080</v>
      </c>
      <c r="I330" s="2" t="s">
        <v>192</v>
      </c>
      <c r="J330" s="2" t="s">
        <v>261</v>
      </c>
      <c r="K330" s="2" t="s">
        <v>1093</v>
      </c>
    </row>
    <row r="331" spans="1:11" x14ac:dyDescent="0.35">
      <c r="A331">
        <v>325</v>
      </c>
      <c r="B331" s="90" t="s">
        <v>16</v>
      </c>
      <c r="C331" s="2" t="s">
        <v>8</v>
      </c>
      <c r="D331" s="2" t="s">
        <v>159</v>
      </c>
      <c r="E331" s="2" t="s">
        <v>160</v>
      </c>
      <c r="F331" s="2" t="s">
        <v>600</v>
      </c>
      <c r="G331" s="2" t="s">
        <v>164</v>
      </c>
      <c r="H331" s="10">
        <f>WORKDAY(G331,125,'[1]Feriados y Materias'!$B$21:$B$61)</f>
        <v>46080</v>
      </c>
      <c r="I331" s="2" t="s">
        <v>192</v>
      </c>
      <c r="J331" s="2" t="s">
        <v>261</v>
      </c>
      <c r="K331" s="2" t="s">
        <v>1093</v>
      </c>
    </row>
    <row r="332" spans="1:11" x14ac:dyDescent="0.35">
      <c r="A332">
        <v>326</v>
      </c>
      <c r="B332" s="90" t="s">
        <v>16</v>
      </c>
      <c r="C332" s="2" t="s">
        <v>8</v>
      </c>
      <c r="D332" s="2" t="s">
        <v>159</v>
      </c>
      <c r="E332" s="2" t="s">
        <v>160</v>
      </c>
      <c r="F332" s="2" t="s">
        <v>601</v>
      </c>
      <c r="G332" s="2" t="s">
        <v>164</v>
      </c>
      <c r="H332" s="10">
        <f>WORKDAY(G332,125,'[1]Feriados y Materias'!$B$21:$B$61)</f>
        <v>46080</v>
      </c>
      <c r="I332" s="2" t="s">
        <v>192</v>
      </c>
      <c r="J332" s="2" t="s">
        <v>261</v>
      </c>
      <c r="K332" s="2" t="s">
        <v>1093</v>
      </c>
    </row>
    <row r="333" spans="1:11" x14ac:dyDescent="0.35">
      <c r="A333">
        <v>327</v>
      </c>
      <c r="B333" s="90" t="s">
        <v>16</v>
      </c>
      <c r="C333" s="2" t="s">
        <v>8</v>
      </c>
      <c r="D333" s="2" t="s">
        <v>159</v>
      </c>
      <c r="E333" s="2" t="s">
        <v>160</v>
      </c>
      <c r="F333" s="2" t="s">
        <v>602</v>
      </c>
      <c r="G333" s="2" t="s">
        <v>164</v>
      </c>
      <c r="H333" s="10">
        <f>WORKDAY(G333,125,'[1]Feriados y Materias'!$B$21:$B$61)</f>
        <v>46080</v>
      </c>
      <c r="I333" s="2" t="s">
        <v>192</v>
      </c>
      <c r="J333" s="2" t="s">
        <v>261</v>
      </c>
      <c r="K333" s="2" t="s">
        <v>1093</v>
      </c>
    </row>
    <row r="334" spans="1:11" x14ac:dyDescent="0.35">
      <c r="A334">
        <v>328</v>
      </c>
      <c r="B334" s="90" t="s">
        <v>16</v>
      </c>
      <c r="C334" s="2" t="s">
        <v>8</v>
      </c>
      <c r="D334" s="2" t="s">
        <v>159</v>
      </c>
      <c r="E334" s="2" t="s">
        <v>160</v>
      </c>
      <c r="F334" s="2" t="s">
        <v>603</v>
      </c>
      <c r="G334" s="2" t="s">
        <v>164</v>
      </c>
      <c r="H334" s="10">
        <f>WORKDAY(G334,125,'[1]Feriados y Materias'!$B$21:$B$61)</f>
        <v>46080</v>
      </c>
      <c r="I334" s="2" t="s">
        <v>192</v>
      </c>
      <c r="J334" s="2" t="s">
        <v>261</v>
      </c>
      <c r="K334" s="2" t="s">
        <v>1093</v>
      </c>
    </row>
    <row r="335" spans="1:11" x14ac:dyDescent="0.35">
      <c r="A335">
        <v>329</v>
      </c>
      <c r="B335" s="90" t="s">
        <v>16</v>
      </c>
      <c r="C335" s="2" t="s">
        <v>8</v>
      </c>
      <c r="D335" s="2" t="s">
        <v>159</v>
      </c>
      <c r="E335" s="2" t="s">
        <v>160</v>
      </c>
      <c r="F335" s="2" t="s">
        <v>604</v>
      </c>
      <c r="G335" s="2" t="s">
        <v>164</v>
      </c>
      <c r="H335" s="10">
        <f>WORKDAY(G335,125,'[1]Feriados y Materias'!$B$21:$B$61)</f>
        <v>46080</v>
      </c>
      <c r="I335" s="2" t="s">
        <v>192</v>
      </c>
      <c r="J335" s="2" t="s">
        <v>261</v>
      </c>
      <c r="K335" s="2" t="s">
        <v>1093</v>
      </c>
    </row>
    <row r="336" spans="1:11" x14ac:dyDescent="0.35">
      <c r="A336">
        <v>330</v>
      </c>
      <c r="B336" s="90" t="s">
        <v>16</v>
      </c>
      <c r="C336" s="2" t="s">
        <v>8</v>
      </c>
      <c r="D336" s="2" t="s">
        <v>159</v>
      </c>
      <c r="E336" s="2" t="s">
        <v>160</v>
      </c>
      <c r="F336" s="2" t="s">
        <v>605</v>
      </c>
      <c r="G336" s="2" t="s">
        <v>164</v>
      </c>
      <c r="H336" s="10">
        <f>WORKDAY(G336,125,'[1]Feriados y Materias'!$B$21:$B$61)</f>
        <v>46080</v>
      </c>
      <c r="I336" s="2" t="s">
        <v>192</v>
      </c>
      <c r="J336" s="2" t="s">
        <v>261</v>
      </c>
      <c r="K336" s="2" t="s">
        <v>1093</v>
      </c>
    </row>
    <row r="337" spans="1:11" x14ac:dyDescent="0.35">
      <c r="A337">
        <v>331</v>
      </c>
      <c r="B337" s="90" t="s">
        <v>16</v>
      </c>
      <c r="C337" s="2" t="s">
        <v>8</v>
      </c>
      <c r="D337" s="2" t="s">
        <v>159</v>
      </c>
      <c r="E337" s="2" t="s">
        <v>160</v>
      </c>
      <c r="F337" s="2" t="s">
        <v>606</v>
      </c>
      <c r="G337" s="2" t="s">
        <v>164</v>
      </c>
      <c r="H337" s="10">
        <f>WORKDAY(G337,125,'[1]Feriados y Materias'!$B$21:$B$61)</f>
        <v>46080</v>
      </c>
      <c r="I337" s="2" t="s">
        <v>192</v>
      </c>
      <c r="J337" s="2" t="s">
        <v>261</v>
      </c>
      <c r="K337" s="2" t="s">
        <v>1093</v>
      </c>
    </row>
    <row r="338" spans="1:11" x14ac:dyDescent="0.35">
      <c r="A338">
        <v>332</v>
      </c>
      <c r="B338" s="90" t="s">
        <v>16</v>
      </c>
      <c r="C338" s="2" t="s">
        <v>8</v>
      </c>
      <c r="D338" s="2" t="s">
        <v>159</v>
      </c>
      <c r="E338" s="2" t="s">
        <v>160</v>
      </c>
      <c r="F338" s="2" t="s">
        <v>607</v>
      </c>
      <c r="G338" s="2" t="s">
        <v>164</v>
      </c>
      <c r="H338" s="10">
        <f>WORKDAY(G338,125,'[1]Feriados y Materias'!$B$21:$B$61)</f>
        <v>46080</v>
      </c>
      <c r="I338" s="2" t="s">
        <v>192</v>
      </c>
      <c r="J338" s="2" t="s">
        <v>261</v>
      </c>
      <c r="K338" s="2" t="s">
        <v>1093</v>
      </c>
    </row>
    <row r="339" spans="1:11" x14ac:dyDescent="0.35">
      <c r="A339">
        <v>333</v>
      </c>
      <c r="B339" s="90" t="s">
        <v>16</v>
      </c>
      <c r="C339" s="2" t="s">
        <v>8</v>
      </c>
      <c r="D339" s="2" t="s">
        <v>159</v>
      </c>
      <c r="E339" s="2" t="s">
        <v>160</v>
      </c>
      <c r="F339" s="2" t="s">
        <v>608</v>
      </c>
      <c r="G339" s="2" t="s">
        <v>164</v>
      </c>
      <c r="H339" s="10">
        <f>WORKDAY(G339,125,'[1]Feriados y Materias'!$B$21:$B$61)</f>
        <v>46080</v>
      </c>
      <c r="I339" s="2" t="s">
        <v>192</v>
      </c>
      <c r="J339" s="2" t="s">
        <v>261</v>
      </c>
      <c r="K339" s="2" t="s">
        <v>1093</v>
      </c>
    </row>
    <row r="340" spans="1:11" x14ac:dyDescent="0.35">
      <c r="A340">
        <v>334</v>
      </c>
      <c r="B340" s="90" t="s">
        <v>16</v>
      </c>
      <c r="C340" s="2" t="s">
        <v>8</v>
      </c>
      <c r="D340" s="2" t="s">
        <v>159</v>
      </c>
      <c r="E340" s="2" t="s">
        <v>160</v>
      </c>
      <c r="F340" s="2" t="s">
        <v>609</v>
      </c>
      <c r="G340" s="2" t="s">
        <v>164</v>
      </c>
      <c r="H340" s="10">
        <f>WORKDAY(G340,125,'[1]Feriados y Materias'!$B$21:$B$61)</f>
        <v>46080</v>
      </c>
      <c r="I340" s="2" t="s">
        <v>192</v>
      </c>
      <c r="J340" s="2" t="s">
        <v>261</v>
      </c>
      <c r="K340" s="2" t="s">
        <v>1093</v>
      </c>
    </row>
    <row r="341" spans="1:11" x14ac:dyDescent="0.35">
      <c r="A341">
        <v>335</v>
      </c>
      <c r="B341" s="90" t="s">
        <v>16</v>
      </c>
      <c r="C341" s="2" t="s">
        <v>8</v>
      </c>
      <c r="D341" s="2" t="s">
        <v>159</v>
      </c>
      <c r="E341" s="2" t="s">
        <v>160</v>
      </c>
      <c r="F341" s="2" t="s">
        <v>610</v>
      </c>
      <c r="G341" s="2" t="s">
        <v>164</v>
      </c>
      <c r="H341" s="10">
        <f>WORKDAY(G341,125,'[1]Feriados y Materias'!$B$21:$B$61)</f>
        <v>46080</v>
      </c>
      <c r="I341" s="2" t="s">
        <v>192</v>
      </c>
      <c r="J341" s="2" t="s">
        <v>261</v>
      </c>
      <c r="K341" s="2" t="s">
        <v>1093</v>
      </c>
    </row>
    <row r="342" spans="1:11" x14ac:dyDescent="0.35">
      <c r="A342">
        <v>336</v>
      </c>
      <c r="B342" s="90" t="s">
        <v>16</v>
      </c>
      <c r="C342" s="2" t="s">
        <v>8</v>
      </c>
      <c r="D342" s="2" t="s">
        <v>159</v>
      </c>
      <c r="E342" s="2" t="s">
        <v>160</v>
      </c>
      <c r="F342" s="2" t="s">
        <v>611</v>
      </c>
      <c r="G342" s="2" t="s">
        <v>164</v>
      </c>
      <c r="H342" s="10">
        <f>WORKDAY(G342,125,'[1]Feriados y Materias'!$B$21:$B$61)</f>
        <v>46080</v>
      </c>
      <c r="I342" s="2" t="s">
        <v>192</v>
      </c>
      <c r="J342" s="2" t="s">
        <v>261</v>
      </c>
      <c r="K342" s="2" t="s">
        <v>1093</v>
      </c>
    </row>
    <row r="343" spans="1:11" x14ac:dyDescent="0.35">
      <c r="A343">
        <v>337</v>
      </c>
      <c r="B343" s="90" t="s">
        <v>16</v>
      </c>
      <c r="C343" s="2" t="s">
        <v>8</v>
      </c>
      <c r="D343" s="2" t="s">
        <v>159</v>
      </c>
      <c r="E343" s="2" t="s">
        <v>160</v>
      </c>
      <c r="F343" s="2" t="s">
        <v>612</v>
      </c>
      <c r="G343" s="2" t="s">
        <v>164</v>
      </c>
      <c r="H343" s="10">
        <f>WORKDAY(G343,125,'[1]Feriados y Materias'!$B$21:$B$61)</f>
        <v>46080</v>
      </c>
      <c r="I343" s="2" t="s">
        <v>192</v>
      </c>
      <c r="J343" s="2" t="s">
        <v>261</v>
      </c>
      <c r="K343" s="2" t="s">
        <v>1093</v>
      </c>
    </row>
    <row r="344" spans="1:11" x14ac:dyDescent="0.35">
      <c r="A344">
        <v>338</v>
      </c>
      <c r="B344" s="90" t="s">
        <v>16</v>
      </c>
      <c r="C344" s="2" t="s">
        <v>8</v>
      </c>
      <c r="D344" s="2" t="s">
        <v>159</v>
      </c>
      <c r="E344" s="2" t="s">
        <v>160</v>
      </c>
      <c r="F344" s="2" t="s">
        <v>613</v>
      </c>
      <c r="G344" s="2" t="s">
        <v>164</v>
      </c>
      <c r="H344" s="10">
        <f>WORKDAY(G344,125,'[1]Feriados y Materias'!$B$21:$B$61)</f>
        <v>46080</v>
      </c>
      <c r="I344" s="2" t="s">
        <v>192</v>
      </c>
      <c r="J344" s="2" t="s">
        <v>261</v>
      </c>
      <c r="K344" s="2" t="s">
        <v>1093</v>
      </c>
    </row>
    <row r="345" spans="1:11" x14ac:dyDescent="0.35">
      <c r="A345">
        <v>339</v>
      </c>
      <c r="B345" s="90" t="s">
        <v>16</v>
      </c>
      <c r="C345" s="2" t="s">
        <v>8</v>
      </c>
      <c r="D345" s="2" t="s">
        <v>159</v>
      </c>
      <c r="E345" s="2" t="s">
        <v>160</v>
      </c>
      <c r="F345" s="2" t="s">
        <v>614</v>
      </c>
      <c r="G345" s="2" t="s">
        <v>164</v>
      </c>
      <c r="H345" s="10">
        <f>WORKDAY(G345,125,'[1]Feriados y Materias'!$B$21:$B$61)</f>
        <v>46080</v>
      </c>
      <c r="I345" s="2" t="s">
        <v>192</v>
      </c>
      <c r="J345" s="2" t="s">
        <v>261</v>
      </c>
      <c r="K345" s="2" t="s">
        <v>1093</v>
      </c>
    </row>
    <row r="346" spans="1:11" x14ac:dyDescent="0.35">
      <c r="A346">
        <v>340</v>
      </c>
      <c r="B346" s="90" t="s">
        <v>16</v>
      </c>
      <c r="C346" s="2" t="s">
        <v>8</v>
      </c>
      <c r="D346" s="2" t="s">
        <v>159</v>
      </c>
      <c r="E346" s="2" t="s">
        <v>160</v>
      </c>
      <c r="F346" s="2" t="s">
        <v>615</v>
      </c>
      <c r="G346" s="2" t="s">
        <v>164</v>
      </c>
      <c r="H346" s="10">
        <f>WORKDAY(G346,125,'[1]Feriados y Materias'!$B$21:$B$61)</f>
        <v>46080</v>
      </c>
      <c r="I346" s="2" t="s">
        <v>192</v>
      </c>
      <c r="J346" s="2" t="s">
        <v>261</v>
      </c>
      <c r="K346" s="2" t="s">
        <v>1093</v>
      </c>
    </row>
    <row r="347" spans="1:11" x14ac:dyDescent="0.35">
      <c r="A347">
        <v>341</v>
      </c>
      <c r="B347" s="90" t="s">
        <v>16</v>
      </c>
      <c r="C347" s="2" t="s">
        <v>8</v>
      </c>
      <c r="D347" s="2" t="s">
        <v>159</v>
      </c>
      <c r="E347" s="2" t="s">
        <v>160</v>
      </c>
      <c r="F347" s="2" t="s">
        <v>616</v>
      </c>
      <c r="G347" s="2" t="s">
        <v>164</v>
      </c>
      <c r="H347" s="10">
        <f>WORKDAY(G347,125,'[1]Feriados y Materias'!$B$21:$B$61)</f>
        <v>46080</v>
      </c>
      <c r="I347" s="2" t="s">
        <v>192</v>
      </c>
      <c r="J347" s="2" t="s">
        <v>261</v>
      </c>
      <c r="K347" s="2" t="s">
        <v>1093</v>
      </c>
    </row>
    <row r="348" spans="1:11" x14ac:dyDescent="0.35">
      <c r="A348">
        <v>342</v>
      </c>
      <c r="B348" s="90" t="s">
        <v>16</v>
      </c>
      <c r="C348" s="2" t="s">
        <v>8</v>
      </c>
      <c r="D348" s="2" t="s">
        <v>159</v>
      </c>
      <c r="E348" s="2" t="s">
        <v>160</v>
      </c>
      <c r="F348" s="2" t="s">
        <v>617</v>
      </c>
      <c r="G348" s="2" t="s">
        <v>164</v>
      </c>
      <c r="H348" s="10">
        <f>WORKDAY(G348,125,'[1]Feriados y Materias'!$B$21:$B$61)</f>
        <v>46080</v>
      </c>
      <c r="I348" s="2" t="s">
        <v>192</v>
      </c>
      <c r="J348" s="2" t="s">
        <v>261</v>
      </c>
      <c r="K348" s="2" t="s">
        <v>1093</v>
      </c>
    </row>
    <row r="349" spans="1:11" x14ac:dyDescent="0.35">
      <c r="A349">
        <v>343</v>
      </c>
      <c r="B349" s="90" t="s">
        <v>16</v>
      </c>
      <c r="C349" s="2" t="s">
        <v>8</v>
      </c>
      <c r="D349" s="2" t="s">
        <v>159</v>
      </c>
      <c r="E349" s="2" t="s">
        <v>160</v>
      </c>
      <c r="F349" s="2" t="s">
        <v>618</v>
      </c>
      <c r="G349" s="2" t="s">
        <v>164</v>
      </c>
      <c r="H349" s="10">
        <f>WORKDAY(G349,125,'[1]Feriados y Materias'!$B$21:$B$61)</f>
        <v>46080</v>
      </c>
      <c r="I349" s="2" t="s">
        <v>192</v>
      </c>
      <c r="J349" s="2" t="s">
        <v>261</v>
      </c>
      <c r="K349" s="2" t="s">
        <v>1093</v>
      </c>
    </row>
    <row r="350" spans="1:11" x14ac:dyDescent="0.35">
      <c r="A350">
        <v>344</v>
      </c>
      <c r="B350" s="90" t="s">
        <v>16</v>
      </c>
      <c r="C350" s="2" t="s">
        <v>8</v>
      </c>
      <c r="D350" s="2" t="s">
        <v>159</v>
      </c>
      <c r="E350" s="2" t="s">
        <v>160</v>
      </c>
      <c r="F350" s="2" t="s">
        <v>619</v>
      </c>
      <c r="G350" s="2" t="s">
        <v>164</v>
      </c>
      <c r="H350" s="10">
        <f>WORKDAY(G350,125,'[1]Feriados y Materias'!$B$21:$B$61)</f>
        <v>46080</v>
      </c>
      <c r="I350" s="2" t="s">
        <v>192</v>
      </c>
      <c r="J350" s="2" t="s">
        <v>261</v>
      </c>
      <c r="K350" s="2" t="s">
        <v>1093</v>
      </c>
    </row>
    <row r="351" spans="1:11" x14ac:dyDescent="0.35">
      <c r="A351">
        <v>345</v>
      </c>
      <c r="B351" s="90" t="s">
        <v>16</v>
      </c>
      <c r="C351" s="2" t="s">
        <v>8</v>
      </c>
      <c r="D351" s="2" t="s">
        <v>159</v>
      </c>
      <c r="E351" s="2" t="s">
        <v>160</v>
      </c>
      <c r="F351" s="2" t="s">
        <v>620</v>
      </c>
      <c r="G351" s="2" t="s">
        <v>164</v>
      </c>
      <c r="H351" s="10">
        <f>WORKDAY(G351,125,'[1]Feriados y Materias'!$B$21:$B$61)</f>
        <v>46080</v>
      </c>
      <c r="I351" s="2" t="s">
        <v>192</v>
      </c>
      <c r="J351" s="2" t="s">
        <v>261</v>
      </c>
      <c r="K351" s="2" t="s">
        <v>1093</v>
      </c>
    </row>
    <row r="352" spans="1:11" x14ac:dyDescent="0.35">
      <c r="A352">
        <v>346</v>
      </c>
      <c r="B352" s="90" t="s">
        <v>16</v>
      </c>
      <c r="C352" s="2" t="s">
        <v>8</v>
      </c>
      <c r="D352" s="2" t="s">
        <v>159</v>
      </c>
      <c r="E352" s="2" t="s">
        <v>160</v>
      </c>
      <c r="F352" s="2" t="s">
        <v>621</v>
      </c>
      <c r="G352" s="2" t="s">
        <v>164</v>
      </c>
      <c r="H352" s="10">
        <f>WORKDAY(G352,125,'[1]Feriados y Materias'!$B$21:$B$61)</f>
        <v>46080</v>
      </c>
      <c r="I352" s="2" t="s">
        <v>192</v>
      </c>
      <c r="J352" s="2" t="s">
        <v>261</v>
      </c>
      <c r="K352" s="2" t="s">
        <v>1093</v>
      </c>
    </row>
    <row r="353" spans="1:11" x14ac:dyDescent="0.35">
      <c r="A353">
        <v>347</v>
      </c>
      <c r="B353" s="90" t="s">
        <v>16</v>
      </c>
      <c r="C353" s="2" t="s">
        <v>8</v>
      </c>
      <c r="D353" s="2" t="s">
        <v>159</v>
      </c>
      <c r="E353" s="2" t="s">
        <v>160</v>
      </c>
      <c r="F353" s="2" t="s">
        <v>622</v>
      </c>
      <c r="G353" s="2" t="s">
        <v>164</v>
      </c>
      <c r="H353" s="10">
        <f>WORKDAY(G353,125,'[1]Feriados y Materias'!$B$21:$B$61)</f>
        <v>46080</v>
      </c>
      <c r="I353" s="2" t="s">
        <v>192</v>
      </c>
      <c r="J353" s="2" t="s">
        <v>261</v>
      </c>
      <c r="K353" s="2" t="s">
        <v>1093</v>
      </c>
    </row>
    <row r="354" spans="1:11" x14ac:dyDescent="0.35">
      <c r="A354">
        <v>348</v>
      </c>
      <c r="B354" s="90" t="s">
        <v>16</v>
      </c>
      <c r="C354" s="2" t="s">
        <v>8</v>
      </c>
      <c r="D354" s="2" t="s">
        <v>159</v>
      </c>
      <c r="E354" s="2" t="s">
        <v>160</v>
      </c>
      <c r="F354" s="2" t="s">
        <v>623</v>
      </c>
      <c r="G354" s="2" t="s">
        <v>164</v>
      </c>
      <c r="H354" s="10">
        <f>WORKDAY(G354,125,'[1]Feriados y Materias'!$B$21:$B$61)</f>
        <v>46080</v>
      </c>
      <c r="I354" s="2" t="s">
        <v>192</v>
      </c>
      <c r="J354" s="2" t="s">
        <v>261</v>
      </c>
      <c r="K354" s="2" t="s">
        <v>1093</v>
      </c>
    </row>
    <row r="355" spans="1:11" x14ac:dyDescent="0.35">
      <c r="A355">
        <v>349</v>
      </c>
      <c r="B355" s="90" t="s">
        <v>16</v>
      </c>
      <c r="C355" s="2" t="s">
        <v>8</v>
      </c>
      <c r="D355" s="2" t="s">
        <v>159</v>
      </c>
      <c r="E355" s="2" t="s">
        <v>160</v>
      </c>
      <c r="F355" s="2" t="s">
        <v>624</v>
      </c>
      <c r="G355" s="2" t="s">
        <v>164</v>
      </c>
      <c r="H355" s="10">
        <f>WORKDAY(G355,125,'[1]Feriados y Materias'!$B$21:$B$61)</f>
        <v>46080</v>
      </c>
      <c r="I355" s="2" t="s">
        <v>192</v>
      </c>
      <c r="J355" s="2" t="s">
        <v>261</v>
      </c>
      <c r="K355" s="2" t="s">
        <v>1093</v>
      </c>
    </row>
    <row r="356" spans="1:11" x14ac:dyDescent="0.35">
      <c r="A356">
        <v>350</v>
      </c>
      <c r="B356" s="90" t="s">
        <v>16</v>
      </c>
      <c r="C356" s="2" t="s">
        <v>8</v>
      </c>
      <c r="D356" s="2" t="s">
        <v>159</v>
      </c>
      <c r="E356" s="2" t="s">
        <v>160</v>
      </c>
      <c r="F356" s="2" t="s">
        <v>625</v>
      </c>
      <c r="G356" s="2" t="s">
        <v>164</v>
      </c>
      <c r="H356" s="10">
        <f>WORKDAY(G356,125,'[1]Feriados y Materias'!$B$21:$B$61)</f>
        <v>46080</v>
      </c>
      <c r="I356" s="2" t="s">
        <v>192</v>
      </c>
      <c r="J356" s="2" t="s">
        <v>261</v>
      </c>
      <c r="K356" s="2" t="s">
        <v>1093</v>
      </c>
    </row>
    <row r="357" spans="1:11" x14ac:dyDescent="0.35">
      <c r="A357">
        <v>351</v>
      </c>
      <c r="B357" s="90" t="s">
        <v>16</v>
      </c>
      <c r="C357" s="2" t="s">
        <v>8</v>
      </c>
      <c r="D357" s="2" t="s">
        <v>159</v>
      </c>
      <c r="E357" s="2" t="s">
        <v>160</v>
      </c>
      <c r="F357" s="2" t="s">
        <v>626</v>
      </c>
      <c r="G357" s="2" t="s">
        <v>164</v>
      </c>
      <c r="H357" s="10">
        <f>WORKDAY(G357,125,'[1]Feriados y Materias'!$B$21:$B$61)</f>
        <v>46080</v>
      </c>
      <c r="I357" s="2" t="s">
        <v>192</v>
      </c>
      <c r="J357" s="2" t="s">
        <v>261</v>
      </c>
      <c r="K357" s="2" t="s">
        <v>1093</v>
      </c>
    </row>
    <row r="358" spans="1:11" x14ac:dyDescent="0.35">
      <c r="A358">
        <v>352</v>
      </c>
      <c r="B358" s="90" t="s">
        <v>16</v>
      </c>
      <c r="C358" s="2" t="s">
        <v>8</v>
      </c>
      <c r="D358" s="2" t="s">
        <v>159</v>
      </c>
      <c r="E358" s="2" t="s">
        <v>160</v>
      </c>
      <c r="F358" s="2" t="s">
        <v>627</v>
      </c>
      <c r="G358" s="2" t="s">
        <v>164</v>
      </c>
      <c r="H358" s="10">
        <f>WORKDAY(G358,125,'[1]Feriados y Materias'!$B$21:$B$61)</f>
        <v>46080</v>
      </c>
      <c r="I358" s="2" t="s">
        <v>192</v>
      </c>
      <c r="J358" s="2" t="s">
        <v>261</v>
      </c>
      <c r="K358" s="2" t="s">
        <v>1093</v>
      </c>
    </row>
    <row r="359" spans="1:11" x14ac:dyDescent="0.35">
      <c r="A359">
        <v>353</v>
      </c>
      <c r="B359" s="90" t="s">
        <v>16</v>
      </c>
      <c r="C359" s="2" t="s">
        <v>8</v>
      </c>
      <c r="D359" s="2" t="s">
        <v>159</v>
      </c>
      <c r="E359" s="2" t="s">
        <v>160</v>
      </c>
      <c r="F359" s="2" t="s">
        <v>628</v>
      </c>
      <c r="G359" s="2" t="s">
        <v>164</v>
      </c>
      <c r="H359" s="10">
        <f>WORKDAY(G359,125,'[1]Feriados y Materias'!$B$21:$B$61)</f>
        <v>46080</v>
      </c>
      <c r="I359" s="2" t="s">
        <v>192</v>
      </c>
      <c r="J359" s="2" t="s">
        <v>261</v>
      </c>
      <c r="K359" s="2" t="s">
        <v>1093</v>
      </c>
    </row>
    <row r="360" spans="1:11" x14ac:dyDescent="0.35">
      <c r="A360">
        <v>354</v>
      </c>
      <c r="B360" s="90" t="s">
        <v>16</v>
      </c>
      <c r="C360" s="2" t="s">
        <v>8</v>
      </c>
      <c r="D360" s="2" t="s">
        <v>159</v>
      </c>
      <c r="E360" s="2" t="s">
        <v>160</v>
      </c>
      <c r="F360" s="2" t="s">
        <v>629</v>
      </c>
      <c r="G360" s="2" t="s">
        <v>164</v>
      </c>
      <c r="H360" s="10">
        <f>WORKDAY(G360,125,'[1]Feriados y Materias'!$B$21:$B$61)</f>
        <v>46080</v>
      </c>
      <c r="I360" s="2" t="s">
        <v>192</v>
      </c>
      <c r="J360" s="2" t="s">
        <v>261</v>
      </c>
      <c r="K360" s="2" t="s">
        <v>1093</v>
      </c>
    </row>
    <row r="361" spans="1:11" x14ac:dyDescent="0.35">
      <c r="A361">
        <v>355</v>
      </c>
      <c r="B361" s="90" t="s">
        <v>16</v>
      </c>
      <c r="C361" s="2" t="s">
        <v>8</v>
      </c>
      <c r="D361" s="2" t="s">
        <v>159</v>
      </c>
      <c r="E361" s="2" t="s">
        <v>160</v>
      </c>
      <c r="F361" s="2" t="s">
        <v>630</v>
      </c>
      <c r="G361" s="2" t="s">
        <v>164</v>
      </c>
      <c r="H361" s="10">
        <f>WORKDAY(G361,125,'[1]Feriados y Materias'!$B$21:$B$61)</f>
        <v>46080</v>
      </c>
      <c r="I361" s="2" t="s">
        <v>192</v>
      </c>
      <c r="J361" s="2" t="s">
        <v>261</v>
      </c>
      <c r="K361" s="2" t="s">
        <v>1093</v>
      </c>
    </row>
    <row r="362" spans="1:11" x14ac:dyDescent="0.35">
      <c r="A362">
        <v>356</v>
      </c>
      <c r="B362" s="90" t="s">
        <v>16</v>
      </c>
      <c r="C362" s="2" t="s">
        <v>8</v>
      </c>
      <c r="D362" s="2" t="s">
        <v>159</v>
      </c>
      <c r="E362" s="2" t="s">
        <v>160</v>
      </c>
      <c r="F362" s="2" t="s">
        <v>631</v>
      </c>
      <c r="G362" s="2" t="s">
        <v>164</v>
      </c>
      <c r="H362" s="10">
        <f>WORKDAY(G362,125,'[1]Feriados y Materias'!$B$21:$B$61)</f>
        <v>46080</v>
      </c>
      <c r="I362" s="2" t="s">
        <v>192</v>
      </c>
      <c r="J362" s="2" t="s">
        <v>261</v>
      </c>
      <c r="K362" s="2" t="s">
        <v>1093</v>
      </c>
    </row>
    <row r="363" spans="1:11" x14ac:dyDescent="0.35">
      <c r="A363">
        <v>357</v>
      </c>
      <c r="B363" s="90" t="s">
        <v>16</v>
      </c>
      <c r="C363" s="2" t="s">
        <v>8</v>
      </c>
      <c r="D363" s="2" t="s">
        <v>159</v>
      </c>
      <c r="E363" s="2" t="s">
        <v>160</v>
      </c>
      <c r="F363" s="2" t="s">
        <v>632</v>
      </c>
      <c r="G363" s="2" t="s">
        <v>164</v>
      </c>
      <c r="H363" s="10">
        <f>WORKDAY(G363,125,'[1]Feriados y Materias'!$B$21:$B$61)</f>
        <v>46080</v>
      </c>
      <c r="I363" s="2" t="s">
        <v>192</v>
      </c>
      <c r="J363" s="2" t="s">
        <v>261</v>
      </c>
      <c r="K363" s="2" t="s">
        <v>1093</v>
      </c>
    </row>
    <row r="364" spans="1:11" x14ac:dyDescent="0.35">
      <c r="A364">
        <v>358</v>
      </c>
      <c r="B364" s="90" t="s">
        <v>16</v>
      </c>
      <c r="C364" s="2" t="s">
        <v>8</v>
      </c>
      <c r="D364" s="2" t="s">
        <v>159</v>
      </c>
      <c r="E364" s="2" t="s">
        <v>160</v>
      </c>
      <c r="F364" s="2" t="s">
        <v>633</v>
      </c>
      <c r="G364" s="2" t="s">
        <v>164</v>
      </c>
      <c r="H364" s="10">
        <f>WORKDAY(G364,125,'[1]Feriados y Materias'!$B$21:$B$61)</f>
        <v>46080</v>
      </c>
      <c r="I364" s="2" t="s">
        <v>192</v>
      </c>
      <c r="J364" s="2" t="s">
        <v>261</v>
      </c>
      <c r="K364" s="2" t="s">
        <v>1093</v>
      </c>
    </row>
    <row r="365" spans="1:11" x14ac:dyDescent="0.35">
      <c r="A365">
        <v>359</v>
      </c>
      <c r="B365" s="90" t="s">
        <v>16</v>
      </c>
      <c r="C365" s="2" t="s">
        <v>8</v>
      </c>
      <c r="D365" s="2" t="s">
        <v>159</v>
      </c>
      <c r="E365" s="2" t="s">
        <v>160</v>
      </c>
      <c r="F365" s="2" t="s">
        <v>634</v>
      </c>
      <c r="G365" s="2" t="s">
        <v>164</v>
      </c>
      <c r="H365" s="10">
        <f>WORKDAY(G365,125,'[1]Feriados y Materias'!$B$21:$B$61)</f>
        <v>46080</v>
      </c>
      <c r="I365" s="2" t="s">
        <v>192</v>
      </c>
      <c r="J365" s="2" t="s">
        <v>261</v>
      </c>
      <c r="K365" s="2" t="s">
        <v>1093</v>
      </c>
    </row>
    <row r="366" spans="1:11" x14ac:dyDescent="0.35">
      <c r="A366">
        <v>360</v>
      </c>
      <c r="B366" s="90" t="s">
        <v>16</v>
      </c>
      <c r="C366" s="2" t="s">
        <v>8</v>
      </c>
      <c r="D366" s="2" t="s">
        <v>159</v>
      </c>
      <c r="E366" s="2" t="s">
        <v>160</v>
      </c>
      <c r="F366" s="2" t="s">
        <v>635</v>
      </c>
      <c r="G366" s="2" t="s">
        <v>164</v>
      </c>
      <c r="H366" s="10">
        <f>WORKDAY(G366,125,'[1]Feriados y Materias'!$B$21:$B$61)</f>
        <v>46080</v>
      </c>
      <c r="I366" s="2" t="s">
        <v>192</v>
      </c>
      <c r="J366" s="2" t="s">
        <v>261</v>
      </c>
      <c r="K366" s="2" t="s">
        <v>1093</v>
      </c>
    </row>
    <row r="367" spans="1:11" x14ac:dyDescent="0.35">
      <c r="A367">
        <v>361</v>
      </c>
      <c r="B367" s="90" t="s">
        <v>16</v>
      </c>
      <c r="C367" s="2" t="s">
        <v>8</v>
      </c>
      <c r="D367" s="2" t="s">
        <v>159</v>
      </c>
      <c r="E367" s="2" t="s">
        <v>160</v>
      </c>
      <c r="F367" s="2" t="s">
        <v>636</v>
      </c>
      <c r="G367" s="2" t="s">
        <v>164</v>
      </c>
      <c r="H367" s="10">
        <f>WORKDAY(G367,125,'[1]Feriados y Materias'!$B$21:$B$61)</f>
        <v>46080</v>
      </c>
      <c r="I367" s="2" t="s">
        <v>192</v>
      </c>
      <c r="J367" s="2" t="s">
        <v>261</v>
      </c>
      <c r="K367" s="2" t="s">
        <v>1093</v>
      </c>
    </row>
    <row r="368" spans="1:11" x14ac:dyDescent="0.35">
      <c r="A368">
        <v>362</v>
      </c>
      <c r="B368" s="90" t="s">
        <v>16</v>
      </c>
      <c r="C368" s="2" t="s">
        <v>8</v>
      </c>
      <c r="D368" s="2" t="s">
        <v>159</v>
      </c>
      <c r="E368" s="2" t="s">
        <v>160</v>
      </c>
      <c r="F368" s="2" t="s">
        <v>637</v>
      </c>
      <c r="G368" s="2" t="s">
        <v>164</v>
      </c>
      <c r="H368" s="10">
        <f>WORKDAY(G368,125,'[1]Feriados y Materias'!$B$21:$B$61)</f>
        <v>46080</v>
      </c>
      <c r="I368" s="2" t="s">
        <v>192</v>
      </c>
      <c r="J368" s="2" t="s">
        <v>261</v>
      </c>
      <c r="K368" s="2" t="s">
        <v>1093</v>
      </c>
    </row>
    <row r="369" spans="1:11" x14ac:dyDescent="0.35">
      <c r="A369">
        <v>363</v>
      </c>
      <c r="B369" s="90" t="s">
        <v>16</v>
      </c>
      <c r="C369" s="2" t="s">
        <v>8</v>
      </c>
      <c r="D369" s="2" t="s">
        <v>159</v>
      </c>
      <c r="E369" s="2" t="s">
        <v>160</v>
      </c>
      <c r="F369" s="2" t="s">
        <v>638</v>
      </c>
      <c r="G369" s="2" t="s">
        <v>164</v>
      </c>
      <c r="H369" s="10">
        <f>WORKDAY(G369,125,'[1]Feriados y Materias'!$B$21:$B$61)</f>
        <v>46080</v>
      </c>
      <c r="I369" s="2" t="s">
        <v>192</v>
      </c>
      <c r="J369" s="2" t="s">
        <v>261</v>
      </c>
      <c r="K369" s="2" t="s">
        <v>1093</v>
      </c>
    </row>
    <row r="370" spans="1:11" x14ac:dyDescent="0.35">
      <c r="A370">
        <v>364</v>
      </c>
      <c r="B370" s="90" t="s">
        <v>16</v>
      </c>
      <c r="C370" s="2" t="s">
        <v>8</v>
      </c>
      <c r="D370" s="2" t="s">
        <v>159</v>
      </c>
      <c r="E370" s="2" t="s">
        <v>160</v>
      </c>
      <c r="F370" s="2" t="s">
        <v>639</v>
      </c>
      <c r="G370" s="2" t="s">
        <v>164</v>
      </c>
      <c r="H370" s="10">
        <f>WORKDAY(G370,125,'[1]Feriados y Materias'!$B$21:$B$61)</f>
        <v>46080</v>
      </c>
      <c r="I370" s="2" t="s">
        <v>192</v>
      </c>
      <c r="J370" s="2" t="s">
        <v>261</v>
      </c>
      <c r="K370" s="2" t="s">
        <v>1093</v>
      </c>
    </row>
    <row r="371" spans="1:11" x14ac:dyDescent="0.35">
      <c r="A371">
        <v>365</v>
      </c>
      <c r="B371" s="90" t="s">
        <v>16</v>
      </c>
      <c r="C371" s="2" t="s">
        <v>8</v>
      </c>
      <c r="D371" s="2" t="s">
        <v>159</v>
      </c>
      <c r="E371" s="2" t="s">
        <v>160</v>
      </c>
      <c r="F371" s="2" t="s">
        <v>640</v>
      </c>
      <c r="G371" s="2" t="s">
        <v>164</v>
      </c>
      <c r="H371" s="10">
        <f>WORKDAY(G371,125,'[1]Feriados y Materias'!$B$21:$B$61)</f>
        <v>46080</v>
      </c>
      <c r="I371" s="2" t="s">
        <v>192</v>
      </c>
      <c r="J371" s="2" t="s">
        <v>261</v>
      </c>
      <c r="K371" s="2" t="s">
        <v>1093</v>
      </c>
    </row>
    <row r="372" spans="1:11" x14ac:dyDescent="0.35">
      <c r="A372">
        <v>366</v>
      </c>
      <c r="B372" s="90" t="s">
        <v>16</v>
      </c>
      <c r="C372" s="2" t="s">
        <v>8</v>
      </c>
      <c r="D372" s="2" t="s">
        <v>159</v>
      </c>
      <c r="E372" s="2" t="s">
        <v>160</v>
      </c>
      <c r="F372" s="2" t="s">
        <v>641</v>
      </c>
      <c r="G372" s="2" t="s">
        <v>164</v>
      </c>
      <c r="H372" s="10">
        <f>WORKDAY(G372,125,'[1]Feriados y Materias'!$B$21:$B$61)</f>
        <v>46080</v>
      </c>
      <c r="I372" s="2" t="s">
        <v>192</v>
      </c>
      <c r="J372" s="2" t="s">
        <v>261</v>
      </c>
      <c r="K372" s="2" t="s">
        <v>1093</v>
      </c>
    </row>
    <row r="373" spans="1:11" x14ac:dyDescent="0.35">
      <c r="A373">
        <v>367</v>
      </c>
      <c r="B373" s="90" t="s">
        <v>16</v>
      </c>
      <c r="C373" s="2" t="s">
        <v>8</v>
      </c>
      <c r="D373" s="2" t="s">
        <v>159</v>
      </c>
      <c r="E373" s="2" t="s">
        <v>160</v>
      </c>
      <c r="F373" s="2" t="s">
        <v>642</v>
      </c>
      <c r="G373" s="2" t="s">
        <v>164</v>
      </c>
      <c r="H373" s="10">
        <f>WORKDAY(G373,125,'[1]Feriados y Materias'!$B$21:$B$61)</f>
        <v>46080</v>
      </c>
      <c r="I373" s="2" t="s">
        <v>192</v>
      </c>
      <c r="J373" s="2" t="s">
        <v>261</v>
      </c>
      <c r="K373" s="2" t="s">
        <v>1093</v>
      </c>
    </row>
    <row r="374" spans="1:11" x14ac:dyDescent="0.35">
      <c r="A374">
        <v>368</v>
      </c>
      <c r="B374" s="90" t="s">
        <v>16</v>
      </c>
      <c r="C374" s="2" t="s">
        <v>8</v>
      </c>
      <c r="D374" s="2" t="s">
        <v>159</v>
      </c>
      <c r="E374" s="2" t="s">
        <v>160</v>
      </c>
      <c r="F374" s="2" t="s">
        <v>643</v>
      </c>
      <c r="G374" s="2" t="s">
        <v>164</v>
      </c>
      <c r="H374" s="10">
        <f>WORKDAY(G374,125,'[1]Feriados y Materias'!$B$21:$B$61)</f>
        <v>46080</v>
      </c>
      <c r="I374" s="2" t="s">
        <v>192</v>
      </c>
      <c r="J374" s="2" t="s">
        <v>261</v>
      </c>
      <c r="K374" s="2" t="s">
        <v>1093</v>
      </c>
    </row>
    <row r="375" spans="1:11" x14ac:dyDescent="0.35">
      <c r="A375">
        <v>369</v>
      </c>
      <c r="B375" s="90" t="s">
        <v>16</v>
      </c>
      <c r="C375" s="2" t="s">
        <v>8</v>
      </c>
      <c r="D375" s="2" t="s">
        <v>159</v>
      </c>
      <c r="E375" s="2" t="s">
        <v>160</v>
      </c>
      <c r="F375" s="2" t="s">
        <v>644</v>
      </c>
      <c r="G375" s="2" t="s">
        <v>164</v>
      </c>
      <c r="H375" s="10">
        <f>WORKDAY(G375,125,'[1]Feriados y Materias'!$B$21:$B$61)</f>
        <v>46080</v>
      </c>
      <c r="I375" s="2" t="s">
        <v>192</v>
      </c>
      <c r="J375" s="2" t="s">
        <v>261</v>
      </c>
      <c r="K375" s="2" t="s">
        <v>1093</v>
      </c>
    </row>
    <row r="376" spans="1:11" x14ac:dyDescent="0.35">
      <c r="A376">
        <v>370</v>
      </c>
      <c r="B376" s="90" t="s">
        <v>16</v>
      </c>
      <c r="C376" s="2" t="s">
        <v>8</v>
      </c>
      <c r="D376" s="2" t="s">
        <v>159</v>
      </c>
      <c r="E376" s="2" t="s">
        <v>160</v>
      </c>
      <c r="F376" s="2" t="s">
        <v>645</v>
      </c>
      <c r="G376" s="2" t="s">
        <v>164</v>
      </c>
      <c r="H376" s="10">
        <f>WORKDAY(G376,125,'[1]Feriados y Materias'!$B$21:$B$61)</f>
        <v>46080</v>
      </c>
      <c r="I376" s="2" t="s">
        <v>192</v>
      </c>
      <c r="J376" s="2" t="s">
        <v>261</v>
      </c>
      <c r="K376" s="2" t="s">
        <v>1093</v>
      </c>
    </row>
    <row r="377" spans="1:11" x14ac:dyDescent="0.35">
      <c r="A377">
        <v>371</v>
      </c>
      <c r="B377" s="90" t="s">
        <v>16</v>
      </c>
      <c r="C377" s="2" t="s">
        <v>8</v>
      </c>
      <c r="D377" s="2" t="s">
        <v>159</v>
      </c>
      <c r="E377" s="2" t="s">
        <v>160</v>
      </c>
      <c r="F377" s="2" t="s">
        <v>646</v>
      </c>
      <c r="G377" s="2" t="s">
        <v>164</v>
      </c>
      <c r="H377" s="10">
        <f>WORKDAY(G377,125,'[1]Feriados y Materias'!$B$21:$B$61)</f>
        <v>46080</v>
      </c>
      <c r="I377" s="2" t="s">
        <v>192</v>
      </c>
      <c r="J377" s="2" t="s">
        <v>261</v>
      </c>
      <c r="K377" s="2" t="s">
        <v>1093</v>
      </c>
    </row>
    <row r="378" spans="1:11" x14ac:dyDescent="0.35">
      <c r="A378">
        <v>372</v>
      </c>
      <c r="B378" s="90" t="s">
        <v>16</v>
      </c>
      <c r="C378" s="2" t="s">
        <v>8</v>
      </c>
      <c r="D378" s="2" t="s">
        <v>159</v>
      </c>
      <c r="E378" s="2" t="s">
        <v>160</v>
      </c>
      <c r="F378" s="2" t="s">
        <v>647</v>
      </c>
      <c r="G378" s="2" t="s">
        <v>164</v>
      </c>
      <c r="H378" s="10">
        <f>WORKDAY(G378,125,'[1]Feriados y Materias'!$B$21:$B$61)</f>
        <v>46080</v>
      </c>
      <c r="I378" s="2" t="s">
        <v>192</v>
      </c>
      <c r="J378" s="2" t="s">
        <v>261</v>
      </c>
      <c r="K378" s="2" t="s">
        <v>1093</v>
      </c>
    </row>
    <row r="379" spans="1:11" x14ac:dyDescent="0.35">
      <c r="A379">
        <v>373</v>
      </c>
      <c r="B379" s="90" t="s">
        <v>16</v>
      </c>
      <c r="C379" s="2" t="s">
        <v>8</v>
      </c>
      <c r="D379" s="2" t="s">
        <v>159</v>
      </c>
      <c r="E379" s="2" t="s">
        <v>160</v>
      </c>
      <c r="F379" s="2" t="s">
        <v>648</v>
      </c>
      <c r="G379" s="2" t="s">
        <v>164</v>
      </c>
      <c r="H379" s="10">
        <f>WORKDAY(G379,125,'[1]Feriados y Materias'!$B$21:$B$61)</f>
        <v>46080</v>
      </c>
      <c r="I379" s="2" t="s">
        <v>192</v>
      </c>
      <c r="J379" s="2" t="s">
        <v>261</v>
      </c>
      <c r="K379" s="2" t="s">
        <v>1093</v>
      </c>
    </row>
    <row r="380" spans="1:11" x14ac:dyDescent="0.35">
      <c r="A380">
        <v>374</v>
      </c>
      <c r="B380" s="90" t="s">
        <v>16</v>
      </c>
      <c r="C380" s="2" t="s">
        <v>8</v>
      </c>
      <c r="D380" s="2" t="s">
        <v>159</v>
      </c>
      <c r="E380" s="2" t="s">
        <v>160</v>
      </c>
      <c r="F380" s="2" t="s">
        <v>649</v>
      </c>
      <c r="G380" s="2" t="s">
        <v>164</v>
      </c>
      <c r="H380" s="10">
        <f>WORKDAY(G380,125,'[1]Feriados y Materias'!$B$21:$B$61)</f>
        <v>46080</v>
      </c>
      <c r="I380" s="2" t="s">
        <v>192</v>
      </c>
      <c r="J380" s="2" t="s">
        <v>261</v>
      </c>
      <c r="K380" s="2" t="s">
        <v>1093</v>
      </c>
    </row>
    <row r="381" spans="1:11" x14ac:dyDescent="0.35">
      <c r="A381">
        <v>375</v>
      </c>
      <c r="B381" s="90" t="s">
        <v>16</v>
      </c>
      <c r="C381" s="2" t="s">
        <v>8</v>
      </c>
      <c r="D381" s="2" t="s">
        <v>159</v>
      </c>
      <c r="E381" s="2" t="s">
        <v>160</v>
      </c>
      <c r="F381" s="2" t="s">
        <v>650</v>
      </c>
      <c r="G381" s="2" t="s">
        <v>164</v>
      </c>
      <c r="H381" s="10">
        <f>WORKDAY(G381,125,'[1]Feriados y Materias'!$B$21:$B$61)</f>
        <v>46080</v>
      </c>
      <c r="I381" s="2" t="s">
        <v>192</v>
      </c>
      <c r="J381" s="2" t="s">
        <v>261</v>
      </c>
      <c r="K381" s="2" t="s">
        <v>1093</v>
      </c>
    </row>
    <row r="382" spans="1:11" x14ac:dyDescent="0.35">
      <c r="A382">
        <v>376</v>
      </c>
      <c r="B382" s="90" t="s">
        <v>16</v>
      </c>
      <c r="C382" s="2" t="s">
        <v>8</v>
      </c>
      <c r="D382" s="2" t="s">
        <v>159</v>
      </c>
      <c r="E382" s="2" t="s">
        <v>160</v>
      </c>
      <c r="F382" s="2" t="s">
        <v>651</v>
      </c>
      <c r="G382" s="2" t="s">
        <v>164</v>
      </c>
      <c r="H382" s="10">
        <f>WORKDAY(G382,125,'[1]Feriados y Materias'!$B$21:$B$61)</f>
        <v>46080</v>
      </c>
      <c r="I382" s="2" t="s">
        <v>192</v>
      </c>
      <c r="J382" s="2" t="s">
        <v>261</v>
      </c>
      <c r="K382" s="2" t="s">
        <v>1093</v>
      </c>
    </row>
    <row r="383" spans="1:11" x14ac:dyDescent="0.35">
      <c r="A383">
        <v>377</v>
      </c>
      <c r="B383" s="90" t="s">
        <v>16</v>
      </c>
      <c r="C383" s="2" t="s">
        <v>8</v>
      </c>
      <c r="D383" s="2" t="s">
        <v>159</v>
      </c>
      <c r="E383" s="2" t="s">
        <v>160</v>
      </c>
      <c r="F383" s="2" t="s">
        <v>652</v>
      </c>
      <c r="G383" s="2" t="s">
        <v>164</v>
      </c>
      <c r="H383" s="10">
        <f>WORKDAY(G383,125,'[1]Feriados y Materias'!$B$21:$B$61)</f>
        <v>46080</v>
      </c>
      <c r="I383" s="2" t="s">
        <v>192</v>
      </c>
      <c r="J383" s="2" t="s">
        <v>261</v>
      </c>
      <c r="K383" s="2" t="s">
        <v>1093</v>
      </c>
    </row>
    <row r="384" spans="1:11" x14ac:dyDescent="0.35">
      <c r="A384">
        <v>378</v>
      </c>
      <c r="B384" s="90" t="s">
        <v>16</v>
      </c>
      <c r="C384" s="2" t="s">
        <v>8</v>
      </c>
      <c r="D384" s="2" t="s">
        <v>159</v>
      </c>
      <c r="E384" s="2" t="s">
        <v>160</v>
      </c>
      <c r="F384" s="2" t="s">
        <v>653</v>
      </c>
      <c r="G384" s="2" t="s">
        <v>164</v>
      </c>
      <c r="H384" s="10">
        <f>WORKDAY(G384,125,'[1]Feriados y Materias'!$B$21:$B$61)</f>
        <v>46080</v>
      </c>
      <c r="I384" s="2" t="s">
        <v>192</v>
      </c>
      <c r="J384" s="2" t="s">
        <v>261</v>
      </c>
      <c r="K384" s="2" t="s">
        <v>1093</v>
      </c>
    </row>
    <row r="385" spans="1:11" x14ac:dyDescent="0.35">
      <c r="A385">
        <v>379</v>
      </c>
      <c r="B385" s="90" t="s">
        <v>16</v>
      </c>
      <c r="C385" s="2" t="s">
        <v>8</v>
      </c>
      <c r="D385" s="2" t="s">
        <v>159</v>
      </c>
      <c r="E385" s="2" t="s">
        <v>160</v>
      </c>
      <c r="F385" s="2" t="s">
        <v>654</v>
      </c>
      <c r="G385" s="2" t="s">
        <v>164</v>
      </c>
      <c r="H385" s="10">
        <f>WORKDAY(G385,125,'[1]Feriados y Materias'!$B$21:$B$61)</f>
        <v>46080</v>
      </c>
      <c r="I385" s="2" t="s">
        <v>192</v>
      </c>
      <c r="J385" s="2" t="s">
        <v>261</v>
      </c>
      <c r="K385" s="2" t="s">
        <v>1093</v>
      </c>
    </row>
    <row r="386" spans="1:11" x14ac:dyDescent="0.35">
      <c r="A386">
        <v>380</v>
      </c>
      <c r="B386" s="90" t="s">
        <v>16</v>
      </c>
      <c r="C386" s="2" t="s">
        <v>8</v>
      </c>
      <c r="D386" s="2" t="s">
        <v>159</v>
      </c>
      <c r="E386" s="2" t="s">
        <v>160</v>
      </c>
      <c r="F386" s="2" t="s">
        <v>655</v>
      </c>
      <c r="G386" s="2" t="s">
        <v>164</v>
      </c>
      <c r="H386" s="10">
        <f>WORKDAY(G386,125,'[1]Feriados y Materias'!$B$21:$B$61)</f>
        <v>46080</v>
      </c>
      <c r="I386" s="2" t="s">
        <v>192</v>
      </c>
      <c r="J386" s="2" t="s">
        <v>261</v>
      </c>
      <c r="K386" s="2" t="s">
        <v>1093</v>
      </c>
    </row>
    <row r="387" spans="1:11" x14ac:dyDescent="0.35">
      <c r="A387">
        <v>381</v>
      </c>
      <c r="B387" s="90" t="s">
        <v>16</v>
      </c>
      <c r="C387" s="2" t="s">
        <v>8</v>
      </c>
      <c r="D387" s="2" t="s">
        <v>159</v>
      </c>
      <c r="E387" s="2" t="s">
        <v>160</v>
      </c>
      <c r="F387" s="2" t="s">
        <v>656</v>
      </c>
      <c r="G387" s="2" t="s">
        <v>164</v>
      </c>
      <c r="H387" s="10">
        <f>WORKDAY(G387,125,'[1]Feriados y Materias'!$B$21:$B$61)</f>
        <v>46080</v>
      </c>
      <c r="I387" s="2" t="s">
        <v>192</v>
      </c>
      <c r="J387" s="2" t="s">
        <v>261</v>
      </c>
      <c r="K387" s="2" t="s">
        <v>1093</v>
      </c>
    </row>
    <row r="388" spans="1:11" x14ac:dyDescent="0.35">
      <c r="A388">
        <v>382</v>
      </c>
      <c r="B388" s="90" t="s">
        <v>16</v>
      </c>
      <c r="C388" s="2" t="s">
        <v>8</v>
      </c>
      <c r="D388" s="2" t="s">
        <v>159</v>
      </c>
      <c r="E388" s="2" t="s">
        <v>160</v>
      </c>
      <c r="F388" s="2" t="s">
        <v>657</v>
      </c>
      <c r="G388" s="2" t="s">
        <v>164</v>
      </c>
      <c r="H388" s="10">
        <f>WORKDAY(G388,125,'[1]Feriados y Materias'!$B$21:$B$61)</f>
        <v>46080</v>
      </c>
      <c r="I388" s="2" t="s">
        <v>192</v>
      </c>
      <c r="J388" s="2" t="s">
        <v>261</v>
      </c>
      <c r="K388" s="2" t="s">
        <v>1093</v>
      </c>
    </row>
    <row r="389" spans="1:11" x14ac:dyDescent="0.35">
      <c r="A389">
        <v>383</v>
      </c>
      <c r="B389" s="90" t="s">
        <v>16</v>
      </c>
      <c r="C389" s="2" t="s">
        <v>8</v>
      </c>
      <c r="D389" s="2" t="s">
        <v>159</v>
      </c>
      <c r="E389" s="2" t="s">
        <v>160</v>
      </c>
      <c r="F389" s="2" t="s">
        <v>658</v>
      </c>
      <c r="G389" s="2" t="s">
        <v>164</v>
      </c>
      <c r="H389" s="10">
        <f>WORKDAY(G389,125,'[1]Feriados y Materias'!$B$21:$B$61)</f>
        <v>46080</v>
      </c>
      <c r="I389" s="2" t="s">
        <v>192</v>
      </c>
      <c r="J389" s="2" t="s">
        <v>261</v>
      </c>
      <c r="K389" s="2" t="s">
        <v>1093</v>
      </c>
    </row>
    <row r="390" spans="1:11" x14ac:dyDescent="0.35">
      <c r="A390">
        <v>384</v>
      </c>
      <c r="B390" s="90" t="s">
        <v>16</v>
      </c>
      <c r="C390" s="2" t="s">
        <v>8</v>
      </c>
      <c r="D390" s="2" t="s">
        <v>159</v>
      </c>
      <c r="E390" s="2" t="s">
        <v>160</v>
      </c>
      <c r="F390" s="2" t="s">
        <v>659</v>
      </c>
      <c r="G390" s="2" t="s">
        <v>164</v>
      </c>
      <c r="H390" s="10">
        <f>WORKDAY(G390,125,'[1]Feriados y Materias'!$B$21:$B$61)</f>
        <v>46080</v>
      </c>
      <c r="I390" s="2" t="s">
        <v>192</v>
      </c>
      <c r="J390" s="2" t="s">
        <v>261</v>
      </c>
      <c r="K390" s="2" t="s">
        <v>1093</v>
      </c>
    </row>
    <row r="391" spans="1:11" x14ac:dyDescent="0.35">
      <c r="A391">
        <v>385</v>
      </c>
      <c r="B391" s="90" t="s">
        <v>16</v>
      </c>
      <c r="C391" s="2" t="s">
        <v>8</v>
      </c>
      <c r="D391" s="2" t="s">
        <v>159</v>
      </c>
      <c r="E391" s="2" t="s">
        <v>160</v>
      </c>
      <c r="F391" s="2" t="s">
        <v>660</v>
      </c>
      <c r="G391" s="2" t="s">
        <v>164</v>
      </c>
      <c r="H391" s="10">
        <f>WORKDAY(G391,125,'[1]Feriados y Materias'!$B$21:$B$61)</f>
        <v>46080</v>
      </c>
      <c r="I391" s="2" t="s">
        <v>192</v>
      </c>
      <c r="J391" s="2" t="s">
        <v>261</v>
      </c>
      <c r="K391" s="2" t="s">
        <v>1093</v>
      </c>
    </row>
    <row r="392" spans="1:11" x14ac:dyDescent="0.35">
      <c r="A392">
        <v>386</v>
      </c>
      <c r="B392" s="90" t="s">
        <v>16</v>
      </c>
      <c r="C392" s="2" t="s">
        <v>8</v>
      </c>
      <c r="D392" s="2" t="s">
        <v>159</v>
      </c>
      <c r="E392" s="2" t="s">
        <v>160</v>
      </c>
      <c r="F392" s="2" t="s">
        <v>661</v>
      </c>
      <c r="G392" s="2" t="s">
        <v>164</v>
      </c>
      <c r="H392" s="10">
        <f>WORKDAY(G392,125,'[1]Feriados y Materias'!$B$21:$B$61)</f>
        <v>46080</v>
      </c>
      <c r="I392" s="2" t="s">
        <v>192</v>
      </c>
      <c r="J392" s="2" t="s">
        <v>261</v>
      </c>
      <c r="K392" s="2" t="s">
        <v>1093</v>
      </c>
    </row>
    <row r="393" spans="1:11" x14ac:dyDescent="0.35">
      <c r="A393">
        <v>387</v>
      </c>
      <c r="B393" s="90" t="s">
        <v>16</v>
      </c>
      <c r="C393" s="2" t="s">
        <v>8</v>
      </c>
      <c r="D393" s="2" t="s">
        <v>159</v>
      </c>
      <c r="E393" s="2" t="s">
        <v>160</v>
      </c>
      <c r="F393" s="2" t="s">
        <v>662</v>
      </c>
      <c r="G393" s="2" t="s">
        <v>164</v>
      </c>
      <c r="H393" s="10">
        <f>WORKDAY(G393,125,'[1]Feriados y Materias'!$B$21:$B$61)</f>
        <v>46080</v>
      </c>
      <c r="I393" s="2" t="s">
        <v>192</v>
      </c>
      <c r="J393" s="2" t="s">
        <v>261</v>
      </c>
      <c r="K393" s="2" t="s">
        <v>1093</v>
      </c>
    </row>
    <row r="394" spans="1:11" x14ac:dyDescent="0.35">
      <c r="A394">
        <v>388</v>
      </c>
      <c r="B394" s="90" t="s">
        <v>16</v>
      </c>
      <c r="C394" s="2" t="s">
        <v>8</v>
      </c>
      <c r="D394" s="2" t="s">
        <v>159</v>
      </c>
      <c r="E394" s="2" t="s">
        <v>160</v>
      </c>
      <c r="F394" s="2" t="s">
        <v>663</v>
      </c>
      <c r="G394" s="2" t="s">
        <v>164</v>
      </c>
      <c r="H394" s="10">
        <f>WORKDAY(G394,125,'[1]Feriados y Materias'!$B$21:$B$61)</f>
        <v>46080</v>
      </c>
      <c r="I394" s="2" t="s">
        <v>192</v>
      </c>
      <c r="J394" s="2" t="s">
        <v>261</v>
      </c>
      <c r="K394" s="2" t="s">
        <v>1093</v>
      </c>
    </row>
    <row r="395" spans="1:11" x14ac:dyDescent="0.35">
      <c r="A395">
        <v>389</v>
      </c>
      <c r="B395" s="90" t="s">
        <v>16</v>
      </c>
      <c r="C395" s="2" t="s">
        <v>8</v>
      </c>
      <c r="D395" s="2" t="s">
        <v>159</v>
      </c>
      <c r="E395" s="2" t="s">
        <v>160</v>
      </c>
      <c r="F395" s="2" t="s">
        <v>664</v>
      </c>
      <c r="G395" s="2" t="s">
        <v>164</v>
      </c>
      <c r="H395" s="10">
        <f>WORKDAY(G395,125,'[1]Feriados y Materias'!$B$21:$B$61)</f>
        <v>46080</v>
      </c>
      <c r="I395" s="2" t="s">
        <v>192</v>
      </c>
      <c r="J395" s="2" t="s">
        <v>261</v>
      </c>
      <c r="K395" s="2" t="s">
        <v>1093</v>
      </c>
    </row>
    <row r="396" spans="1:11" x14ac:dyDescent="0.35">
      <c r="A396">
        <v>390</v>
      </c>
      <c r="B396" s="90" t="s">
        <v>16</v>
      </c>
      <c r="C396" s="2" t="s">
        <v>8</v>
      </c>
      <c r="D396" s="2" t="s">
        <v>159</v>
      </c>
      <c r="E396" s="2" t="s">
        <v>160</v>
      </c>
      <c r="F396" s="2" t="s">
        <v>665</v>
      </c>
      <c r="G396" s="2" t="s">
        <v>164</v>
      </c>
      <c r="H396" s="10">
        <f>WORKDAY(G396,125,'[1]Feriados y Materias'!$B$21:$B$61)</f>
        <v>46080</v>
      </c>
      <c r="I396" s="2" t="s">
        <v>192</v>
      </c>
      <c r="J396" s="2" t="s">
        <v>261</v>
      </c>
      <c r="K396" s="2" t="s">
        <v>1093</v>
      </c>
    </row>
    <row r="397" spans="1:11" x14ac:dyDescent="0.35">
      <c r="A397">
        <v>391</v>
      </c>
      <c r="B397" s="90" t="s">
        <v>16</v>
      </c>
      <c r="C397" s="2" t="s">
        <v>8</v>
      </c>
      <c r="D397" s="2" t="s">
        <v>159</v>
      </c>
      <c r="E397" s="2" t="s">
        <v>160</v>
      </c>
      <c r="F397" s="2" t="s">
        <v>666</v>
      </c>
      <c r="G397" s="2" t="s">
        <v>164</v>
      </c>
      <c r="H397" s="10">
        <f>WORKDAY(G397,125,'[1]Feriados y Materias'!$B$21:$B$61)</f>
        <v>46080</v>
      </c>
      <c r="I397" s="2" t="s">
        <v>192</v>
      </c>
      <c r="J397" s="2" t="s">
        <v>261</v>
      </c>
      <c r="K397" s="2" t="s">
        <v>1093</v>
      </c>
    </row>
    <row r="398" spans="1:11" x14ac:dyDescent="0.35">
      <c r="A398">
        <v>392</v>
      </c>
      <c r="B398" s="90" t="s">
        <v>16</v>
      </c>
      <c r="C398" s="2" t="s">
        <v>8</v>
      </c>
      <c r="D398" s="2" t="s">
        <v>159</v>
      </c>
      <c r="E398" s="2" t="s">
        <v>160</v>
      </c>
      <c r="F398" s="2" t="s">
        <v>667</v>
      </c>
      <c r="G398" s="2" t="s">
        <v>164</v>
      </c>
      <c r="H398" s="10">
        <f>WORKDAY(G398,125,'[1]Feriados y Materias'!$B$21:$B$61)</f>
        <v>46080</v>
      </c>
      <c r="I398" s="2" t="s">
        <v>192</v>
      </c>
      <c r="J398" s="2" t="s">
        <v>261</v>
      </c>
      <c r="K398" s="2" t="s">
        <v>1093</v>
      </c>
    </row>
    <row r="399" spans="1:11" x14ac:dyDescent="0.35">
      <c r="A399">
        <v>393</v>
      </c>
      <c r="B399" s="90" t="s">
        <v>16</v>
      </c>
      <c r="C399" s="2" t="s">
        <v>8</v>
      </c>
      <c r="D399" s="2" t="s">
        <v>159</v>
      </c>
      <c r="E399" s="2" t="s">
        <v>160</v>
      </c>
      <c r="F399" s="2" t="s">
        <v>668</v>
      </c>
      <c r="G399" s="2" t="s">
        <v>164</v>
      </c>
      <c r="H399" s="10">
        <f>WORKDAY(G399,125,'[1]Feriados y Materias'!$B$21:$B$61)</f>
        <v>46080</v>
      </c>
      <c r="I399" s="2" t="s">
        <v>192</v>
      </c>
      <c r="J399" s="2" t="s">
        <v>261</v>
      </c>
      <c r="K399" s="2" t="s">
        <v>1093</v>
      </c>
    </row>
    <row r="400" spans="1:11" x14ac:dyDescent="0.35">
      <c r="A400">
        <v>394</v>
      </c>
      <c r="B400" s="90" t="s">
        <v>16</v>
      </c>
      <c r="C400" s="2" t="s">
        <v>8</v>
      </c>
      <c r="D400" s="2" t="s">
        <v>159</v>
      </c>
      <c r="E400" s="2" t="s">
        <v>160</v>
      </c>
      <c r="F400" s="2" t="s">
        <v>669</v>
      </c>
      <c r="G400" s="2" t="s">
        <v>164</v>
      </c>
      <c r="H400" s="10">
        <f>WORKDAY(G400,125,'[1]Feriados y Materias'!$B$21:$B$61)</f>
        <v>46080</v>
      </c>
      <c r="I400" s="2" t="s">
        <v>192</v>
      </c>
      <c r="J400" s="2" t="s">
        <v>261</v>
      </c>
      <c r="K400" s="2" t="s">
        <v>1093</v>
      </c>
    </row>
    <row r="401" spans="1:11" x14ac:dyDescent="0.35">
      <c r="A401">
        <v>395</v>
      </c>
      <c r="B401" s="90" t="s">
        <v>16</v>
      </c>
      <c r="C401" s="2" t="s">
        <v>8</v>
      </c>
      <c r="D401" s="2" t="s">
        <v>159</v>
      </c>
      <c r="E401" s="2" t="s">
        <v>160</v>
      </c>
      <c r="F401" s="2" t="s">
        <v>670</v>
      </c>
      <c r="G401" s="2" t="s">
        <v>164</v>
      </c>
      <c r="H401" s="10">
        <f>WORKDAY(G401,125,'[1]Feriados y Materias'!$B$21:$B$61)</f>
        <v>46080</v>
      </c>
      <c r="I401" s="2" t="s">
        <v>192</v>
      </c>
      <c r="J401" s="2" t="s">
        <v>261</v>
      </c>
      <c r="K401" s="2" t="s">
        <v>1093</v>
      </c>
    </row>
    <row r="402" spans="1:11" x14ac:dyDescent="0.35">
      <c r="A402">
        <v>396</v>
      </c>
      <c r="B402" s="90" t="s">
        <v>16</v>
      </c>
      <c r="C402" s="2" t="s">
        <v>8</v>
      </c>
      <c r="D402" s="2" t="s">
        <v>159</v>
      </c>
      <c r="E402" s="2" t="s">
        <v>160</v>
      </c>
      <c r="F402" s="2" t="s">
        <v>671</v>
      </c>
      <c r="G402" s="2" t="s">
        <v>164</v>
      </c>
      <c r="H402" s="10">
        <f>WORKDAY(G402,125,'[1]Feriados y Materias'!$B$21:$B$61)</f>
        <v>46080</v>
      </c>
      <c r="I402" s="2" t="s">
        <v>192</v>
      </c>
      <c r="J402" s="2" t="s">
        <v>261</v>
      </c>
      <c r="K402" s="2" t="s">
        <v>1093</v>
      </c>
    </row>
    <row r="403" spans="1:11" x14ac:dyDescent="0.35">
      <c r="A403">
        <v>397</v>
      </c>
      <c r="B403" s="90" t="s">
        <v>16</v>
      </c>
      <c r="C403" s="2" t="s">
        <v>8</v>
      </c>
      <c r="D403" s="2" t="s">
        <v>159</v>
      </c>
      <c r="E403" s="2" t="s">
        <v>160</v>
      </c>
      <c r="F403" s="2" t="s">
        <v>672</v>
      </c>
      <c r="G403" s="2" t="s">
        <v>164</v>
      </c>
      <c r="H403" s="10">
        <f>WORKDAY(G403,125,'[1]Feriados y Materias'!$B$21:$B$61)</f>
        <v>46080</v>
      </c>
      <c r="I403" s="2" t="s">
        <v>192</v>
      </c>
      <c r="J403" s="2" t="s">
        <v>261</v>
      </c>
      <c r="K403" s="2" t="s">
        <v>1093</v>
      </c>
    </row>
    <row r="404" spans="1:11" x14ac:dyDescent="0.35">
      <c r="A404">
        <v>398</v>
      </c>
      <c r="B404" s="90" t="s">
        <v>16</v>
      </c>
      <c r="C404" s="2" t="s">
        <v>8</v>
      </c>
      <c r="D404" s="2" t="s">
        <v>159</v>
      </c>
      <c r="E404" s="2" t="s">
        <v>160</v>
      </c>
      <c r="F404" s="2" t="s">
        <v>673</v>
      </c>
      <c r="G404" s="2" t="s">
        <v>164</v>
      </c>
      <c r="H404" s="10">
        <f>WORKDAY(G404,125,'[1]Feriados y Materias'!$B$21:$B$61)</f>
        <v>46080</v>
      </c>
      <c r="I404" s="2" t="s">
        <v>192</v>
      </c>
      <c r="J404" s="2" t="s">
        <v>261</v>
      </c>
      <c r="K404" s="2" t="s">
        <v>1093</v>
      </c>
    </row>
    <row r="405" spans="1:11" x14ac:dyDescent="0.35">
      <c r="A405">
        <v>399</v>
      </c>
      <c r="B405" s="90" t="s">
        <v>16</v>
      </c>
      <c r="C405" s="2" t="s">
        <v>8</v>
      </c>
      <c r="D405" s="2" t="s">
        <v>159</v>
      </c>
      <c r="E405" s="2" t="s">
        <v>160</v>
      </c>
      <c r="F405" s="2" t="s">
        <v>674</v>
      </c>
      <c r="G405" s="2" t="s">
        <v>164</v>
      </c>
      <c r="H405" s="10">
        <f>WORKDAY(G405,125,'[1]Feriados y Materias'!$B$21:$B$61)</f>
        <v>46080</v>
      </c>
      <c r="I405" s="2" t="s">
        <v>192</v>
      </c>
      <c r="J405" s="2" t="s">
        <v>261</v>
      </c>
      <c r="K405" s="2" t="s">
        <v>1093</v>
      </c>
    </row>
    <row r="406" spans="1:11" x14ac:dyDescent="0.35">
      <c r="A406">
        <v>400</v>
      </c>
      <c r="B406" s="90" t="s">
        <v>16</v>
      </c>
      <c r="C406" s="2" t="s">
        <v>8</v>
      </c>
      <c r="D406" s="2" t="s">
        <v>159</v>
      </c>
      <c r="E406" s="2" t="s">
        <v>160</v>
      </c>
      <c r="F406" s="2" t="s">
        <v>675</v>
      </c>
      <c r="G406" s="2" t="s">
        <v>164</v>
      </c>
      <c r="H406" s="10">
        <f>WORKDAY(G406,125,'[1]Feriados y Materias'!$B$21:$B$61)</f>
        <v>46080</v>
      </c>
      <c r="I406" s="2" t="s">
        <v>192</v>
      </c>
      <c r="J406" s="2" t="s">
        <v>261</v>
      </c>
      <c r="K406" s="2" t="s">
        <v>1093</v>
      </c>
    </row>
    <row r="407" spans="1:11" x14ac:dyDescent="0.35">
      <c r="A407">
        <v>401</v>
      </c>
      <c r="B407" s="90" t="s">
        <v>16</v>
      </c>
      <c r="C407" s="2" t="s">
        <v>8</v>
      </c>
      <c r="D407" s="2" t="s">
        <v>159</v>
      </c>
      <c r="E407" s="2" t="s">
        <v>160</v>
      </c>
      <c r="F407" s="2" t="s">
        <v>676</v>
      </c>
      <c r="G407" s="2" t="s">
        <v>164</v>
      </c>
      <c r="H407" s="10">
        <f>WORKDAY(G407,125,'[1]Feriados y Materias'!$B$21:$B$61)</f>
        <v>46080</v>
      </c>
      <c r="I407" s="2" t="s">
        <v>192</v>
      </c>
      <c r="J407" s="2" t="s">
        <v>261</v>
      </c>
      <c r="K407" s="2" t="s">
        <v>1093</v>
      </c>
    </row>
    <row r="408" spans="1:11" x14ac:dyDescent="0.35">
      <c r="A408">
        <v>402</v>
      </c>
      <c r="B408" s="90" t="s">
        <v>16</v>
      </c>
      <c r="C408" s="2" t="s">
        <v>8</v>
      </c>
      <c r="D408" s="2" t="s">
        <v>159</v>
      </c>
      <c r="E408" s="2" t="s">
        <v>160</v>
      </c>
      <c r="F408" s="2" t="s">
        <v>677</v>
      </c>
      <c r="G408" s="2" t="s">
        <v>164</v>
      </c>
      <c r="H408" s="10">
        <f>WORKDAY(G408,125,'[1]Feriados y Materias'!$B$21:$B$61)</f>
        <v>46080</v>
      </c>
      <c r="I408" s="2" t="s">
        <v>192</v>
      </c>
      <c r="J408" s="2" t="s">
        <v>261</v>
      </c>
      <c r="K408" s="2" t="s">
        <v>1093</v>
      </c>
    </row>
    <row r="409" spans="1:11" x14ac:dyDescent="0.35">
      <c r="A409">
        <v>403</v>
      </c>
      <c r="B409" s="90" t="s">
        <v>16</v>
      </c>
      <c r="C409" s="2" t="s">
        <v>8</v>
      </c>
      <c r="D409" s="2" t="s">
        <v>159</v>
      </c>
      <c r="E409" s="2" t="s">
        <v>160</v>
      </c>
      <c r="F409" s="2" t="s">
        <v>678</v>
      </c>
      <c r="G409" s="2" t="s">
        <v>164</v>
      </c>
      <c r="H409" s="10">
        <f>WORKDAY(G409,125,'[1]Feriados y Materias'!$B$21:$B$61)</f>
        <v>46080</v>
      </c>
      <c r="I409" s="2" t="s">
        <v>192</v>
      </c>
      <c r="J409" s="2" t="s">
        <v>261</v>
      </c>
      <c r="K409" s="2" t="s">
        <v>1093</v>
      </c>
    </row>
    <row r="410" spans="1:11" x14ac:dyDescent="0.35">
      <c r="A410">
        <v>404</v>
      </c>
      <c r="B410" s="90" t="s">
        <v>16</v>
      </c>
      <c r="C410" s="2" t="s">
        <v>8</v>
      </c>
      <c r="D410" s="2" t="s">
        <v>159</v>
      </c>
      <c r="E410" s="2" t="s">
        <v>160</v>
      </c>
      <c r="F410" s="2" t="s">
        <v>679</v>
      </c>
      <c r="G410" s="2" t="s">
        <v>164</v>
      </c>
      <c r="H410" s="10">
        <f>WORKDAY(G410,125,'[1]Feriados y Materias'!$B$21:$B$61)</f>
        <v>46080</v>
      </c>
      <c r="I410" s="2" t="s">
        <v>192</v>
      </c>
      <c r="J410" s="2" t="s">
        <v>261</v>
      </c>
      <c r="K410" s="2" t="s">
        <v>1093</v>
      </c>
    </row>
    <row r="411" spans="1:11" x14ac:dyDescent="0.35">
      <c r="A411">
        <v>405</v>
      </c>
      <c r="B411" s="90" t="s">
        <v>16</v>
      </c>
      <c r="C411" s="2" t="s">
        <v>8</v>
      </c>
      <c r="D411" s="2" t="s">
        <v>159</v>
      </c>
      <c r="E411" s="2" t="s">
        <v>160</v>
      </c>
      <c r="F411" s="2" t="s">
        <v>680</v>
      </c>
      <c r="G411" s="2" t="s">
        <v>164</v>
      </c>
      <c r="H411" s="10">
        <f>WORKDAY(G411,125,'[1]Feriados y Materias'!$B$21:$B$61)</f>
        <v>46080</v>
      </c>
      <c r="I411" s="2" t="s">
        <v>192</v>
      </c>
      <c r="J411" s="2" t="s">
        <v>261</v>
      </c>
      <c r="K411" s="2" t="s">
        <v>1093</v>
      </c>
    </row>
    <row r="412" spans="1:11" x14ac:dyDescent="0.35">
      <c r="A412">
        <v>406</v>
      </c>
      <c r="B412" s="90" t="s">
        <v>16</v>
      </c>
      <c r="C412" s="2" t="s">
        <v>8</v>
      </c>
      <c r="D412" s="2" t="s">
        <v>159</v>
      </c>
      <c r="E412" s="2" t="s">
        <v>160</v>
      </c>
      <c r="F412" s="2" t="s">
        <v>681</v>
      </c>
      <c r="G412" s="2" t="s">
        <v>164</v>
      </c>
      <c r="H412" s="10">
        <f>WORKDAY(G412,125,'[1]Feriados y Materias'!$B$21:$B$61)</f>
        <v>46080</v>
      </c>
      <c r="I412" s="2" t="s">
        <v>192</v>
      </c>
      <c r="J412" s="2" t="s">
        <v>261</v>
      </c>
      <c r="K412" s="2" t="s">
        <v>1093</v>
      </c>
    </row>
    <row r="413" spans="1:11" x14ac:dyDescent="0.35">
      <c r="A413">
        <v>407</v>
      </c>
      <c r="B413" s="90" t="s">
        <v>16</v>
      </c>
      <c r="C413" s="2" t="s">
        <v>8</v>
      </c>
      <c r="D413" s="2" t="s">
        <v>159</v>
      </c>
      <c r="E413" s="2" t="s">
        <v>160</v>
      </c>
      <c r="F413" s="2" t="s">
        <v>682</v>
      </c>
      <c r="G413" s="2" t="s">
        <v>164</v>
      </c>
      <c r="H413" s="10">
        <f>WORKDAY(G413,125,'[1]Feriados y Materias'!$B$21:$B$61)</f>
        <v>46080</v>
      </c>
      <c r="I413" s="2" t="s">
        <v>192</v>
      </c>
      <c r="J413" s="2" t="s">
        <v>261</v>
      </c>
      <c r="K413" s="2" t="s">
        <v>1093</v>
      </c>
    </row>
    <row r="414" spans="1:11" x14ac:dyDescent="0.35">
      <c r="A414">
        <v>408</v>
      </c>
      <c r="B414" s="90" t="s">
        <v>16</v>
      </c>
      <c r="C414" s="2" t="s">
        <v>8</v>
      </c>
      <c r="D414" s="2" t="s">
        <v>159</v>
      </c>
      <c r="E414" s="2" t="s">
        <v>160</v>
      </c>
      <c r="F414" s="2" t="s">
        <v>683</v>
      </c>
      <c r="G414" s="2" t="s">
        <v>164</v>
      </c>
      <c r="H414" s="10">
        <f>WORKDAY(G414,125,'[1]Feriados y Materias'!$B$21:$B$61)</f>
        <v>46080</v>
      </c>
      <c r="I414" s="2" t="s">
        <v>192</v>
      </c>
      <c r="J414" s="2" t="s">
        <v>261</v>
      </c>
      <c r="K414" s="2" t="s">
        <v>1093</v>
      </c>
    </row>
    <row r="415" spans="1:11" x14ac:dyDescent="0.35">
      <c r="A415">
        <v>409</v>
      </c>
      <c r="B415" s="90" t="s">
        <v>16</v>
      </c>
      <c r="C415" s="2" t="s">
        <v>8</v>
      </c>
      <c r="D415" s="2" t="s">
        <v>159</v>
      </c>
      <c r="E415" s="2" t="s">
        <v>160</v>
      </c>
      <c r="F415" s="2" t="s">
        <v>684</v>
      </c>
      <c r="G415" s="2" t="s">
        <v>164</v>
      </c>
      <c r="H415" s="10">
        <f>WORKDAY(G415,125,'[1]Feriados y Materias'!$B$21:$B$61)</f>
        <v>46080</v>
      </c>
      <c r="I415" s="2" t="s">
        <v>192</v>
      </c>
      <c r="J415" s="2" t="s">
        <v>261</v>
      </c>
      <c r="K415" s="2" t="s">
        <v>1093</v>
      </c>
    </row>
    <row r="416" spans="1:11" x14ac:dyDescent="0.35">
      <c r="A416">
        <v>410</v>
      </c>
      <c r="B416" s="90" t="s">
        <v>16</v>
      </c>
      <c r="C416" s="2" t="s">
        <v>8</v>
      </c>
      <c r="D416" s="2" t="s">
        <v>159</v>
      </c>
      <c r="E416" s="2" t="s">
        <v>160</v>
      </c>
      <c r="F416" s="2" t="s">
        <v>685</v>
      </c>
      <c r="G416" s="2" t="s">
        <v>164</v>
      </c>
      <c r="H416" s="10">
        <f>WORKDAY(G416,125,'[1]Feriados y Materias'!$B$21:$B$61)</f>
        <v>46080</v>
      </c>
      <c r="I416" s="2" t="s">
        <v>192</v>
      </c>
      <c r="J416" s="2" t="s">
        <v>261</v>
      </c>
      <c r="K416" s="2" t="s">
        <v>1093</v>
      </c>
    </row>
    <row r="417" spans="1:11" x14ac:dyDescent="0.35">
      <c r="A417">
        <v>411</v>
      </c>
      <c r="B417" s="90" t="s">
        <v>16</v>
      </c>
      <c r="C417" s="2" t="s">
        <v>8</v>
      </c>
      <c r="D417" s="2" t="s">
        <v>159</v>
      </c>
      <c r="E417" s="2" t="s">
        <v>160</v>
      </c>
      <c r="F417" s="2" t="s">
        <v>686</v>
      </c>
      <c r="G417" s="2" t="s">
        <v>164</v>
      </c>
      <c r="H417" s="10">
        <f>WORKDAY(G417,125,'[1]Feriados y Materias'!$B$21:$B$61)</f>
        <v>46080</v>
      </c>
      <c r="I417" s="2" t="s">
        <v>192</v>
      </c>
      <c r="J417" s="2" t="s">
        <v>261</v>
      </c>
      <c r="K417" s="2" t="s">
        <v>1093</v>
      </c>
    </row>
    <row r="418" spans="1:11" x14ac:dyDescent="0.35">
      <c r="A418">
        <v>412</v>
      </c>
      <c r="B418" s="90" t="s">
        <v>16</v>
      </c>
      <c r="C418" s="2" t="s">
        <v>8</v>
      </c>
      <c r="D418" s="2" t="s">
        <v>159</v>
      </c>
      <c r="E418" s="2" t="s">
        <v>160</v>
      </c>
      <c r="F418" s="2" t="s">
        <v>687</v>
      </c>
      <c r="G418" s="2" t="s">
        <v>164</v>
      </c>
      <c r="H418" s="10">
        <f>WORKDAY(G418,125,'[1]Feriados y Materias'!$B$21:$B$61)</f>
        <v>46080</v>
      </c>
      <c r="I418" s="2" t="s">
        <v>192</v>
      </c>
      <c r="J418" s="2" t="s">
        <v>261</v>
      </c>
      <c r="K418" s="2" t="s">
        <v>1093</v>
      </c>
    </row>
    <row r="419" spans="1:11" x14ac:dyDescent="0.35">
      <c r="A419">
        <v>413</v>
      </c>
      <c r="B419" s="90" t="s">
        <v>16</v>
      </c>
      <c r="C419" s="2" t="s">
        <v>8</v>
      </c>
      <c r="D419" s="2" t="s">
        <v>159</v>
      </c>
      <c r="E419" s="2" t="s">
        <v>160</v>
      </c>
      <c r="F419" s="2" t="s">
        <v>688</v>
      </c>
      <c r="G419" s="2" t="s">
        <v>164</v>
      </c>
      <c r="H419" s="10">
        <f>WORKDAY(G419,125,'[1]Feriados y Materias'!$B$21:$B$61)</f>
        <v>46080</v>
      </c>
      <c r="I419" s="2" t="s">
        <v>192</v>
      </c>
      <c r="J419" s="2" t="s">
        <v>261</v>
      </c>
      <c r="K419" s="2" t="s">
        <v>1093</v>
      </c>
    </row>
    <row r="420" spans="1:11" x14ac:dyDescent="0.35">
      <c r="A420">
        <v>414</v>
      </c>
      <c r="B420" s="90" t="s">
        <v>16</v>
      </c>
      <c r="C420" s="2" t="s">
        <v>8</v>
      </c>
      <c r="D420" s="2" t="s">
        <v>159</v>
      </c>
      <c r="E420" s="2" t="s">
        <v>160</v>
      </c>
      <c r="F420" s="2" t="s">
        <v>689</v>
      </c>
      <c r="G420" s="2" t="s">
        <v>164</v>
      </c>
      <c r="H420" s="10">
        <f>WORKDAY(G420,125,'[1]Feriados y Materias'!$B$21:$B$61)</f>
        <v>46080</v>
      </c>
      <c r="I420" s="2" t="s">
        <v>192</v>
      </c>
      <c r="J420" s="2" t="s">
        <v>261</v>
      </c>
      <c r="K420" s="2" t="s">
        <v>1093</v>
      </c>
    </row>
    <row r="421" spans="1:11" x14ac:dyDescent="0.35">
      <c r="A421">
        <v>415</v>
      </c>
      <c r="B421" s="90" t="s">
        <v>16</v>
      </c>
      <c r="C421" s="2" t="s">
        <v>8</v>
      </c>
      <c r="D421" s="2" t="s">
        <v>159</v>
      </c>
      <c r="E421" s="2" t="s">
        <v>160</v>
      </c>
      <c r="F421" s="2" t="s">
        <v>690</v>
      </c>
      <c r="G421" s="2" t="s">
        <v>164</v>
      </c>
      <c r="H421" s="10">
        <f>WORKDAY(G421,125,'[1]Feriados y Materias'!$B$21:$B$61)</f>
        <v>46080</v>
      </c>
      <c r="I421" s="2" t="s">
        <v>192</v>
      </c>
      <c r="J421" s="2" t="s">
        <v>261</v>
      </c>
      <c r="K421" s="2" t="s">
        <v>1093</v>
      </c>
    </row>
    <row r="422" spans="1:11" x14ac:dyDescent="0.35">
      <c r="A422">
        <v>416</v>
      </c>
      <c r="B422" s="90" t="s">
        <v>16</v>
      </c>
      <c r="C422" s="2" t="s">
        <v>8</v>
      </c>
      <c r="D422" s="2" t="s">
        <v>159</v>
      </c>
      <c r="E422" s="2" t="s">
        <v>160</v>
      </c>
      <c r="F422" s="2" t="s">
        <v>691</v>
      </c>
      <c r="G422" s="2" t="s">
        <v>164</v>
      </c>
      <c r="H422" s="10">
        <f>WORKDAY(G422,125,'[1]Feriados y Materias'!$B$21:$B$61)</f>
        <v>46080</v>
      </c>
      <c r="I422" s="2" t="s">
        <v>192</v>
      </c>
      <c r="J422" s="2" t="s">
        <v>261</v>
      </c>
      <c r="K422" s="2" t="s">
        <v>1093</v>
      </c>
    </row>
    <row r="423" spans="1:11" x14ac:dyDescent="0.35">
      <c r="A423">
        <v>417</v>
      </c>
      <c r="B423" s="90" t="s">
        <v>16</v>
      </c>
      <c r="C423" s="2" t="s">
        <v>8</v>
      </c>
      <c r="D423" s="2" t="s">
        <v>159</v>
      </c>
      <c r="E423" s="2" t="s">
        <v>160</v>
      </c>
      <c r="F423" s="2" t="s">
        <v>692</v>
      </c>
      <c r="G423" s="2" t="s">
        <v>164</v>
      </c>
      <c r="H423" s="10">
        <f>WORKDAY(G423,125,'[1]Feriados y Materias'!$B$21:$B$61)</f>
        <v>46080</v>
      </c>
      <c r="I423" s="2" t="s">
        <v>192</v>
      </c>
      <c r="J423" s="2" t="s">
        <v>261</v>
      </c>
      <c r="K423" s="2" t="s">
        <v>1093</v>
      </c>
    </row>
    <row r="424" spans="1:11" x14ac:dyDescent="0.35">
      <c r="A424">
        <v>418</v>
      </c>
      <c r="B424" s="90" t="s">
        <v>16</v>
      </c>
      <c r="C424" s="2" t="s">
        <v>8</v>
      </c>
      <c r="D424" s="2" t="s">
        <v>159</v>
      </c>
      <c r="E424" s="2" t="s">
        <v>160</v>
      </c>
      <c r="F424" s="2" t="s">
        <v>693</v>
      </c>
      <c r="G424" s="2" t="s">
        <v>164</v>
      </c>
      <c r="H424" s="10">
        <f>WORKDAY(G424,125,'[1]Feriados y Materias'!$B$21:$B$61)</f>
        <v>46080</v>
      </c>
      <c r="I424" s="2" t="s">
        <v>192</v>
      </c>
      <c r="J424" s="2" t="s">
        <v>261</v>
      </c>
      <c r="K424" s="2" t="s">
        <v>1093</v>
      </c>
    </row>
    <row r="425" spans="1:11" x14ac:dyDescent="0.35">
      <c r="A425">
        <v>419</v>
      </c>
      <c r="B425" s="90" t="s">
        <v>16</v>
      </c>
      <c r="C425" s="2" t="s">
        <v>8</v>
      </c>
      <c r="D425" s="2" t="s">
        <v>159</v>
      </c>
      <c r="E425" s="2" t="s">
        <v>160</v>
      </c>
      <c r="F425" s="2" t="s">
        <v>694</v>
      </c>
      <c r="G425" s="2" t="s">
        <v>164</v>
      </c>
      <c r="H425" s="10">
        <f>WORKDAY(G425,125,'[1]Feriados y Materias'!$B$21:$B$61)</f>
        <v>46080</v>
      </c>
      <c r="I425" s="2" t="s">
        <v>192</v>
      </c>
      <c r="J425" s="2" t="s">
        <v>261</v>
      </c>
      <c r="K425" s="2" t="s">
        <v>1093</v>
      </c>
    </row>
    <row r="426" spans="1:11" x14ac:dyDescent="0.35">
      <c r="A426">
        <v>420</v>
      </c>
      <c r="B426" s="90" t="s">
        <v>16</v>
      </c>
      <c r="C426" s="2" t="s">
        <v>8</v>
      </c>
      <c r="D426" s="2" t="s">
        <v>159</v>
      </c>
      <c r="E426" s="2" t="s">
        <v>160</v>
      </c>
      <c r="F426" s="2" t="s">
        <v>695</v>
      </c>
      <c r="G426" s="2" t="s">
        <v>164</v>
      </c>
      <c r="H426" s="10">
        <f>WORKDAY(G426,125,'[1]Feriados y Materias'!$B$21:$B$61)</f>
        <v>46080</v>
      </c>
      <c r="I426" s="2" t="s">
        <v>192</v>
      </c>
      <c r="J426" s="2" t="s">
        <v>261</v>
      </c>
      <c r="K426" s="2" t="s">
        <v>1093</v>
      </c>
    </row>
    <row r="427" spans="1:11" x14ac:dyDescent="0.35">
      <c r="A427">
        <v>421</v>
      </c>
      <c r="B427" s="90" t="s">
        <v>16</v>
      </c>
      <c r="C427" s="2" t="s">
        <v>8</v>
      </c>
      <c r="D427" s="2" t="s">
        <v>159</v>
      </c>
      <c r="E427" s="2" t="s">
        <v>160</v>
      </c>
      <c r="F427" s="2" t="s">
        <v>696</v>
      </c>
      <c r="G427" s="2" t="s">
        <v>164</v>
      </c>
      <c r="H427" s="10">
        <f>WORKDAY(G427,125,'[1]Feriados y Materias'!$B$21:$B$61)</f>
        <v>46080</v>
      </c>
      <c r="I427" s="2" t="s">
        <v>192</v>
      </c>
      <c r="J427" s="2" t="s">
        <v>261</v>
      </c>
      <c r="K427" s="2" t="s">
        <v>1093</v>
      </c>
    </row>
    <row r="428" spans="1:11" x14ac:dyDescent="0.35">
      <c r="A428">
        <v>422</v>
      </c>
      <c r="B428" s="90" t="s">
        <v>16</v>
      </c>
      <c r="C428" s="2" t="s">
        <v>8</v>
      </c>
      <c r="D428" s="2" t="s">
        <v>159</v>
      </c>
      <c r="E428" s="2" t="s">
        <v>160</v>
      </c>
      <c r="F428" s="2" t="s">
        <v>697</v>
      </c>
      <c r="G428" s="2" t="s">
        <v>164</v>
      </c>
      <c r="H428" s="10">
        <f>WORKDAY(G428,125,'[1]Feriados y Materias'!$B$21:$B$61)</f>
        <v>46080</v>
      </c>
      <c r="I428" s="2" t="s">
        <v>192</v>
      </c>
      <c r="J428" s="2" t="s">
        <v>261</v>
      </c>
      <c r="K428" s="2" t="s">
        <v>1093</v>
      </c>
    </row>
    <row r="429" spans="1:11" x14ac:dyDescent="0.35">
      <c r="A429">
        <v>423</v>
      </c>
      <c r="B429" s="90" t="s">
        <v>16</v>
      </c>
      <c r="C429" s="2" t="s">
        <v>8</v>
      </c>
      <c r="D429" s="2" t="s">
        <v>159</v>
      </c>
      <c r="E429" s="2" t="s">
        <v>160</v>
      </c>
      <c r="F429" s="2" t="s">
        <v>698</v>
      </c>
      <c r="G429" s="2" t="s">
        <v>164</v>
      </c>
      <c r="H429" s="10">
        <f>WORKDAY(G429,125,'[1]Feriados y Materias'!$B$21:$B$61)</f>
        <v>46080</v>
      </c>
      <c r="I429" s="2" t="s">
        <v>192</v>
      </c>
      <c r="J429" s="2" t="s">
        <v>261</v>
      </c>
      <c r="K429" s="2" t="s">
        <v>1093</v>
      </c>
    </row>
    <row r="430" spans="1:11" x14ac:dyDescent="0.35">
      <c r="A430">
        <v>424</v>
      </c>
      <c r="B430" s="90" t="s">
        <v>16</v>
      </c>
      <c r="C430" s="2" t="s">
        <v>8</v>
      </c>
      <c r="D430" s="2" t="s">
        <v>159</v>
      </c>
      <c r="E430" s="2" t="s">
        <v>160</v>
      </c>
      <c r="F430" s="2" t="s">
        <v>699</v>
      </c>
      <c r="G430" s="2" t="s">
        <v>164</v>
      </c>
      <c r="H430" s="10">
        <f>WORKDAY(G430,125,'[1]Feriados y Materias'!$B$21:$B$61)</f>
        <v>46080</v>
      </c>
      <c r="I430" s="2" t="s">
        <v>192</v>
      </c>
      <c r="J430" s="2" t="s">
        <v>261</v>
      </c>
      <c r="K430" s="2" t="s">
        <v>1093</v>
      </c>
    </row>
    <row r="431" spans="1:11" x14ac:dyDescent="0.35">
      <c r="A431">
        <v>425</v>
      </c>
      <c r="B431" s="90" t="s">
        <v>16</v>
      </c>
      <c r="C431" s="2" t="s">
        <v>8</v>
      </c>
      <c r="D431" s="2" t="s">
        <v>159</v>
      </c>
      <c r="E431" s="2" t="s">
        <v>160</v>
      </c>
      <c r="F431" s="2" t="s">
        <v>700</v>
      </c>
      <c r="G431" s="2" t="s">
        <v>164</v>
      </c>
      <c r="H431" s="10">
        <f>WORKDAY(G431,125,'[1]Feriados y Materias'!$B$21:$B$61)</f>
        <v>46080</v>
      </c>
      <c r="I431" s="2" t="s">
        <v>192</v>
      </c>
      <c r="J431" s="2" t="s">
        <v>261</v>
      </c>
      <c r="K431" s="2" t="s">
        <v>1093</v>
      </c>
    </row>
    <row r="432" spans="1:11" x14ac:dyDescent="0.35">
      <c r="A432">
        <v>426</v>
      </c>
      <c r="B432" s="90" t="s">
        <v>16</v>
      </c>
      <c r="C432" s="2" t="s">
        <v>8</v>
      </c>
      <c r="D432" s="2" t="s">
        <v>159</v>
      </c>
      <c r="E432" s="2" t="s">
        <v>160</v>
      </c>
      <c r="F432" s="2" t="s">
        <v>701</v>
      </c>
      <c r="G432" s="2" t="s">
        <v>164</v>
      </c>
      <c r="H432" s="10">
        <f>WORKDAY(G432,125,'[1]Feriados y Materias'!$B$21:$B$61)</f>
        <v>46080</v>
      </c>
      <c r="I432" s="2" t="s">
        <v>192</v>
      </c>
      <c r="J432" s="2" t="s">
        <v>261</v>
      </c>
      <c r="K432" s="2" t="s">
        <v>1093</v>
      </c>
    </row>
    <row r="433" spans="1:11" x14ac:dyDescent="0.35">
      <c r="A433">
        <v>427</v>
      </c>
      <c r="B433" s="90" t="s">
        <v>16</v>
      </c>
      <c r="C433" s="2" t="s">
        <v>8</v>
      </c>
      <c r="D433" s="2" t="s">
        <v>159</v>
      </c>
      <c r="E433" s="2" t="s">
        <v>160</v>
      </c>
      <c r="F433" s="2" t="s">
        <v>702</v>
      </c>
      <c r="G433" s="2" t="s">
        <v>164</v>
      </c>
      <c r="H433" s="10">
        <f>WORKDAY(G433,125,'[1]Feriados y Materias'!$B$21:$B$61)</f>
        <v>46080</v>
      </c>
      <c r="I433" s="2" t="s">
        <v>192</v>
      </c>
      <c r="J433" s="2" t="s">
        <v>261</v>
      </c>
      <c r="K433" s="2" t="s">
        <v>1093</v>
      </c>
    </row>
    <row r="434" spans="1:11" x14ac:dyDescent="0.35">
      <c r="A434">
        <v>428</v>
      </c>
      <c r="B434" s="90" t="s">
        <v>16</v>
      </c>
      <c r="C434" s="2" t="s">
        <v>8</v>
      </c>
      <c r="D434" s="2" t="s">
        <v>159</v>
      </c>
      <c r="E434" s="2" t="s">
        <v>160</v>
      </c>
      <c r="F434" s="2" t="s">
        <v>703</v>
      </c>
      <c r="G434" s="2" t="s">
        <v>164</v>
      </c>
      <c r="H434" s="10">
        <f>WORKDAY(G434,125,'[1]Feriados y Materias'!$B$21:$B$61)</f>
        <v>46080</v>
      </c>
      <c r="I434" s="2" t="s">
        <v>192</v>
      </c>
      <c r="J434" s="2" t="s">
        <v>261</v>
      </c>
      <c r="K434" s="2" t="s">
        <v>1093</v>
      </c>
    </row>
    <row r="435" spans="1:11" x14ac:dyDescent="0.35">
      <c r="A435">
        <v>429</v>
      </c>
      <c r="B435" s="90" t="s">
        <v>16</v>
      </c>
      <c r="C435" s="2" t="s">
        <v>8</v>
      </c>
      <c r="D435" s="2" t="s">
        <v>159</v>
      </c>
      <c r="E435" s="2" t="s">
        <v>160</v>
      </c>
      <c r="F435" s="2" t="s">
        <v>704</v>
      </c>
      <c r="G435" s="2" t="s">
        <v>164</v>
      </c>
      <c r="H435" s="10">
        <f>WORKDAY(G435,125,'[1]Feriados y Materias'!$B$21:$B$61)</f>
        <v>46080</v>
      </c>
      <c r="I435" s="2" t="s">
        <v>192</v>
      </c>
      <c r="J435" s="2" t="s">
        <v>261</v>
      </c>
      <c r="K435" s="2" t="s">
        <v>1093</v>
      </c>
    </row>
    <row r="436" spans="1:11" x14ac:dyDescent="0.35">
      <c r="A436">
        <v>430</v>
      </c>
      <c r="B436" s="90" t="s">
        <v>16</v>
      </c>
      <c r="C436" s="2" t="s">
        <v>8</v>
      </c>
      <c r="D436" s="2" t="s">
        <v>159</v>
      </c>
      <c r="E436" s="2" t="s">
        <v>160</v>
      </c>
      <c r="F436" s="2" t="s">
        <v>705</v>
      </c>
      <c r="G436" s="2" t="s">
        <v>164</v>
      </c>
      <c r="H436" s="10">
        <f>WORKDAY(G436,125,'[1]Feriados y Materias'!$B$21:$B$61)</f>
        <v>46080</v>
      </c>
      <c r="I436" s="2" t="s">
        <v>192</v>
      </c>
      <c r="J436" s="2" t="s">
        <v>261</v>
      </c>
      <c r="K436" s="2" t="s">
        <v>1093</v>
      </c>
    </row>
    <row r="437" spans="1:11" x14ac:dyDescent="0.35">
      <c r="A437">
        <v>431</v>
      </c>
      <c r="B437" s="90" t="s">
        <v>16</v>
      </c>
      <c r="C437" s="2" t="s">
        <v>8</v>
      </c>
      <c r="D437" s="2" t="s">
        <v>159</v>
      </c>
      <c r="E437" s="2" t="s">
        <v>160</v>
      </c>
      <c r="F437" s="2" t="s">
        <v>706</v>
      </c>
      <c r="G437" s="2" t="s">
        <v>164</v>
      </c>
      <c r="H437" s="10">
        <f>WORKDAY(G437,125,'[1]Feriados y Materias'!$B$21:$B$61)</f>
        <v>46080</v>
      </c>
      <c r="I437" s="2" t="s">
        <v>192</v>
      </c>
      <c r="J437" s="2" t="s">
        <v>261</v>
      </c>
      <c r="K437" s="2" t="s">
        <v>1093</v>
      </c>
    </row>
    <row r="438" spans="1:11" x14ac:dyDescent="0.35">
      <c r="A438">
        <v>432</v>
      </c>
      <c r="B438" s="90" t="s">
        <v>16</v>
      </c>
      <c r="C438" s="2" t="s">
        <v>8</v>
      </c>
      <c r="D438" s="2" t="s">
        <v>159</v>
      </c>
      <c r="E438" s="2" t="s">
        <v>160</v>
      </c>
      <c r="F438" s="2" t="s">
        <v>707</v>
      </c>
      <c r="G438" s="2" t="s">
        <v>164</v>
      </c>
      <c r="H438" s="10">
        <f>WORKDAY(G438,125,'[1]Feriados y Materias'!$B$21:$B$61)</f>
        <v>46080</v>
      </c>
      <c r="I438" s="2" t="s">
        <v>192</v>
      </c>
      <c r="J438" s="2" t="s">
        <v>261</v>
      </c>
      <c r="K438" s="2" t="s">
        <v>1093</v>
      </c>
    </row>
    <row r="439" spans="1:11" x14ac:dyDescent="0.35">
      <c r="A439">
        <v>433</v>
      </c>
      <c r="B439" s="90" t="s">
        <v>16</v>
      </c>
      <c r="C439" s="2" t="s">
        <v>8</v>
      </c>
      <c r="D439" s="2" t="s">
        <v>159</v>
      </c>
      <c r="E439" s="2" t="s">
        <v>160</v>
      </c>
      <c r="F439" s="2" t="s">
        <v>708</v>
      </c>
      <c r="G439" s="2" t="s">
        <v>164</v>
      </c>
      <c r="H439" s="10">
        <f>WORKDAY(G439,125,'[1]Feriados y Materias'!$B$21:$B$61)</f>
        <v>46080</v>
      </c>
      <c r="I439" s="2" t="s">
        <v>192</v>
      </c>
      <c r="J439" s="2" t="s">
        <v>261</v>
      </c>
      <c r="K439" s="2" t="s">
        <v>1093</v>
      </c>
    </row>
    <row r="440" spans="1:11" x14ac:dyDescent="0.35">
      <c r="A440">
        <v>434</v>
      </c>
      <c r="B440" s="90" t="s">
        <v>16</v>
      </c>
      <c r="C440" s="2" t="s">
        <v>8</v>
      </c>
      <c r="D440" s="2" t="s">
        <v>159</v>
      </c>
      <c r="E440" s="2" t="s">
        <v>160</v>
      </c>
      <c r="F440" s="2" t="s">
        <v>709</v>
      </c>
      <c r="G440" s="2" t="s">
        <v>164</v>
      </c>
      <c r="H440" s="10">
        <f>WORKDAY(G440,125,'[1]Feriados y Materias'!$B$21:$B$61)</f>
        <v>46080</v>
      </c>
      <c r="I440" s="2" t="s">
        <v>192</v>
      </c>
      <c r="J440" s="2" t="s">
        <v>261</v>
      </c>
      <c r="K440" s="2" t="s">
        <v>1093</v>
      </c>
    </row>
    <row r="441" spans="1:11" x14ac:dyDescent="0.35">
      <c r="A441">
        <v>435</v>
      </c>
      <c r="B441" s="90" t="s">
        <v>16</v>
      </c>
      <c r="C441" s="2" t="s">
        <v>8</v>
      </c>
      <c r="D441" s="2" t="s">
        <v>159</v>
      </c>
      <c r="E441" s="2" t="s">
        <v>160</v>
      </c>
      <c r="F441" s="2" t="s">
        <v>710</v>
      </c>
      <c r="G441" s="2" t="s">
        <v>164</v>
      </c>
      <c r="H441" s="10">
        <f>WORKDAY(G441,125,'[1]Feriados y Materias'!$B$21:$B$61)</f>
        <v>46080</v>
      </c>
      <c r="I441" s="2" t="s">
        <v>192</v>
      </c>
      <c r="J441" s="2" t="s">
        <v>261</v>
      </c>
      <c r="K441" s="2" t="s">
        <v>1093</v>
      </c>
    </row>
    <row r="442" spans="1:11" x14ac:dyDescent="0.35">
      <c r="A442">
        <v>436</v>
      </c>
      <c r="B442" s="90" t="s">
        <v>16</v>
      </c>
      <c r="C442" s="2" t="s">
        <v>8</v>
      </c>
      <c r="D442" s="2" t="s">
        <v>159</v>
      </c>
      <c r="E442" s="2" t="s">
        <v>160</v>
      </c>
      <c r="F442" s="2" t="s">
        <v>711</v>
      </c>
      <c r="G442" s="2" t="s">
        <v>164</v>
      </c>
      <c r="H442" s="10">
        <f>WORKDAY(G442,125,'[1]Feriados y Materias'!$B$21:$B$61)</f>
        <v>46080</v>
      </c>
      <c r="I442" s="2" t="s">
        <v>192</v>
      </c>
      <c r="J442" s="2" t="s">
        <v>261</v>
      </c>
      <c r="K442" s="2" t="s">
        <v>1093</v>
      </c>
    </row>
    <row r="443" spans="1:11" x14ac:dyDescent="0.35">
      <c r="A443">
        <v>437</v>
      </c>
      <c r="B443" s="90" t="s">
        <v>16</v>
      </c>
      <c r="C443" s="2" t="s">
        <v>8</v>
      </c>
      <c r="D443" s="2" t="s">
        <v>159</v>
      </c>
      <c r="E443" s="2" t="s">
        <v>160</v>
      </c>
      <c r="F443" s="2" t="s">
        <v>712</v>
      </c>
      <c r="G443" s="2" t="s">
        <v>164</v>
      </c>
      <c r="H443" s="10">
        <f>WORKDAY(G443,125,'[1]Feriados y Materias'!$B$21:$B$61)</f>
        <v>46080</v>
      </c>
      <c r="I443" s="2" t="s">
        <v>192</v>
      </c>
      <c r="J443" s="2" t="s">
        <v>261</v>
      </c>
      <c r="K443" s="2" t="s">
        <v>1093</v>
      </c>
    </row>
    <row r="444" spans="1:11" x14ac:dyDescent="0.35">
      <c r="A444">
        <v>438</v>
      </c>
      <c r="B444" s="90" t="s">
        <v>16</v>
      </c>
      <c r="C444" s="2" t="s">
        <v>8</v>
      </c>
      <c r="D444" s="2" t="s">
        <v>159</v>
      </c>
      <c r="E444" s="2" t="s">
        <v>160</v>
      </c>
      <c r="F444" s="2" t="s">
        <v>713</v>
      </c>
      <c r="G444" s="2" t="s">
        <v>164</v>
      </c>
      <c r="H444" s="10">
        <f>WORKDAY(G444,125,'[1]Feriados y Materias'!$B$21:$B$61)</f>
        <v>46080</v>
      </c>
      <c r="I444" s="2" t="s">
        <v>192</v>
      </c>
      <c r="J444" s="2" t="s">
        <v>261</v>
      </c>
      <c r="K444" s="2" t="s">
        <v>1093</v>
      </c>
    </row>
    <row r="445" spans="1:11" x14ac:dyDescent="0.35">
      <c r="A445">
        <v>439</v>
      </c>
      <c r="B445" s="90" t="s">
        <v>16</v>
      </c>
      <c r="C445" s="2" t="s">
        <v>8</v>
      </c>
      <c r="D445" s="2" t="s">
        <v>159</v>
      </c>
      <c r="E445" s="2" t="s">
        <v>160</v>
      </c>
      <c r="F445" s="2" t="s">
        <v>714</v>
      </c>
      <c r="G445" s="2" t="s">
        <v>164</v>
      </c>
      <c r="H445" s="10">
        <f>WORKDAY(G445,125,'[1]Feriados y Materias'!$B$21:$B$61)</f>
        <v>46080</v>
      </c>
      <c r="I445" s="2" t="s">
        <v>192</v>
      </c>
      <c r="J445" s="2" t="s">
        <v>261</v>
      </c>
      <c r="K445" s="2" t="s">
        <v>1093</v>
      </c>
    </row>
    <row r="446" spans="1:11" x14ac:dyDescent="0.35">
      <c r="A446">
        <v>440</v>
      </c>
      <c r="B446" s="90" t="s">
        <v>16</v>
      </c>
      <c r="C446" s="2" t="s">
        <v>8</v>
      </c>
      <c r="D446" s="2" t="s">
        <v>159</v>
      </c>
      <c r="E446" s="2" t="s">
        <v>160</v>
      </c>
      <c r="F446" s="2" t="s">
        <v>715</v>
      </c>
      <c r="G446" s="2" t="s">
        <v>164</v>
      </c>
      <c r="H446" s="10">
        <f>WORKDAY(G446,125,'[1]Feriados y Materias'!$B$21:$B$61)</f>
        <v>46080</v>
      </c>
      <c r="I446" s="2" t="s">
        <v>192</v>
      </c>
      <c r="J446" s="2" t="s">
        <v>261</v>
      </c>
      <c r="K446" s="2" t="s">
        <v>1093</v>
      </c>
    </row>
    <row r="447" spans="1:11" x14ac:dyDescent="0.35">
      <c r="A447">
        <v>441</v>
      </c>
      <c r="B447" s="90" t="s">
        <v>16</v>
      </c>
      <c r="C447" s="2" t="s">
        <v>8</v>
      </c>
      <c r="D447" s="2" t="s">
        <v>159</v>
      </c>
      <c r="E447" s="2" t="s">
        <v>160</v>
      </c>
      <c r="F447" s="2" t="s">
        <v>716</v>
      </c>
      <c r="G447" s="2" t="s">
        <v>164</v>
      </c>
      <c r="H447" s="10">
        <f>WORKDAY(G447,125,'[1]Feriados y Materias'!$B$21:$B$61)</f>
        <v>46080</v>
      </c>
      <c r="I447" s="2" t="s">
        <v>192</v>
      </c>
      <c r="J447" s="2" t="s">
        <v>261</v>
      </c>
      <c r="K447" s="2" t="s">
        <v>1093</v>
      </c>
    </row>
    <row r="448" spans="1:11" x14ac:dyDescent="0.35">
      <c r="A448">
        <v>442</v>
      </c>
      <c r="B448" s="90" t="s">
        <v>16</v>
      </c>
      <c r="C448" s="2" t="s">
        <v>8</v>
      </c>
      <c r="D448" s="2" t="s">
        <v>159</v>
      </c>
      <c r="E448" s="2" t="s">
        <v>160</v>
      </c>
      <c r="F448" s="2" t="s">
        <v>717</v>
      </c>
      <c r="G448" s="2" t="s">
        <v>164</v>
      </c>
      <c r="H448" s="10">
        <f>WORKDAY(G448,125,'[1]Feriados y Materias'!$B$21:$B$61)</f>
        <v>46080</v>
      </c>
      <c r="I448" s="2" t="s">
        <v>192</v>
      </c>
      <c r="J448" s="2" t="s">
        <v>261</v>
      </c>
      <c r="K448" s="2" t="s">
        <v>1093</v>
      </c>
    </row>
    <row r="449" spans="1:11" x14ac:dyDescent="0.35">
      <c r="A449">
        <v>443</v>
      </c>
      <c r="B449" s="90" t="s">
        <v>16</v>
      </c>
      <c r="C449" s="2" t="s">
        <v>8</v>
      </c>
      <c r="D449" s="2" t="s">
        <v>159</v>
      </c>
      <c r="E449" s="2" t="s">
        <v>160</v>
      </c>
      <c r="F449" s="2" t="s">
        <v>718</v>
      </c>
      <c r="G449" s="2" t="s">
        <v>164</v>
      </c>
      <c r="H449" s="10">
        <f>WORKDAY(G449,125,'[1]Feriados y Materias'!$B$21:$B$61)</f>
        <v>46080</v>
      </c>
      <c r="I449" s="2" t="s">
        <v>192</v>
      </c>
      <c r="J449" s="2" t="s">
        <v>261</v>
      </c>
      <c r="K449" s="2" t="s">
        <v>1093</v>
      </c>
    </row>
    <row r="450" spans="1:11" x14ac:dyDescent="0.35">
      <c r="A450">
        <v>444</v>
      </c>
      <c r="B450" s="90" t="s">
        <v>16</v>
      </c>
      <c r="C450" s="2" t="s">
        <v>8</v>
      </c>
      <c r="D450" s="2" t="s">
        <v>159</v>
      </c>
      <c r="E450" s="2" t="s">
        <v>160</v>
      </c>
      <c r="F450" s="2" t="s">
        <v>719</v>
      </c>
      <c r="G450" s="2" t="s">
        <v>164</v>
      </c>
      <c r="H450" s="10">
        <f>WORKDAY(G450,125,'[1]Feriados y Materias'!$B$21:$B$61)</f>
        <v>46080</v>
      </c>
      <c r="I450" s="2" t="s">
        <v>192</v>
      </c>
      <c r="J450" s="2" t="s">
        <v>261</v>
      </c>
      <c r="K450" s="2" t="s">
        <v>1093</v>
      </c>
    </row>
    <row r="451" spans="1:11" x14ac:dyDescent="0.35">
      <c r="A451">
        <v>445</v>
      </c>
      <c r="B451" s="90" t="s">
        <v>16</v>
      </c>
      <c r="C451" s="2" t="s">
        <v>8</v>
      </c>
      <c r="D451" s="2" t="s">
        <v>159</v>
      </c>
      <c r="E451" s="2" t="s">
        <v>160</v>
      </c>
      <c r="F451" s="2" t="s">
        <v>720</v>
      </c>
      <c r="G451" s="2" t="s">
        <v>164</v>
      </c>
      <c r="H451" s="10">
        <f>WORKDAY(G451,125,'[1]Feriados y Materias'!$B$21:$B$61)</f>
        <v>46080</v>
      </c>
      <c r="I451" s="2" t="s">
        <v>192</v>
      </c>
      <c r="J451" s="2" t="s">
        <v>261</v>
      </c>
      <c r="K451" s="2" t="s">
        <v>1093</v>
      </c>
    </row>
    <row r="452" spans="1:11" x14ac:dyDescent="0.35">
      <c r="A452">
        <v>446</v>
      </c>
      <c r="B452" s="90" t="s">
        <v>16</v>
      </c>
      <c r="C452" s="2" t="s">
        <v>8</v>
      </c>
      <c r="D452" s="2" t="s">
        <v>159</v>
      </c>
      <c r="E452" s="2" t="s">
        <v>160</v>
      </c>
      <c r="F452" s="2" t="s">
        <v>721</v>
      </c>
      <c r="G452" s="2" t="s">
        <v>164</v>
      </c>
      <c r="H452" s="10">
        <f>WORKDAY(G452,125,'[1]Feriados y Materias'!$B$21:$B$61)</f>
        <v>46080</v>
      </c>
      <c r="I452" s="2" t="s">
        <v>192</v>
      </c>
      <c r="J452" s="2" t="s">
        <v>261</v>
      </c>
      <c r="K452" s="2" t="s">
        <v>1093</v>
      </c>
    </row>
    <row r="453" spans="1:11" x14ac:dyDescent="0.35">
      <c r="A453">
        <v>447</v>
      </c>
      <c r="B453" s="90" t="s">
        <v>16</v>
      </c>
      <c r="C453" s="2" t="s">
        <v>8</v>
      </c>
      <c r="D453" s="2" t="s">
        <v>159</v>
      </c>
      <c r="E453" s="2" t="s">
        <v>160</v>
      </c>
      <c r="F453" s="2" t="s">
        <v>722</v>
      </c>
      <c r="G453" s="2" t="s">
        <v>164</v>
      </c>
      <c r="H453" s="10">
        <f>WORKDAY(G453,125,'[1]Feriados y Materias'!$B$21:$B$61)</f>
        <v>46080</v>
      </c>
      <c r="I453" s="2" t="s">
        <v>192</v>
      </c>
      <c r="J453" s="2" t="s">
        <v>261</v>
      </c>
      <c r="K453" s="2" t="s">
        <v>1093</v>
      </c>
    </row>
    <row r="454" spans="1:11" x14ac:dyDescent="0.35">
      <c r="A454">
        <v>448</v>
      </c>
      <c r="B454" s="90" t="s">
        <v>16</v>
      </c>
      <c r="C454" s="2" t="s">
        <v>8</v>
      </c>
      <c r="D454" s="2" t="s">
        <v>159</v>
      </c>
      <c r="E454" s="2" t="s">
        <v>160</v>
      </c>
      <c r="F454" s="2" t="s">
        <v>723</v>
      </c>
      <c r="G454" s="2" t="s">
        <v>164</v>
      </c>
      <c r="H454" s="10">
        <f>WORKDAY(G454,125,'[1]Feriados y Materias'!$B$21:$B$61)</f>
        <v>46080</v>
      </c>
      <c r="I454" s="2" t="s">
        <v>192</v>
      </c>
      <c r="J454" s="2" t="s">
        <v>261</v>
      </c>
      <c r="K454" s="2" t="s">
        <v>1093</v>
      </c>
    </row>
    <row r="455" spans="1:11" x14ac:dyDescent="0.35">
      <c r="A455">
        <v>449</v>
      </c>
      <c r="B455" s="90" t="s">
        <v>16</v>
      </c>
      <c r="C455" s="2" t="s">
        <v>8</v>
      </c>
      <c r="D455" s="2" t="s">
        <v>800</v>
      </c>
      <c r="E455" s="2" t="s">
        <v>801</v>
      </c>
      <c r="F455" s="2" t="s">
        <v>804</v>
      </c>
      <c r="G455" s="2" t="s">
        <v>164</v>
      </c>
      <c r="H455" s="10">
        <f>WORKDAY(G455,125,'[1]Feriados y Materias'!$B$21:$B$61)</f>
        <v>46080</v>
      </c>
      <c r="I455" s="2" t="s">
        <v>192</v>
      </c>
      <c r="J455" s="2" t="s">
        <v>194</v>
      </c>
      <c r="K455" s="2" t="s">
        <v>1093</v>
      </c>
    </row>
    <row r="456" spans="1:11" x14ac:dyDescent="0.35">
      <c r="A456">
        <v>450</v>
      </c>
      <c r="B456" s="90" t="s">
        <v>16</v>
      </c>
      <c r="C456" s="2" t="s">
        <v>8</v>
      </c>
      <c r="D456" s="2" t="s">
        <v>159</v>
      </c>
      <c r="E456" s="2" t="s">
        <v>160</v>
      </c>
      <c r="F456" s="2" t="s">
        <v>724</v>
      </c>
      <c r="G456" s="2" t="s">
        <v>164</v>
      </c>
      <c r="H456" s="10">
        <f>WORKDAY(G456,125,'[1]Feriados y Materias'!$B$21:$B$61)</f>
        <v>46080</v>
      </c>
      <c r="I456" s="2" t="s">
        <v>192</v>
      </c>
      <c r="J456" s="2" t="s">
        <v>261</v>
      </c>
      <c r="K456" s="2" t="s">
        <v>1093</v>
      </c>
    </row>
    <row r="457" spans="1:11" x14ac:dyDescent="0.35">
      <c r="A457">
        <v>451</v>
      </c>
      <c r="B457" s="90" t="s">
        <v>16</v>
      </c>
      <c r="C457" s="2" t="s">
        <v>8</v>
      </c>
      <c r="D457" s="2" t="s">
        <v>159</v>
      </c>
      <c r="E457" s="2" t="s">
        <v>160</v>
      </c>
      <c r="F457" s="2" t="s">
        <v>725</v>
      </c>
      <c r="G457" s="2" t="s">
        <v>164</v>
      </c>
      <c r="H457" s="10">
        <f>WORKDAY(G457,125,'[1]Feriados y Materias'!$B$21:$B$61)</f>
        <v>46080</v>
      </c>
      <c r="I457" s="2" t="s">
        <v>192</v>
      </c>
      <c r="J457" s="2" t="s">
        <v>261</v>
      </c>
      <c r="K457" s="2" t="s">
        <v>1093</v>
      </c>
    </row>
    <row r="458" spans="1:11" x14ac:dyDescent="0.35">
      <c r="A458">
        <v>452</v>
      </c>
      <c r="B458" s="90" t="s">
        <v>16</v>
      </c>
      <c r="C458" s="2" t="s">
        <v>8</v>
      </c>
      <c r="D458" s="2" t="s">
        <v>159</v>
      </c>
      <c r="E458" s="2" t="s">
        <v>160</v>
      </c>
      <c r="F458" s="2" t="s">
        <v>726</v>
      </c>
      <c r="G458" s="2" t="s">
        <v>164</v>
      </c>
      <c r="H458" s="10">
        <f>WORKDAY(G458,125,'[1]Feriados y Materias'!$B$21:$B$61)</f>
        <v>46080</v>
      </c>
      <c r="I458" s="2" t="s">
        <v>192</v>
      </c>
      <c r="J458" s="2" t="s">
        <v>261</v>
      </c>
      <c r="K458" s="2" t="s">
        <v>1093</v>
      </c>
    </row>
    <row r="459" spans="1:11" x14ac:dyDescent="0.35">
      <c r="A459">
        <v>453</v>
      </c>
      <c r="B459" s="90" t="s">
        <v>16</v>
      </c>
      <c r="C459" s="2" t="s">
        <v>8</v>
      </c>
      <c r="D459" s="2" t="s">
        <v>159</v>
      </c>
      <c r="E459" s="2" t="s">
        <v>160</v>
      </c>
      <c r="F459" s="2" t="s">
        <v>727</v>
      </c>
      <c r="G459" s="2" t="s">
        <v>164</v>
      </c>
      <c r="H459" s="10">
        <f>WORKDAY(G459,125,'[1]Feriados y Materias'!$B$21:$B$61)</f>
        <v>46080</v>
      </c>
      <c r="I459" s="2" t="s">
        <v>192</v>
      </c>
      <c r="J459" s="2" t="s">
        <v>261</v>
      </c>
      <c r="K459" s="2" t="s">
        <v>1093</v>
      </c>
    </row>
    <row r="460" spans="1:11" x14ac:dyDescent="0.35">
      <c r="A460">
        <v>454</v>
      </c>
      <c r="B460" s="90" t="s">
        <v>16</v>
      </c>
      <c r="C460" s="2" t="s">
        <v>8</v>
      </c>
      <c r="D460" s="2" t="s">
        <v>159</v>
      </c>
      <c r="E460" s="2" t="s">
        <v>160</v>
      </c>
      <c r="F460" s="2" t="s">
        <v>728</v>
      </c>
      <c r="G460" s="2" t="s">
        <v>729</v>
      </c>
      <c r="H460" s="10">
        <f>WORKDAY(G460,125,'[1]Feriados y Materias'!$B$21:$B$61)</f>
        <v>46080</v>
      </c>
      <c r="I460" s="2" t="s">
        <v>192</v>
      </c>
      <c r="J460" s="2" t="s">
        <v>261</v>
      </c>
      <c r="K460" s="2" t="s">
        <v>1093</v>
      </c>
    </row>
    <row r="461" spans="1:11" x14ac:dyDescent="0.35">
      <c r="A461">
        <v>455</v>
      </c>
      <c r="B461" s="90" t="s">
        <v>16</v>
      </c>
      <c r="C461" s="2" t="s">
        <v>8</v>
      </c>
      <c r="D461" s="2" t="s">
        <v>159</v>
      </c>
      <c r="E461" s="2" t="s">
        <v>160</v>
      </c>
      <c r="F461" s="2" t="s">
        <v>730</v>
      </c>
      <c r="G461" s="2" t="s">
        <v>729</v>
      </c>
      <c r="H461" s="10">
        <f>WORKDAY(G461,125,'[1]Feriados y Materias'!$B$21:$B$61)</f>
        <v>46080</v>
      </c>
      <c r="I461" s="2" t="s">
        <v>192</v>
      </c>
      <c r="J461" s="2" t="s">
        <v>261</v>
      </c>
      <c r="K461" s="2" t="s">
        <v>1093</v>
      </c>
    </row>
    <row r="462" spans="1:11" x14ac:dyDescent="0.35">
      <c r="A462">
        <v>456</v>
      </c>
      <c r="B462" s="90" t="s">
        <v>16</v>
      </c>
      <c r="C462" s="2" t="s">
        <v>8</v>
      </c>
      <c r="D462" s="2" t="s">
        <v>159</v>
      </c>
      <c r="E462" s="2" t="s">
        <v>160</v>
      </c>
      <c r="F462" s="2" t="s">
        <v>731</v>
      </c>
      <c r="G462" s="2" t="s">
        <v>729</v>
      </c>
      <c r="H462" s="10">
        <f>WORKDAY(G462,125,'[1]Feriados y Materias'!$B$21:$B$61)</f>
        <v>46080</v>
      </c>
      <c r="I462" s="2" t="s">
        <v>192</v>
      </c>
      <c r="J462" s="2" t="s">
        <v>261</v>
      </c>
      <c r="K462" s="2" t="s">
        <v>1093</v>
      </c>
    </row>
    <row r="463" spans="1:11" x14ac:dyDescent="0.35">
      <c r="A463">
        <v>457</v>
      </c>
      <c r="B463" s="90" t="s">
        <v>16</v>
      </c>
      <c r="C463" s="2" t="s">
        <v>8</v>
      </c>
      <c r="D463" s="2" t="s">
        <v>159</v>
      </c>
      <c r="E463" s="2" t="s">
        <v>160</v>
      </c>
      <c r="F463" s="2" t="s">
        <v>732</v>
      </c>
      <c r="G463" s="2" t="s">
        <v>729</v>
      </c>
      <c r="H463" s="10">
        <f>WORKDAY(G463,125,'[1]Feriados y Materias'!$B$21:$B$61)</f>
        <v>46080</v>
      </c>
      <c r="I463" s="2" t="s">
        <v>192</v>
      </c>
      <c r="J463" s="2" t="s">
        <v>261</v>
      </c>
      <c r="K463" s="2" t="s">
        <v>1093</v>
      </c>
    </row>
    <row r="464" spans="1:11" x14ac:dyDescent="0.35">
      <c r="A464">
        <v>458</v>
      </c>
      <c r="B464" s="90" t="s">
        <v>16</v>
      </c>
      <c r="C464" s="2" t="s">
        <v>8</v>
      </c>
      <c r="D464" s="2" t="s">
        <v>159</v>
      </c>
      <c r="E464" s="2" t="s">
        <v>160</v>
      </c>
      <c r="F464" s="2" t="s">
        <v>733</v>
      </c>
      <c r="G464" s="2" t="s">
        <v>729</v>
      </c>
      <c r="H464" s="10">
        <f>WORKDAY(G464,125,'[1]Feriados y Materias'!$B$21:$B$61)</f>
        <v>46080</v>
      </c>
      <c r="I464" s="2" t="s">
        <v>192</v>
      </c>
      <c r="J464" s="2" t="s">
        <v>261</v>
      </c>
      <c r="K464" s="2" t="s">
        <v>1093</v>
      </c>
    </row>
    <row r="465" spans="1:11" x14ac:dyDescent="0.35">
      <c r="A465">
        <v>459</v>
      </c>
      <c r="B465" s="90" t="s">
        <v>16</v>
      </c>
      <c r="C465" s="2" t="s">
        <v>8</v>
      </c>
      <c r="D465" s="2" t="s">
        <v>159</v>
      </c>
      <c r="E465" s="2" t="s">
        <v>160</v>
      </c>
      <c r="F465" s="2" t="s">
        <v>734</v>
      </c>
      <c r="G465" s="2" t="s">
        <v>729</v>
      </c>
      <c r="H465" s="10">
        <f>WORKDAY(G465,125,'[1]Feriados y Materias'!$B$21:$B$61)</f>
        <v>46080</v>
      </c>
      <c r="I465" s="2" t="s">
        <v>192</v>
      </c>
      <c r="J465" s="2" t="s">
        <v>261</v>
      </c>
      <c r="K465" s="2" t="s">
        <v>1093</v>
      </c>
    </row>
    <row r="466" spans="1:11" x14ac:dyDescent="0.35">
      <c r="A466">
        <v>460</v>
      </c>
      <c r="B466" s="90" t="s">
        <v>16</v>
      </c>
      <c r="C466" s="2" t="s">
        <v>8</v>
      </c>
      <c r="D466" s="2" t="s">
        <v>159</v>
      </c>
      <c r="E466" s="2" t="s">
        <v>160</v>
      </c>
      <c r="F466" s="2" t="s">
        <v>735</v>
      </c>
      <c r="G466" s="2" t="s">
        <v>729</v>
      </c>
      <c r="H466" s="10">
        <f>WORKDAY(G466,125,'[1]Feriados y Materias'!$B$21:$B$61)</f>
        <v>46080</v>
      </c>
      <c r="I466" s="2" t="s">
        <v>192</v>
      </c>
      <c r="J466" s="2" t="s">
        <v>261</v>
      </c>
      <c r="K466" s="2" t="s">
        <v>1093</v>
      </c>
    </row>
    <row r="467" spans="1:11" x14ac:dyDescent="0.35">
      <c r="A467">
        <v>461</v>
      </c>
      <c r="B467" s="90" t="s">
        <v>16</v>
      </c>
      <c r="C467" s="2" t="s">
        <v>8</v>
      </c>
      <c r="D467" s="2" t="s">
        <v>159</v>
      </c>
      <c r="E467" s="2" t="s">
        <v>160</v>
      </c>
      <c r="F467" s="2" t="s">
        <v>736</v>
      </c>
      <c r="G467" s="2" t="s">
        <v>729</v>
      </c>
      <c r="H467" s="10">
        <f>WORKDAY(G467,125,'[1]Feriados y Materias'!$B$21:$B$61)</f>
        <v>46080</v>
      </c>
      <c r="I467" s="2" t="s">
        <v>192</v>
      </c>
      <c r="J467" s="2" t="s">
        <v>261</v>
      </c>
      <c r="K467" s="2" t="s">
        <v>1093</v>
      </c>
    </row>
    <row r="468" spans="1:11" x14ac:dyDescent="0.35">
      <c r="A468">
        <v>462</v>
      </c>
      <c r="B468" s="90" t="s">
        <v>16</v>
      </c>
      <c r="C468" s="2" t="s">
        <v>8</v>
      </c>
      <c r="D468" s="2" t="s">
        <v>159</v>
      </c>
      <c r="E468" s="2" t="s">
        <v>160</v>
      </c>
      <c r="F468" s="2" t="s">
        <v>737</v>
      </c>
      <c r="G468" s="2" t="s">
        <v>729</v>
      </c>
      <c r="H468" s="10">
        <f>WORKDAY(G468,125,'[1]Feriados y Materias'!$B$21:$B$61)</f>
        <v>46080</v>
      </c>
      <c r="I468" s="2" t="s">
        <v>192</v>
      </c>
      <c r="J468" s="2" t="s">
        <v>261</v>
      </c>
      <c r="K468" s="2" t="s">
        <v>1093</v>
      </c>
    </row>
    <row r="469" spans="1:11" x14ac:dyDescent="0.35">
      <c r="A469">
        <v>463</v>
      </c>
      <c r="B469" s="90" t="s">
        <v>16</v>
      </c>
      <c r="C469" s="2" t="s">
        <v>8</v>
      </c>
      <c r="D469" s="2" t="s">
        <v>159</v>
      </c>
      <c r="E469" s="2" t="s">
        <v>160</v>
      </c>
      <c r="F469" s="2" t="s">
        <v>738</v>
      </c>
      <c r="G469" s="2" t="s">
        <v>729</v>
      </c>
      <c r="H469" s="10">
        <f>WORKDAY(G469,125,'[1]Feriados y Materias'!$B$21:$B$61)</f>
        <v>46080</v>
      </c>
      <c r="I469" s="2" t="s">
        <v>192</v>
      </c>
      <c r="J469" s="2" t="s">
        <v>261</v>
      </c>
      <c r="K469" s="2" t="s">
        <v>1093</v>
      </c>
    </row>
    <row r="470" spans="1:11" x14ac:dyDescent="0.35">
      <c r="A470">
        <v>464</v>
      </c>
      <c r="B470" s="90" t="s">
        <v>16</v>
      </c>
      <c r="C470" s="2" t="s">
        <v>8</v>
      </c>
      <c r="D470" s="2" t="s">
        <v>159</v>
      </c>
      <c r="E470" s="2" t="s">
        <v>160</v>
      </c>
      <c r="F470" s="2" t="s">
        <v>739</v>
      </c>
      <c r="G470" s="2" t="s">
        <v>729</v>
      </c>
      <c r="H470" s="10">
        <f>WORKDAY(G470,125,'[1]Feriados y Materias'!$B$21:$B$61)</f>
        <v>46080</v>
      </c>
      <c r="I470" s="2" t="s">
        <v>192</v>
      </c>
      <c r="J470" s="2" t="s">
        <v>261</v>
      </c>
      <c r="K470" s="2" t="s">
        <v>1093</v>
      </c>
    </row>
    <row r="471" spans="1:11" x14ac:dyDescent="0.35">
      <c r="A471">
        <v>465</v>
      </c>
      <c r="B471" s="90" t="s">
        <v>16</v>
      </c>
      <c r="C471" s="2" t="s">
        <v>8</v>
      </c>
      <c r="D471" s="2" t="s">
        <v>159</v>
      </c>
      <c r="E471" s="2" t="s">
        <v>160</v>
      </c>
      <c r="F471" s="2" t="s">
        <v>740</v>
      </c>
      <c r="G471" s="2" t="s">
        <v>729</v>
      </c>
      <c r="H471" s="10">
        <f>WORKDAY(G471,125,'[1]Feriados y Materias'!$B$21:$B$61)</f>
        <v>46080</v>
      </c>
      <c r="I471" s="2" t="s">
        <v>192</v>
      </c>
      <c r="J471" s="2" t="s">
        <v>261</v>
      </c>
      <c r="K471" s="2" t="s">
        <v>1093</v>
      </c>
    </row>
    <row r="472" spans="1:11" x14ac:dyDescent="0.35">
      <c r="A472">
        <v>466</v>
      </c>
      <c r="B472" s="90" t="s">
        <v>16</v>
      </c>
      <c r="C472" s="2" t="s">
        <v>8</v>
      </c>
      <c r="D472" s="2" t="s">
        <v>159</v>
      </c>
      <c r="E472" s="2" t="s">
        <v>160</v>
      </c>
      <c r="F472" s="2" t="s">
        <v>741</v>
      </c>
      <c r="G472" s="2" t="s">
        <v>729</v>
      </c>
      <c r="H472" s="10">
        <f>WORKDAY(G472,125,'[1]Feriados y Materias'!$B$21:$B$61)</f>
        <v>46080</v>
      </c>
      <c r="I472" s="2" t="s">
        <v>192</v>
      </c>
      <c r="J472" s="2" t="s">
        <v>261</v>
      </c>
      <c r="K472" s="2" t="s">
        <v>1093</v>
      </c>
    </row>
    <row r="473" spans="1:11" x14ac:dyDescent="0.35">
      <c r="A473">
        <v>467</v>
      </c>
      <c r="B473" s="90" t="s">
        <v>16</v>
      </c>
      <c r="C473" s="2" t="s">
        <v>8</v>
      </c>
      <c r="D473" s="2" t="s">
        <v>742</v>
      </c>
      <c r="E473" s="2" t="s">
        <v>743</v>
      </c>
      <c r="F473" s="2" t="s">
        <v>744</v>
      </c>
      <c r="G473" s="2" t="s">
        <v>745</v>
      </c>
      <c r="H473" s="10">
        <f>WORKDAY(G473,125,'[1]Feriados y Materias'!$B$21:$B$61)</f>
        <v>46083</v>
      </c>
      <c r="I473" s="2" t="s">
        <v>192</v>
      </c>
      <c r="J473" s="2" t="s">
        <v>261</v>
      </c>
      <c r="K473" s="2" t="s">
        <v>1093</v>
      </c>
    </row>
    <row r="474" spans="1:11" x14ac:dyDescent="0.35">
      <c r="A474">
        <v>468</v>
      </c>
      <c r="B474" s="90" t="s">
        <v>16</v>
      </c>
      <c r="C474" s="2" t="s">
        <v>8</v>
      </c>
      <c r="D474" s="2" t="s">
        <v>746</v>
      </c>
      <c r="E474" s="2" t="s">
        <v>747</v>
      </c>
      <c r="F474" s="2" t="s">
        <v>748</v>
      </c>
      <c r="G474" s="2" t="s">
        <v>749</v>
      </c>
      <c r="H474" s="10">
        <f>WORKDAY(G474,125,'[1]Feriados y Materias'!$B$21:$B$61)</f>
        <v>46086</v>
      </c>
      <c r="I474" s="2" t="s">
        <v>192</v>
      </c>
      <c r="J474" s="2" t="s">
        <v>77</v>
      </c>
      <c r="K474" s="2" t="s">
        <v>1093</v>
      </c>
    </row>
    <row r="475" spans="1:11" x14ac:dyDescent="0.35">
      <c r="A475">
        <v>469</v>
      </c>
      <c r="B475" s="90" t="s">
        <v>16</v>
      </c>
      <c r="C475" s="2" t="s">
        <v>8</v>
      </c>
      <c r="D475" s="2" t="s">
        <v>805</v>
      </c>
      <c r="E475" s="2" t="s">
        <v>806</v>
      </c>
      <c r="F475" s="2" t="s">
        <v>807</v>
      </c>
      <c r="G475" s="2" t="s">
        <v>808</v>
      </c>
      <c r="H475" s="10">
        <f>WORKDAY(G475,125,'[1]Feriados y Materias'!$B$21:$B$61)</f>
        <v>46090</v>
      </c>
      <c r="I475" s="2" t="s">
        <v>192</v>
      </c>
      <c r="J475" s="2" t="s">
        <v>194</v>
      </c>
      <c r="K475" s="2" t="s">
        <v>1093</v>
      </c>
    </row>
    <row r="476" spans="1:11" x14ac:dyDescent="0.35">
      <c r="A476">
        <v>470</v>
      </c>
      <c r="B476" s="90" t="s">
        <v>16</v>
      </c>
      <c r="C476" s="2" t="s">
        <v>8</v>
      </c>
      <c r="D476" s="2" t="s">
        <v>805</v>
      </c>
      <c r="E476" s="2" t="s">
        <v>806</v>
      </c>
      <c r="F476" s="2" t="s">
        <v>809</v>
      </c>
      <c r="G476" s="2" t="s">
        <v>808</v>
      </c>
      <c r="H476" s="10">
        <f>WORKDAY(G476,125,'[1]Feriados y Materias'!$B$21:$B$61)</f>
        <v>46090</v>
      </c>
      <c r="I476" s="2" t="s">
        <v>192</v>
      </c>
      <c r="J476" s="2" t="s">
        <v>195</v>
      </c>
      <c r="K476" s="2" t="s">
        <v>1093</v>
      </c>
    </row>
    <row r="477" spans="1:11" x14ac:dyDescent="0.35">
      <c r="A477">
        <v>471</v>
      </c>
      <c r="B477" s="90" t="s">
        <v>16</v>
      </c>
      <c r="C477" s="2" t="s">
        <v>8</v>
      </c>
      <c r="D477" s="2" t="s">
        <v>805</v>
      </c>
      <c r="E477" s="2" t="s">
        <v>806</v>
      </c>
      <c r="F477" s="2" t="s">
        <v>810</v>
      </c>
      <c r="G477" s="2" t="s">
        <v>808</v>
      </c>
      <c r="H477" s="10">
        <f>WORKDAY(G477,125,'[1]Feriados y Materias'!$B$21:$B$61)</f>
        <v>46090</v>
      </c>
      <c r="I477" s="2" t="s">
        <v>192</v>
      </c>
      <c r="J477" s="2" t="s">
        <v>200</v>
      </c>
      <c r="K477" s="2" t="s">
        <v>1093</v>
      </c>
    </row>
    <row r="478" spans="1:11" x14ac:dyDescent="0.35">
      <c r="A478">
        <v>472</v>
      </c>
      <c r="B478" s="90" t="s">
        <v>16</v>
      </c>
      <c r="C478" s="2" t="s">
        <v>8</v>
      </c>
      <c r="D478" s="2" t="s">
        <v>805</v>
      </c>
      <c r="E478" s="2" t="s">
        <v>806</v>
      </c>
      <c r="F478" s="2" t="s">
        <v>811</v>
      </c>
      <c r="G478" s="2" t="s">
        <v>808</v>
      </c>
      <c r="H478" s="10">
        <f>WORKDAY(G478,125,'[1]Feriados y Materias'!$B$21:$B$61)</f>
        <v>46090</v>
      </c>
      <c r="I478" s="2" t="s">
        <v>192</v>
      </c>
      <c r="J478" s="2" t="s">
        <v>200</v>
      </c>
      <c r="K478" s="2" t="s">
        <v>1093</v>
      </c>
    </row>
    <row r="479" spans="1:11" x14ac:dyDescent="0.35">
      <c r="A479">
        <v>473</v>
      </c>
      <c r="B479" s="90" t="s">
        <v>16</v>
      </c>
      <c r="C479" s="2" t="s">
        <v>8</v>
      </c>
      <c r="D479" s="2" t="s">
        <v>750</v>
      </c>
      <c r="E479" s="2" t="s">
        <v>751</v>
      </c>
      <c r="F479" s="2" t="s">
        <v>752</v>
      </c>
      <c r="G479" s="2" t="s">
        <v>753</v>
      </c>
      <c r="H479" s="10">
        <f>WORKDAY(G479,125,'[1]Feriados y Materias'!$B$21:$B$61)</f>
        <v>46091</v>
      </c>
      <c r="I479" s="2" t="s">
        <v>192</v>
      </c>
      <c r="J479" s="2" t="s">
        <v>193</v>
      </c>
      <c r="K479" s="2" t="s">
        <v>1093</v>
      </c>
    </row>
    <row r="480" spans="1:11" x14ac:dyDescent="0.35">
      <c r="A480">
        <v>474</v>
      </c>
      <c r="B480" s="90" t="s">
        <v>16</v>
      </c>
      <c r="C480" s="2" t="s">
        <v>8</v>
      </c>
      <c r="D480" s="2" t="s">
        <v>750</v>
      </c>
      <c r="E480" s="2" t="s">
        <v>751</v>
      </c>
      <c r="F480" s="2" t="s">
        <v>754</v>
      </c>
      <c r="G480" s="2" t="s">
        <v>753</v>
      </c>
      <c r="H480" s="10">
        <f>WORKDAY(G480,125,'[1]Feriados y Materias'!$B$21:$B$61)</f>
        <v>46091</v>
      </c>
      <c r="I480" s="2" t="s">
        <v>192</v>
      </c>
      <c r="J480" s="2" t="s">
        <v>200</v>
      </c>
      <c r="K480" s="2" t="s">
        <v>1093</v>
      </c>
    </row>
    <row r="481" spans="1:11" x14ac:dyDescent="0.35">
      <c r="A481">
        <v>475</v>
      </c>
      <c r="B481" s="90" t="s">
        <v>16</v>
      </c>
      <c r="C481" s="2" t="s">
        <v>8</v>
      </c>
      <c r="D481" s="2" t="s">
        <v>83</v>
      </c>
      <c r="E481" s="2" t="s">
        <v>84</v>
      </c>
      <c r="F481" s="2" t="s">
        <v>755</v>
      </c>
      <c r="G481" s="2" t="s">
        <v>753</v>
      </c>
      <c r="H481" s="10">
        <f>WORKDAY(G481,125,'[1]Feriados y Materias'!$B$21:$B$61)</f>
        <v>46091</v>
      </c>
      <c r="I481" s="2" t="s">
        <v>192</v>
      </c>
      <c r="J481" s="2" t="s">
        <v>200</v>
      </c>
      <c r="K481" s="2" t="s">
        <v>1093</v>
      </c>
    </row>
    <row r="482" spans="1:11" x14ac:dyDescent="0.35">
      <c r="A482">
        <v>476</v>
      </c>
      <c r="B482" s="90" t="s">
        <v>16</v>
      </c>
      <c r="C482" s="2" t="s">
        <v>8</v>
      </c>
      <c r="D482" s="2" t="s">
        <v>756</v>
      </c>
      <c r="E482" s="2" t="s">
        <v>757</v>
      </c>
      <c r="F482" s="2" t="s">
        <v>758</v>
      </c>
      <c r="G482" s="2" t="s">
        <v>166</v>
      </c>
      <c r="H482" s="10">
        <f>WORKDAY(G482,125,'[1]Feriados y Materias'!$B$21:$B$61)</f>
        <v>46093</v>
      </c>
      <c r="I482" s="2" t="s">
        <v>192</v>
      </c>
      <c r="J482" s="2" t="s">
        <v>77</v>
      </c>
      <c r="K482" s="2" t="s">
        <v>1093</v>
      </c>
    </row>
    <row r="483" spans="1:11" x14ac:dyDescent="0.35">
      <c r="A483">
        <v>477</v>
      </c>
      <c r="B483" s="90" t="s">
        <v>16</v>
      </c>
      <c r="C483" s="2" t="s">
        <v>8</v>
      </c>
      <c r="D483" s="2" t="s">
        <v>759</v>
      </c>
      <c r="E483" s="2" t="s">
        <v>760</v>
      </c>
      <c r="F483" s="2" t="s">
        <v>761</v>
      </c>
      <c r="G483" s="2" t="s">
        <v>167</v>
      </c>
      <c r="H483" s="10">
        <f>WORKDAY(G483,125,'[1]Feriados y Materias'!$B$21:$B$61)</f>
        <v>46094</v>
      </c>
      <c r="I483" s="2" t="s">
        <v>192</v>
      </c>
      <c r="J483" s="2" t="s">
        <v>77</v>
      </c>
      <c r="K483" s="2" t="s">
        <v>1093</v>
      </c>
    </row>
    <row r="484" spans="1:11" x14ac:dyDescent="0.35">
      <c r="A484">
        <v>478</v>
      </c>
      <c r="B484" s="90" t="s">
        <v>16</v>
      </c>
      <c r="C484" s="2" t="s">
        <v>8</v>
      </c>
      <c r="D484" s="2" t="s">
        <v>762</v>
      </c>
      <c r="E484" s="2" t="s">
        <v>763</v>
      </c>
      <c r="F484" s="2" t="s">
        <v>764</v>
      </c>
      <c r="G484" s="2" t="s">
        <v>167</v>
      </c>
      <c r="H484" s="10">
        <f>WORKDAY(G484,125,'[1]Feriados y Materias'!$B$21:$B$61)</f>
        <v>46094</v>
      </c>
      <c r="I484" s="2" t="s">
        <v>192</v>
      </c>
      <c r="J484" s="2" t="s">
        <v>200</v>
      </c>
      <c r="K484" s="2" t="s">
        <v>1093</v>
      </c>
    </row>
    <row r="485" spans="1:11" x14ac:dyDescent="0.35">
      <c r="A485">
        <v>479</v>
      </c>
      <c r="B485" s="90" t="s">
        <v>16</v>
      </c>
      <c r="C485" s="2" t="s">
        <v>8</v>
      </c>
      <c r="D485" s="2" t="s">
        <v>762</v>
      </c>
      <c r="E485" s="2" t="s">
        <v>763</v>
      </c>
      <c r="F485" s="2" t="s">
        <v>765</v>
      </c>
      <c r="G485" s="2" t="s">
        <v>167</v>
      </c>
      <c r="H485" s="10">
        <f>WORKDAY(G485,125,'[1]Feriados y Materias'!$B$21:$B$61)</f>
        <v>46094</v>
      </c>
      <c r="I485" s="2" t="s">
        <v>192</v>
      </c>
      <c r="J485" s="2" t="s">
        <v>193</v>
      </c>
      <c r="K485" s="2" t="s">
        <v>1093</v>
      </c>
    </row>
    <row r="486" spans="1:11" x14ac:dyDescent="0.35">
      <c r="A486">
        <v>480</v>
      </c>
      <c r="B486" s="90" t="s">
        <v>16</v>
      </c>
      <c r="C486" s="2" t="s">
        <v>8</v>
      </c>
      <c r="D486" s="2" t="s">
        <v>766</v>
      </c>
      <c r="E486" s="2" t="s">
        <v>767</v>
      </c>
      <c r="F486" s="2" t="s">
        <v>768</v>
      </c>
      <c r="G486" s="2" t="s">
        <v>167</v>
      </c>
      <c r="H486" s="10">
        <f>WORKDAY(G486,125,'[1]Feriados y Materias'!$B$21:$B$61)</f>
        <v>46094</v>
      </c>
      <c r="I486" s="2" t="s">
        <v>192</v>
      </c>
      <c r="J486" s="2" t="s">
        <v>195</v>
      </c>
      <c r="K486" s="2" t="s">
        <v>1093</v>
      </c>
    </row>
    <row r="487" spans="1:11" x14ac:dyDescent="0.35">
      <c r="A487">
        <v>481</v>
      </c>
      <c r="B487" s="90" t="s">
        <v>16</v>
      </c>
      <c r="C487" s="2" t="s">
        <v>8</v>
      </c>
      <c r="D487" s="2" t="s">
        <v>766</v>
      </c>
      <c r="E487" s="2" t="s">
        <v>767</v>
      </c>
      <c r="F487" s="2" t="s">
        <v>769</v>
      </c>
      <c r="G487" s="2" t="s">
        <v>167</v>
      </c>
      <c r="H487" s="10">
        <f>WORKDAY(G487,125,'[1]Feriados y Materias'!$B$21:$B$61)</f>
        <v>46094</v>
      </c>
      <c r="I487" s="2" t="s">
        <v>192</v>
      </c>
      <c r="J487" s="2" t="s">
        <v>195</v>
      </c>
      <c r="K487" s="2" t="s">
        <v>1093</v>
      </c>
    </row>
    <row r="488" spans="1:11" x14ac:dyDescent="0.35">
      <c r="A488">
        <v>482</v>
      </c>
      <c r="B488" s="90" t="s">
        <v>16</v>
      </c>
      <c r="C488" s="2" t="s">
        <v>8</v>
      </c>
      <c r="D488" s="2" t="s">
        <v>766</v>
      </c>
      <c r="E488" s="2" t="s">
        <v>767</v>
      </c>
      <c r="F488" s="2" t="s">
        <v>770</v>
      </c>
      <c r="G488" s="2" t="s">
        <v>167</v>
      </c>
      <c r="H488" s="10">
        <f>WORKDAY(G488,125,'[1]Feriados y Materias'!$B$21:$B$61)</f>
        <v>46094</v>
      </c>
      <c r="I488" s="2" t="s">
        <v>192</v>
      </c>
      <c r="J488" s="2" t="s">
        <v>77</v>
      </c>
      <c r="K488" s="2" t="s">
        <v>1093</v>
      </c>
    </row>
    <row r="489" spans="1:11" x14ac:dyDescent="0.35">
      <c r="A489">
        <v>483</v>
      </c>
      <c r="B489" s="90" t="s">
        <v>16</v>
      </c>
      <c r="C489" s="2" t="s">
        <v>8</v>
      </c>
      <c r="D489" s="2" t="s">
        <v>771</v>
      </c>
      <c r="E489" s="2" t="s">
        <v>772</v>
      </c>
      <c r="F489" s="2" t="s">
        <v>773</v>
      </c>
      <c r="G489" s="2" t="s">
        <v>774</v>
      </c>
      <c r="H489" s="10">
        <f>WORKDAY(G489,125,'[1]Feriados y Materias'!$B$21:$B$61)</f>
        <v>46101</v>
      </c>
      <c r="I489" s="2" t="s">
        <v>192</v>
      </c>
      <c r="J489" s="2" t="s">
        <v>193</v>
      </c>
      <c r="K489" s="2" t="s">
        <v>1093</v>
      </c>
    </row>
    <row r="490" spans="1:11" x14ac:dyDescent="0.35">
      <c r="A490">
        <v>484</v>
      </c>
      <c r="B490" s="90" t="s">
        <v>16</v>
      </c>
      <c r="C490" s="2" t="s">
        <v>8</v>
      </c>
      <c r="D490" s="2" t="s">
        <v>771</v>
      </c>
      <c r="E490" s="2" t="s">
        <v>772</v>
      </c>
      <c r="F490" s="2" t="s">
        <v>775</v>
      </c>
      <c r="G490" s="2" t="s">
        <v>774</v>
      </c>
      <c r="H490" s="10">
        <f>WORKDAY(G490,125,'[1]Feriados y Materias'!$B$21:$B$61)</f>
        <v>46101</v>
      </c>
      <c r="I490" s="2" t="s">
        <v>192</v>
      </c>
      <c r="J490" s="2" t="s">
        <v>193</v>
      </c>
      <c r="K490" s="2" t="s">
        <v>1093</v>
      </c>
    </row>
    <row r="491" spans="1:11" x14ac:dyDescent="0.35">
      <c r="A491">
        <v>485</v>
      </c>
      <c r="B491" s="90" t="s">
        <v>16</v>
      </c>
      <c r="C491" s="2" t="s">
        <v>8</v>
      </c>
      <c r="D491" s="2" t="s">
        <v>963</v>
      </c>
      <c r="E491" s="2" t="s">
        <v>964</v>
      </c>
      <c r="F491" s="2" t="s">
        <v>965</v>
      </c>
      <c r="G491" s="2" t="s">
        <v>774</v>
      </c>
      <c r="H491" s="10">
        <f>WORKDAY(G491,125,'[1]Feriados y Materias'!$B$21:$B$61)</f>
        <v>46101</v>
      </c>
      <c r="I491" s="2" t="s">
        <v>192</v>
      </c>
      <c r="J491" s="2" t="s">
        <v>194</v>
      </c>
      <c r="K491" s="2" t="s">
        <v>1093</v>
      </c>
    </row>
    <row r="492" spans="1:11" x14ac:dyDescent="0.35">
      <c r="A492">
        <v>486</v>
      </c>
      <c r="B492" s="90" t="s">
        <v>16</v>
      </c>
      <c r="C492" s="2" t="s">
        <v>8</v>
      </c>
      <c r="D492" s="2" t="s">
        <v>812</v>
      </c>
      <c r="E492" s="2" t="s">
        <v>813</v>
      </c>
      <c r="F492" s="2" t="s">
        <v>814</v>
      </c>
      <c r="G492" s="2" t="s">
        <v>779</v>
      </c>
      <c r="H492" s="10">
        <f>WORKDAY(G492,125,'[1]Feriados y Materias'!$B$21:$B$61)</f>
        <v>46104</v>
      </c>
      <c r="I492" s="2" t="s">
        <v>192</v>
      </c>
      <c r="J492" s="2" t="s">
        <v>77</v>
      </c>
      <c r="K492" s="2" t="s">
        <v>1093</v>
      </c>
    </row>
    <row r="493" spans="1:11" x14ac:dyDescent="0.35">
      <c r="A493">
        <v>487</v>
      </c>
      <c r="B493" s="90" t="s">
        <v>16</v>
      </c>
      <c r="C493" s="2" t="s">
        <v>8</v>
      </c>
      <c r="D493" s="2" t="s">
        <v>776</v>
      </c>
      <c r="E493" s="2" t="s">
        <v>777</v>
      </c>
      <c r="F493" s="2" t="s">
        <v>778</v>
      </c>
      <c r="G493" s="2" t="s">
        <v>779</v>
      </c>
      <c r="H493" s="10">
        <f>WORKDAY(G493,125,'[1]Feriados y Materias'!$B$21:$B$61)</f>
        <v>46104</v>
      </c>
      <c r="I493" s="2" t="s">
        <v>192</v>
      </c>
      <c r="J493" s="2" t="s">
        <v>194</v>
      </c>
      <c r="K493" s="2" t="s">
        <v>1093</v>
      </c>
    </row>
    <row r="494" spans="1:11" x14ac:dyDescent="0.35">
      <c r="A494">
        <v>488</v>
      </c>
      <c r="B494" s="90" t="s">
        <v>16</v>
      </c>
      <c r="C494" s="2" t="s">
        <v>8</v>
      </c>
      <c r="D494" s="2" t="s">
        <v>311</v>
      </c>
      <c r="E494" s="2" t="s">
        <v>312</v>
      </c>
      <c r="F494" s="2" t="s">
        <v>815</v>
      </c>
      <c r="G494" s="2" t="s">
        <v>168</v>
      </c>
      <c r="H494" s="10">
        <f>WORKDAY(G494,125,'[1]Feriados y Materias'!$B$21:$B$61)</f>
        <v>46105</v>
      </c>
      <c r="I494" s="2" t="s">
        <v>192</v>
      </c>
      <c r="J494" s="2" t="s">
        <v>77</v>
      </c>
      <c r="K494" s="2" t="s">
        <v>1093</v>
      </c>
    </row>
    <row r="495" spans="1:11" x14ac:dyDescent="0.35">
      <c r="A495">
        <v>489</v>
      </c>
      <c r="B495" s="90" t="s">
        <v>16</v>
      </c>
      <c r="C495" s="2" t="s">
        <v>8</v>
      </c>
      <c r="D495" s="2" t="s">
        <v>780</v>
      </c>
      <c r="E495" s="2" t="s">
        <v>781</v>
      </c>
      <c r="F495" s="2" t="s">
        <v>782</v>
      </c>
      <c r="G495" s="2" t="s">
        <v>168</v>
      </c>
      <c r="H495" s="10">
        <f>WORKDAY(G495,125,'[1]Feriados y Materias'!$B$21:$B$61)</f>
        <v>46105</v>
      </c>
      <c r="I495" s="2" t="s">
        <v>192</v>
      </c>
      <c r="J495" s="2" t="s">
        <v>194</v>
      </c>
      <c r="K495" s="2" t="s">
        <v>1093</v>
      </c>
    </row>
    <row r="496" spans="1:11" x14ac:dyDescent="0.35">
      <c r="A496">
        <v>490</v>
      </c>
      <c r="B496" s="90" t="s">
        <v>16</v>
      </c>
      <c r="C496" s="2" t="s">
        <v>8</v>
      </c>
      <c r="D496" s="2" t="s">
        <v>311</v>
      </c>
      <c r="E496" s="2" t="s">
        <v>312</v>
      </c>
      <c r="F496" s="2" t="s">
        <v>783</v>
      </c>
      <c r="G496" s="2" t="s">
        <v>168</v>
      </c>
      <c r="H496" s="10">
        <f>WORKDAY(G496,125,'[1]Feriados y Materias'!$B$21:$B$61)</f>
        <v>46105</v>
      </c>
      <c r="I496" s="2" t="s">
        <v>192</v>
      </c>
      <c r="J496" s="2" t="s">
        <v>194</v>
      </c>
      <c r="K496" s="2" t="s">
        <v>1093</v>
      </c>
    </row>
    <row r="497" spans="1:11" x14ac:dyDescent="0.35">
      <c r="A497">
        <v>491</v>
      </c>
      <c r="B497" s="90" t="s">
        <v>16</v>
      </c>
      <c r="C497" s="2" t="s">
        <v>8</v>
      </c>
      <c r="D497" s="2" t="s">
        <v>816</v>
      </c>
      <c r="E497" s="2" t="s">
        <v>817</v>
      </c>
      <c r="F497" s="2" t="s">
        <v>818</v>
      </c>
      <c r="G497" s="2" t="s">
        <v>787</v>
      </c>
      <c r="H497" s="10">
        <f>WORKDAY(G497,125,'[1]Feriados y Materias'!$B$21:$B$61)</f>
        <v>46106</v>
      </c>
      <c r="I497" s="2" t="s">
        <v>192</v>
      </c>
      <c r="J497" s="2" t="s">
        <v>193</v>
      </c>
      <c r="K497" s="2" t="s">
        <v>1093</v>
      </c>
    </row>
    <row r="498" spans="1:11" x14ac:dyDescent="0.35">
      <c r="A498">
        <v>492</v>
      </c>
      <c r="B498" s="90" t="s">
        <v>16</v>
      </c>
      <c r="C498" s="2" t="s">
        <v>8</v>
      </c>
      <c r="D498" s="2" t="s">
        <v>816</v>
      </c>
      <c r="E498" s="2" t="s">
        <v>817</v>
      </c>
      <c r="F498" s="2" t="s">
        <v>819</v>
      </c>
      <c r="G498" s="2" t="s">
        <v>787</v>
      </c>
      <c r="H498" s="10">
        <f>WORKDAY(G498,125,'[1]Feriados y Materias'!$B$21:$B$61)</f>
        <v>46106</v>
      </c>
      <c r="I498" s="2" t="s">
        <v>192</v>
      </c>
      <c r="J498" s="2" t="s">
        <v>193</v>
      </c>
      <c r="K498" s="2" t="s">
        <v>1093</v>
      </c>
    </row>
    <row r="499" spans="1:11" x14ac:dyDescent="0.35">
      <c r="A499">
        <v>493</v>
      </c>
      <c r="B499" s="90" t="s">
        <v>16</v>
      </c>
      <c r="C499" s="2" t="s">
        <v>8</v>
      </c>
      <c r="D499" s="2" t="s">
        <v>816</v>
      </c>
      <c r="E499" s="2" t="s">
        <v>817</v>
      </c>
      <c r="F499" s="2" t="s">
        <v>820</v>
      </c>
      <c r="G499" s="2" t="s">
        <v>787</v>
      </c>
      <c r="H499" s="10">
        <f>WORKDAY(G499,125,'[1]Feriados y Materias'!$B$21:$B$61)</f>
        <v>46106</v>
      </c>
      <c r="I499" s="2" t="s">
        <v>192</v>
      </c>
      <c r="J499" s="2" t="s">
        <v>193</v>
      </c>
      <c r="K499" s="2" t="s">
        <v>1093</v>
      </c>
    </row>
    <row r="500" spans="1:11" x14ac:dyDescent="0.35">
      <c r="A500">
        <v>494</v>
      </c>
      <c r="B500" s="90" t="s">
        <v>16</v>
      </c>
      <c r="C500" s="2" t="s">
        <v>8</v>
      </c>
      <c r="D500" s="2" t="s">
        <v>816</v>
      </c>
      <c r="E500" s="2" t="s">
        <v>817</v>
      </c>
      <c r="F500" s="2" t="s">
        <v>821</v>
      </c>
      <c r="G500" s="2" t="s">
        <v>787</v>
      </c>
      <c r="H500" s="10">
        <f>WORKDAY(G500,125,'[1]Feriados y Materias'!$B$21:$B$61)</f>
        <v>46106</v>
      </c>
      <c r="I500" s="2" t="s">
        <v>192</v>
      </c>
      <c r="J500" s="2" t="s">
        <v>193</v>
      </c>
      <c r="K500" s="2" t="s">
        <v>1093</v>
      </c>
    </row>
    <row r="501" spans="1:11" x14ac:dyDescent="0.35">
      <c r="A501">
        <v>495</v>
      </c>
      <c r="B501" s="90" t="s">
        <v>16</v>
      </c>
      <c r="C501" s="2" t="s">
        <v>8</v>
      </c>
      <c r="D501" s="2" t="s">
        <v>816</v>
      </c>
      <c r="E501" s="2" t="s">
        <v>817</v>
      </c>
      <c r="F501" s="2" t="s">
        <v>822</v>
      </c>
      <c r="G501" s="2" t="s">
        <v>787</v>
      </c>
      <c r="H501" s="10">
        <f>WORKDAY(G501,125,'[1]Feriados y Materias'!$B$21:$B$61)</f>
        <v>46106</v>
      </c>
      <c r="I501" s="2" t="s">
        <v>192</v>
      </c>
      <c r="J501" s="2" t="s">
        <v>193</v>
      </c>
      <c r="K501" s="2" t="s">
        <v>1093</v>
      </c>
    </row>
    <row r="502" spans="1:11" x14ac:dyDescent="0.35">
      <c r="A502">
        <v>496</v>
      </c>
      <c r="B502" s="90" t="s">
        <v>16</v>
      </c>
      <c r="C502" s="2" t="s">
        <v>8</v>
      </c>
      <c r="D502" s="2" t="s">
        <v>816</v>
      </c>
      <c r="E502" s="2" t="s">
        <v>817</v>
      </c>
      <c r="F502" s="2" t="s">
        <v>823</v>
      </c>
      <c r="G502" s="2" t="s">
        <v>787</v>
      </c>
      <c r="H502" s="10">
        <f>WORKDAY(G502,125,'[1]Feriados y Materias'!$B$21:$B$61)</f>
        <v>46106</v>
      </c>
      <c r="I502" s="2" t="s">
        <v>192</v>
      </c>
      <c r="J502" s="2" t="s">
        <v>193</v>
      </c>
      <c r="K502" s="2" t="s">
        <v>1093</v>
      </c>
    </row>
    <row r="503" spans="1:11" x14ac:dyDescent="0.35">
      <c r="A503">
        <v>497</v>
      </c>
      <c r="B503" s="90" t="s">
        <v>16</v>
      </c>
      <c r="C503" s="2" t="s">
        <v>8</v>
      </c>
      <c r="D503" s="2" t="s">
        <v>816</v>
      </c>
      <c r="E503" s="2" t="s">
        <v>817</v>
      </c>
      <c r="F503" s="2" t="s">
        <v>824</v>
      </c>
      <c r="G503" s="2" t="s">
        <v>787</v>
      </c>
      <c r="H503" s="10">
        <f>WORKDAY(G503,125,'[1]Feriados y Materias'!$B$21:$B$61)</f>
        <v>46106</v>
      </c>
      <c r="I503" s="2" t="s">
        <v>192</v>
      </c>
      <c r="J503" s="2" t="s">
        <v>193</v>
      </c>
      <c r="K503" s="2" t="s">
        <v>1093</v>
      </c>
    </row>
    <row r="504" spans="1:11" x14ac:dyDescent="0.35">
      <c r="A504">
        <v>498</v>
      </c>
      <c r="B504" s="90" t="s">
        <v>16</v>
      </c>
      <c r="C504" s="2" t="s">
        <v>8</v>
      </c>
      <c r="D504" s="2" t="s">
        <v>816</v>
      </c>
      <c r="E504" s="2" t="s">
        <v>817</v>
      </c>
      <c r="F504" s="2" t="s">
        <v>825</v>
      </c>
      <c r="G504" s="2" t="s">
        <v>787</v>
      </c>
      <c r="H504" s="10">
        <f>WORKDAY(G504,125,'[1]Feriados y Materias'!$B$21:$B$61)</f>
        <v>46106</v>
      </c>
      <c r="I504" s="2" t="s">
        <v>192</v>
      </c>
      <c r="J504" s="2" t="s">
        <v>193</v>
      </c>
      <c r="K504" s="2" t="s">
        <v>1093</v>
      </c>
    </row>
    <row r="505" spans="1:11" x14ac:dyDescent="0.35">
      <c r="A505">
        <v>499</v>
      </c>
      <c r="B505" s="90" t="s">
        <v>16</v>
      </c>
      <c r="C505" s="2" t="s">
        <v>8</v>
      </c>
      <c r="D505" s="2" t="s">
        <v>816</v>
      </c>
      <c r="E505" s="2" t="s">
        <v>817</v>
      </c>
      <c r="F505" s="2" t="s">
        <v>826</v>
      </c>
      <c r="G505" s="2" t="s">
        <v>787</v>
      </c>
      <c r="H505" s="10">
        <f>WORKDAY(G505,125,'[1]Feriados y Materias'!$B$21:$B$61)</f>
        <v>46106</v>
      </c>
      <c r="I505" s="2" t="s">
        <v>192</v>
      </c>
      <c r="J505" s="2" t="s">
        <v>193</v>
      </c>
      <c r="K505" s="2" t="s">
        <v>1093</v>
      </c>
    </row>
    <row r="506" spans="1:11" x14ac:dyDescent="0.35">
      <c r="A506">
        <v>500</v>
      </c>
      <c r="B506" s="90" t="s">
        <v>16</v>
      </c>
      <c r="C506" s="2" t="s">
        <v>8</v>
      </c>
      <c r="D506" s="2" t="s">
        <v>816</v>
      </c>
      <c r="E506" s="2" t="s">
        <v>817</v>
      </c>
      <c r="F506" s="2" t="s">
        <v>827</v>
      </c>
      <c r="G506" s="2" t="s">
        <v>787</v>
      </c>
      <c r="H506" s="10">
        <f>WORKDAY(G506,125,'[1]Feriados y Materias'!$B$21:$B$61)</f>
        <v>46106</v>
      </c>
      <c r="I506" s="2" t="s">
        <v>192</v>
      </c>
      <c r="J506" s="2" t="s">
        <v>193</v>
      </c>
      <c r="K506" s="2" t="s">
        <v>1093</v>
      </c>
    </row>
    <row r="507" spans="1:11" x14ac:dyDescent="0.35">
      <c r="A507">
        <v>501</v>
      </c>
      <c r="B507" s="90" t="s">
        <v>16</v>
      </c>
      <c r="C507" s="2" t="s">
        <v>8</v>
      </c>
      <c r="D507" s="2" t="s">
        <v>816</v>
      </c>
      <c r="E507" s="2" t="s">
        <v>817</v>
      </c>
      <c r="F507" s="2" t="s">
        <v>828</v>
      </c>
      <c r="G507" s="2" t="s">
        <v>787</v>
      </c>
      <c r="H507" s="10">
        <f>WORKDAY(G507,125,'[1]Feriados y Materias'!$B$21:$B$61)</f>
        <v>46106</v>
      </c>
      <c r="I507" s="2" t="s">
        <v>192</v>
      </c>
      <c r="J507" s="2" t="s">
        <v>193</v>
      </c>
      <c r="K507" s="2" t="s">
        <v>1093</v>
      </c>
    </row>
    <row r="508" spans="1:11" x14ac:dyDescent="0.35">
      <c r="A508">
        <v>502</v>
      </c>
      <c r="B508" s="90" t="s">
        <v>16</v>
      </c>
      <c r="C508" s="2" t="s">
        <v>8</v>
      </c>
      <c r="D508" s="2" t="s">
        <v>816</v>
      </c>
      <c r="E508" s="2" t="s">
        <v>817</v>
      </c>
      <c r="F508" s="2" t="s">
        <v>829</v>
      </c>
      <c r="G508" s="2" t="s">
        <v>787</v>
      </c>
      <c r="H508" s="10">
        <f>WORKDAY(G508,125,'[1]Feriados y Materias'!$B$21:$B$61)</f>
        <v>46106</v>
      </c>
      <c r="I508" s="2" t="s">
        <v>192</v>
      </c>
      <c r="J508" s="2" t="s">
        <v>193</v>
      </c>
      <c r="K508" s="2" t="s">
        <v>1093</v>
      </c>
    </row>
    <row r="509" spans="1:11" x14ac:dyDescent="0.35">
      <c r="A509">
        <v>503</v>
      </c>
      <c r="B509" s="90" t="s">
        <v>16</v>
      </c>
      <c r="C509" s="2" t="s">
        <v>8</v>
      </c>
      <c r="D509" s="2" t="s">
        <v>816</v>
      </c>
      <c r="E509" s="2" t="s">
        <v>817</v>
      </c>
      <c r="F509" s="2" t="s">
        <v>830</v>
      </c>
      <c r="G509" s="2" t="s">
        <v>787</v>
      </c>
      <c r="H509" s="10">
        <f>WORKDAY(G509,125,'[1]Feriados y Materias'!$B$21:$B$61)</f>
        <v>46106</v>
      </c>
      <c r="I509" s="2" t="s">
        <v>192</v>
      </c>
      <c r="J509" s="2" t="s">
        <v>193</v>
      </c>
      <c r="K509" s="2" t="s">
        <v>1093</v>
      </c>
    </row>
    <row r="510" spans="1:11" x14ac:dyDescent="0.35">
      <c r="A510">
        <v>504</v>
      </c>
      <c r="B510" s="90" t="s">
        <v>16</v>
      </c>
      <c r="C510" s="2" t="s">
        <v>8</v>
      </c>
      <c r="D510" s="2" t="s">
        <v>816</v>
      </c>
      <c r="E510" s="2" t="s">
        <v>817</v>
      </c>
      <c r="F510" s="2" t="s">
        <v>831</v>
      </c>
      <c r="G510" s="2" t="s">
        <v>787</v>
      </c>
      <c r="H510" s="10">
        <f>WORKDAY(G510,125,'[1]Feriados y Materias'!$B$21:$B$61)</f>
        <v>46106</v>
      </c>
      <c r="I510" s="2" t="s">
        <v>192</v>
      </c>
      <c r="J510" s="2" t="s">
        <v>193</v>
      </c>
      <c r="K510" s="2" t="s">
        <v>1093</v>
      </c>
    </row>
    <row r="511" spans="1:11" x14ac:dyDescent="0.35">
      <c r="A511">
        <v>505</v>
      </c>
      <c r="B511" s="90" t="s">
        <v>16</v>
      </c>
      <c r="C511" s="2" t="s">
        <v>8</v>
      </c>
      <c r="D511" s="2" t="s">
        <v>816</v>
      </c>
      <c r="E511" s="2" t="s">
        <v>817</v>
      </c>
      <c r="F511" s="2" t="s">
        <v>832</v>
      </c>
      <c r="G511" s="2" t="s">
        <v>787</v>
      </c>
      <c r="H511" s="10">
        <f>WORKDAY(G511,125,'[1]Feriados y Materias'!$B$21:$B$61)</f>
        <v>46106</v>
      </c>
      <c r="I511" s="2" t="s">
        <v>192</v>
      </c>
      <c r="J511" s="2" t="s">
        <v>193</v>
      </c>
      <c r="K511" s="2" t="s">
        <v>1093</v>
      </c>
    </row>
    <row r="512" spans="1:11" x14ac:dyDescent="0.35">
      <c r="A512">
        <v>506</v>
      </c>
      <c r="B512" s="90" t="s">
        <v>16</v>
      </c>
      <c r="C512" s="2" t="s">
        <v>8</v>
      </c>
      <c r="D512" s="2" t="s">
        <v>816</v>
      </c>
      <c r="E512" s="2" t="s">
        <v>817</v>
      </c>
      <c r="F512" s="2" t="s">
        <v>833</v>
      </c>
      <c r="G512" s="2" t="s">
        <v>787</v>
      </c>
      <c r="H512" s="10">
        <f>WORKDAY(G512,125,'[1]Feriados y Materias'!$B$21:$B$61)</f>
        <v>46106</v>
      </c>
      <c r="I512" s="2" t="s">
        <v>192</v>
      </c>
      <c r="J512" s="2" t="s">
        <v>193</v>
      </c>
      <c r="K512" s="2" t="s">
        <v>1093</v>
      </c>
    </row>
    <row r="513" spans="1:11" x14ac:dyDescent="0.35">
      <c r="A513">
        <v>507</v>
      </c>
      <c r="B513" s="90" t="s">
        <v>16</v>
      </c>
      <c r="C513" s="2" t="s">
        <v>8</v>
      </c>
      <c r="D513" s="2" t="s">
        <v>816</v>
      </c>
      <c r="E513" s="2" t="s">
        <v>817</v>
      </c>
      <c r="F513" s="2" t="s">
        <v>834</v>
      </c>
      <c r="G513" s="2" t="s">
        <v>787</v>
      </c>
      <c r="H513" s="10">
        <f>WORKDAY(G513,125,'[1]Feriados y Materias'!$B$21:$B$61)</f>
        <v>46106</v>
      </c>
      <c r="I513" s="2" t="s">
        <v>192</v>
      </c>
      <c r="J513" s="2" t="s">
        <v>193</v>
      </c>
      <c r="K513" s="2" t="s">
        <v>1093</v>
      </c>
    </row>
    <row r="514" spans="1:11" x14ac:dyDescent="0.35">
      <c r="A514">
        <v>508</v>
      </c>
      <c r="B514" s="90" t="s">
        <v>16</v>
      </c>
      <c r="C514" s="2" t="s">
        <v>8</v>
      </c>
      <c r="D514" s="2" t="s">
        <v>816</v>
      </c>
      <c r="E514" s="2" t="s">
        <v>817</v>
      </c>
      <c r="F514" s="2" t="s">
        <v>835</v>
      </c>
      <c r="G514" s="2" t="s">
        <v>787</v>
      </c>
      <c r="H514" s="10">
        <f>WORKDAY(G514,125,'[1]Feriados y Materias'!$B$21:$B$61)</f>
        <v>46106</v>
      </c>
      <c r="I514" s="2" t="s">
        <v>192</v>
      </c>
      <c r="J514" s="2" t="s">
        <v>193</v>
      </c>
      <c r="K514" s="2" t="s">
        <v>1093</v>
      </c>
    </row>
    <row r="515" spans="1:11" x14ac:dyDescent="0.35">
      <c r="A515">
        <v>509</v>
      </c>
      <c r="B515" s="90" t="s">
        <v>16</v>
      </c>
      <c r="C515" s="2" t="s">
        <v>8</v>
      </c>
      <c r="D515" s="2" t="s">
        <v>816</v>
      </c>
      <c r="E515" s="2" t="s">
        <v>817</v>
      </c>
      <c r="F515" s="2" t="s">
        <v>836</v>
      </c>
      <c r="G515" s="2" t="s">
        <v>787</v>
      </c>
      <c r="H515" s="10">
        <f>WORKDAY(G515,125,'[1]Feriados y Materias'!$B$21:$B$61)</f>
        <v>46106</v>
      </c>
      <c r="I515" s="2" t="s">
        <v>192</v>
      </c>
      <c r="J515" s="2" t="s">
        <v>193</v>
      </c>
      <c r="K515" s="2" t="s">
        <v>1093</v>
      </c>
    </row>
    <row r="516" spans="1:11" x14ac:dyDescent="0.35">
      <c r="A516">
        <v>510</v>
      </c>
      <c r="B516" s="90" t="s">
        <v>16</v>
      </c>
      <c r="C516" s="2" t="s">
        <v>8</v>
      </c>
      <c r="D516" s="2" t="s">
        <v>816</v>
      </c>
      <c r="E516" s="2" t="s">
        <v>817</v>
      </c>
      <c r="F516" s="2" t="s">
        <v>837</v>
      </c>
      <c r="G516" s="2" t="s">
        <v>787</v>
      </c>
      <c r="H516" s="10">
        <f>WORKDAY(G516,125,'[1]Feriados y Materias'!$B$21:$B$61)</f>
        <v>46106</v>
      </c>
      <c r="I516" s="2" t="s">
        <v>192</v>
      </c>
      <c r="J516" s="2" t="s">
        <v>193</v>
      </c>
      <c r="K516" s="2" t="s">
        <v>1093</v>
      </c>
    </row>
    <row r="517" spans="1:11" x14ac:dyDescent="0.35">
      <c r="A517">
        <v>511</v>
      </c>
      <c r="B517" s="90" t="s">
        <v>16</v>
      </c>
      <c r="C517" s="2" t="s">
        <v>8</v>
      </c>
      <c r="D517" s="2" t="s">
        <v>816</v>
      </c>
      <c r="E517" s="2" t="s">
        <v>817</v>
      </c>
      <c r="F517" s="2" t="s">
        <v>838</v>
      </c>
      <c r="G517" s="2" t="s">
        <v>787</v>
      </c>
      <c r="H517" s="10">
        <f>WORKDAY(G517,125,'[1]Feriados y Materias'!$B$21:$B$61)</f>
        <v>46106</v>
      </c>
      <c r="I517" s="2" t="s">
        <v>192</v>
      </c>
      <c r="J517" s="2" t="s">
        <v>193</v>
      </c>
      <c r="K517" s="2" t="s">
        <v>1093</v>
      </c>
    </row>
    <row r="518" spans="1:11" x14ac:dyDescent="0.35">
      <c r="A518">
        <v>512</v>
      </c>
      <c r="B518" s="90" t="s">
        <v>16</v>
      </c>
      <c r="C518" s="2" t="s">
        <v>8</v>
      </c>
      <c r="D518" s="2" t="s">
        <v>816</v>
      </c>
      <c r="E518" s="2" t="s">
        <v>817</v>
      </c>
      <c r="F518" s="2" t="s">
        <v>839</v>
      </c>
      <c r="G518" s="2" t="s">
        <v>787</v>
      </c>
      <c r="H518" s="10">
        <f>WORKDAY(G518,125,'[1]Feriados y Materias'!$B$21:$B$61)</f>
        <v>46106</v>
      </c>
      <c r="I518" s="2" t="s">
        <v>192</v>
      </c>
      <c r="J518" s="2" t="s">
        <v>193</v>
      </c>
      <c r="K518" s="2" t="s">
        <v>1093</v>
      </c>
    </row>
    <row r="519" spans="1:11" x14ac:dyDescent="0.35">
      <c r="A519">
        <v>513</v>
      </c>
      <c r="B519" s="90" t="s">
        <v>16</v>
      </c>
      <c r="C519" s="2" t="s">
        <v>8</v>
      </c>
      <c r="D519" s="2" t="s">
        <v>816</v>
      </c>
      <c r="E519" s="2" t="s">
        <v>817</v>
      </c>
      <c r="F519" s="2" t="s">
        <v>840</v>
      </c>
      <c r="G519" s="2" t="s">
        <v>787</v>
      </c>
      <c r="H519" s="10">
        <f>WORKDAY(G519,125,'[1]Feriados y Materias'!$B$21:$B$61)</f>
        <v>46106</v>
      </c>
      <c r="I519" s="2" t="s">
        <v>192</v>
      </c>
      <c r="J519" s="2" t="s">
        <v>193</v>
      </c>
      <c r="K519" s="2" t="s">
        <v>1093</v>
      </c>
    </row>
    <row r="520" spans="1:11" x14ac:dyDescent="0.35">
      <c r="A520">
        <v>514</v>
      </c>
      <c r="B520" s="90" t="s">
        <v>16</v>
      </c>
      <c r="C520" s="2" t="s">
        <v>8</v>
      </c>
      <c r="D520" s="2" t="s">
        <v>816</v>
      </c>
      <c r="E520" s="2" t="s">
        <v>817</v>
      </c>
      <c r="F520" s="2" t="s">
        <v>841</v>
      </c>
      <c r="G520" s="2" t="s">
        <v>787</v>
      </c>
      <c r="H520" s="10">
        <f>WORKDAY(G520,125,'[1]Feriados y Materias'!$B$21:$B$61)</f>
        <v>46106</v>
      </c>
      <c r="I520" s="2" t="s">
        <v>192</v>
      </c>
      <c r="J520" s="2" t="s">
        <v>193</v>
      </c>
      <c r="K520" s="2" t="s">
        <v>1093</v>
      </c>
    </row>
    <row r="521" spans="1:11" x14ac:dyDescent="0.35">
      <c r="A521">
        <v>515</v>
      </c>
      <c r="B521" s="90" t="s">
        <v>16</v>
      </c>
      <c r="C521" s="2" t="s">
        <v>8</v>
      </c>
      <c r="D521" s="2" t="s">
        <v>816</v>
      </c>
      <c r="E521" s="2" t="s">
        <v>817</v>
      </c>
      <c r="F521" s="2" t="s">
        <v>842</v>
      </c>
      <c r="G521" s="2" t="s">
        <v>787</v>
      </c>
      <c r="H521" s="10">
        <f>WORKDAY(G521,125,'[1]Feriados y Materias'!$B$21:$B$61)</f>
        <v>46106</v>
      </c>
      <c r="I521" s="2" t="s">
        <v>192</v>
      </c>
      <c r="J521" s="2" t="s">
        <v>193</v>
      </c>
      <c r="K521" s="2" t="s">
        <v>1093</v>
      </c>
    </row>
    <row r="522" spans="1:11" x14ac:dyDescent="0.35">
      <c r="A522">
        <v>516</v>
      </c>
      <c r="B522" s="90" t="s">
        <v>16</v>
      </c>
      <c r="C522" s="2" t="s">
        <v>8</v>
      </c>
      <c r="D522" s="2" t="s">
        <v>816</v>
      </c>
      <c r="E522" s="2" t="s">
        <v>817</v>
      </c>
      <c r="F522" s="2" t="s">
        <v>843</v>
      </c>
      <c r="G522" s="2" t="s">
        <v>787</v>
      </c>
      <c r="H522" s="10">
        <f>WORKDAY(G522,125,'[1]Feriados y Materias'!$B$21:$B$61)</f>
        <v>46106</v>
      </c>
      <c r="I522" s="2" t="s">
        <v>192</v>
      </c>
      <c r="J522" s="2" t="s">
        <v>193</v>
      </c>
      <c r="K522" s="2" t="s">
        <v>1093</v>
      </c>
    </row>
    <row r="523" spans="1:11" x14ac:dyDescent="0.35">
      <c r="A523">
        <v>517</v>
      </c>
      <c r="B523" s="90" t="s">
        <v>16</v>
      </c>
      <c r="C523" s="2" t="s">
        <v>8</v>
      </c>
      <c r="D523" s="2" t="s">
        <v>816</v>
      </c>
      <c r="E523" s="2" t="s">
        <v>817</v>
      </c>
      <c r="F523" s="2" t="s">
        <v>844</v>
      </c>
      <c r="G523" s="2" t="s">
        <v>787</v>
      </c>
      <c r="H523" s="10">
        <f>WORKDAY(G523,125,'[1]Feriados y Materias'!$B$21:$B$61)</f>
        <v>46106</v>
      </c>
      <c r="I523" s="2" t="s">
        <v>192</v>
      </c>
      <c r="J523" s="2" t="s">
        <v>193</v>
      </c>
      <c r="K523" s="2" t="s">
        <v>1093</v>
      </c>
    </row>
    <row r="524" spans="1:11" x14ac:dyDescent="0.35">
      <c r="A524">
        <v>518</v>
      </c>
      <c r="B524" s="90" t="s">
        <v>16</v>
      </c>
      <c r="C524" s="2" t="s">
        <v>8</v>
      </c>
      <c r="D524" s="2" t="s">
        <v>816</v>
      </c>
      <c r="E524" s="2" t="s">
        <v>817</v>
      </c>
      <c r="F524" s="2" t="s">
        <v>845</v>
      </c>
      <c r="G524" s="2" t="s">
        <v>787</v>
      </c>
      <c r="H524" s="10">
        <f>WORKDAY(G524,125,'[1]Feriados y Materias'!$B$21:$B$61)</f>
        <v>46106</v>
      </c>
      <c r="I524" s="2" t="s">
        <v>192</v>
      </c>
      <c r="J524" s="2" t="s">
        <v>193</v>
      </c>
      <c r="K524" s="2" t="s">
        <v>1093</v>
      </c>
    </row>
    <row r="525" spans="1:11" x14ac:dyDescent="0.35">
      <c r="A525">
        <v>519</v>
      </c>
      <c r="B525" s="90" t="s">
        <v>16</v>
      </c>
      <c r="C525" s="2" t="s">
        <v>8</v>
      </c>
      <c r="D525" s="2" t="s">
        <v>816</v>
      </c>
      <c r="E525" s="2" t="s">
        <v>817</v>
      </c>
      <c r="F525" s="2" t="s">
        <v>846</v>
      </c>
      <c r="G525" s="2" t="s">
        <v>787</v>
      </c>
      <c r="H525" s="10">
        <f>WORKDAY(G525,125,'[1]Feriados y Materias'!$B$21:$B$61)</f>
        <v>46106</v>
      </c>
      <c r="I525" s="2" t="s">
        <v>192</v>
      </c>
      <c r="J525" s="2" t="s">
        <v>193</v>
      </c>
      <c r="K525" s="2" t="s">
        <v>1093</v>
      </c>
    </row>
    <row r="526" spans="1:11" x14ac:dyDescent="0.35">
      <c r="A526">
        <v>520</v>
      </c>
      <c r="B526" s="90" t="s">
        <v>16</v>
      </c>
      <c r="C526" s="2" t="s">
        <v>8</v>
      </c>
      <c r="D526" s="2" t="s">
        <v>816</v>
      </c>
      <c r="E526" s="2" t="s">
        <v>817</v>
      </c>
      <c r="F526" s="2" t="s">
        <v>847</v>
      </c>
      <c r="G526" s="2" t="s">
        <v>787</v>
      </c>
      <c r="H526" s="10">
        <f>WORKDAY(G526,125,'[1]Feriados y Materias'!$B$21:$B$61)</f>
        <v>46106</v>
      </c>
      <c r="I526" s="2" t="s">
        <v>192</v>
      </c>
      <c r="J526" s="2" t="s">
        <v>193</v>
      </c>
      <c r="K526" s="2" t="s">
        <v>1093</v>
      </c>
    </row>
    <row r="527" spans="1:11" x14ac:dyDescent="0.35">
      <c r="A527">
        <v>521</v>
      </c>
      <c r="B527" s="90" t="s">
        <v>16</v>
      </c>
      <c r="C527" s="2" t="s">
        <v>8</v>
      </c>
      <c r="D527" s="2" t="s">
        <v>816</v>
      </c>
      <c r="E527" s="2" t="s">
        <v>817</v>
      </c>
      <c r="F527" s="2" t="s">
        <v>848</v>
      </c>
      <c r="G527" s="2" t="s">
        <v>787</v>
      </c>
      <c r="H527" s="10">
        <f>WORKDAY(G527,125,'[1]Feriados y Materias'!$B$21:$B$61)</f>
        <v>46106</v>
      </c>
      <c r="I527" s="2" t="s">
        <v>192</v>
      </c>
      <c r="J527" s="2" t="s">
        <v>193</v>
      </c>
      <c r="K527" s="2" t="s">
        <v>1093</v>
      </c>
    </row>
    <row r="528" spans="1:11" x14ac:dyDescent="0.35">
      <c r="A528">
        <v>522</v>
      </c>
      <c r="B528" s="90" t="s">
        <v>16</v>
      </c>
      <c r="C528" s="2" t="s">
        <v>8</v>
      </c>
      <c r="D528" s="2" t="s">
        <v>816</v>
      </c>
      <c r="E528" s="2" t="s">
        <v>817</v>
      </c>
      <c r="F528" s="2" t="s">
        <v>849</v>
      </c>
      <c r="G528" s="2" t="s">
        <v>787</v>
      </c>
      <c r="H528" s="10">
        <f>WORKDAY(G528,125,'[1]Feriados y Materias'!$B$21:$B$61)</f>
        <v>46106</v>
      </c>
      <c r="I528" s="2" t="s">
        <v>192</v>
      </c>
      <c r="J528" s="2" t="s">
        <v>193</v>
      </c>
      <c r="K528" s="2" t="s">
        <v>1093</v>
      </c>
    </row>
    <row r="529" spans="1:11" x14ac:dyDescent="0.35">
      <c r="A529">
        <v>523</v>
      </c>
      <c r="B529" s="90" t="s">
        <v>16</v>
      </c>
      <c r="C529" s="2" t="s">
        <v>8</v>
      </c>
      <c r="D529" s="2" t="s">
        <v>816</v>
      </c>
      <c r="E529" s="2" t="s">
        <v>817</v>
      </c>
      <c r="F529" s="2" t="s">
        <v>850</v>
      </c>
      <c r="G529" s="2" t="s">
        <v>787</v>
      </c>
      <c r="H529" s="10">
        <f>WORKDAY(G529,125,'[1]Feriados y Materias'!$B$21:$B$61)</f>
        <v>46106</v>
      </c>
      <c r="I529" s="2" t="s">
        <v>192</v>
      </c>
      <c r="J529" s="2" t="s">
        <v>193</v>
      </c>
      <c r="K529" s="2" t="s">
        <v>1093</v>
      </c>
    </row>
    <row r="530" spans="1:11" x14ac:dyDescent="0.35">
      <c r="A530">
        <v>524</v>
      </c>
      <c r="B530" s="90" t="s">
        <v>16</v>
      </c>
      <c r="C530" s="2" t="s">
        <v>8</v>
      </c>
      <c r="D530" s="2" t="s">
        <v>816</v>
      </c>
      <c r="E530" s="2" t="s">
        <v>817</v>
      </c>
      <c r="F530" s="2" t="s">
        <v>851</v>
      </c>
      <c r="G530" s="2" t="s">
        <v>787</v>
      </c>
      <c r="H530" s="10">
        <f>WORKDAY(G530,125,'[1]Feriados y Materias'!$B$21:$B$61)</f>
        <v>46106</v>
      </c>
      <c r="I530" s="2" t="s">
        <v>192</v>
      </c>
      <c r="J530" s="2" t="s">
        <v>193</v>
      </c>
      <c r="K530" s="2" t="s">
        <v>1093</v>
      </c>
    </row>
    <row r="531" spans="1:11" x14ac:dyDescent="0.35">
      <c r="A531">
        <v>525</v>
      </c>
      <c r="B531" s="90" t="s">
        <v>16</v>
      </c>
      <c r="C531" s="2" t="s">
        <v>8</v>
      </c>
      <c r="D531" s="2" t="s">
        <v>816</v>
      </c>
      <c r="E531" s="2" t="s">
        <v>817</v>
      </c>
      <c r="F531" s="2" t="s">
        <v>852</v>
      </c>
      <c r="G531" s="2" t="s">
        <v>787</v>
      </c>
      <c r="H531" s="10">
        <f>WORKDAY(G531,125,'[1]Feriados y Materias'!$B$21:$B$61)</f>
        <v>46106</v>
      </c>
      <c r="I531" s="2" t="s">
        <v>192</v>
      </c>
      <c r="J531" s="2" t="s">
        <v>193</v>
      </c>
      <c r="K531" s="2" t="s">
        <v>1093</v>
      </c>
    </row>
    <row r="532" spans="1:11" x14ac:dyDescent="0.35">
      <c r="A532">
        <v>526</v>
      </c>
      <c r="B532" s="90" t="s">
        <v>16</v>
      </c>
      <c r="C532" s="2" t="s">
        <v>8</v>
      </c>
      <c r="D532" s="2" t="s">
        <v>816</v>
      </c>
      <c r="E532" s="2" t="s">
        <v>817</v>
      </c>
      <c r="F532" s="2" t="s">
        <v>853</v>
      </c>
      <c r="G532" s="2" t="s">
        <v>787</v>
      </c>
      <c r="H532" s="10">
        <f>WORKDAY(G532,125,'[1]Feriados y Materias'!$B$21:$B$61)</f>
        <v>46106</v>
      </c>
      <c r="I532" s="2" t="s">
        <v>192</v>
      </c>
      <c r="J532" s="2" t="s">
        <v>193</v>
      </c>
      <c r="K532" s="2" t="s">
        <v>1093</v>
      </c>
    </row>
    <row r="533" spans="1:11" x14ac:dyDescent="0.35">
      <c r="A533">
        <v>527</v>
      </c>
      <c r="B533" s="90" t="s">
        <v>16</v>
      </c>
      <c r="C533" s="2" t="s">
        <v>8</v>
      </c>
      <c r="D533" s="2" t="s">
        <v>816</v>
      </c>
      <c r="E533" s="2" t="s">
        <v>817</v>
      </c>
      <c r="F533" s="2" t="s">
        <v>854</v>
      </c>
      <c r="G533" s="2" t="s">
        <v>787</v>
      </c>
      <c r="H533" s="10">
        <f>WORKDAY(G533,125,'[1]Feriados y Materias'!$B$21:$B$61)</f>
        <v>46106</v>
      </c>
      <c r="I533" s="2" t="s">
        <v>192</v>
      </c>
      <c r="J533" s="2" t="s">
        <v>193</v>
      </c>
      <c r="K533" s="2" t="s">
        <v>1093</v>
      </c>
    </row>
    <row r="534" spans="1:11" x14ac:dyDescent="0.35">
      <c r="A534">
        <v>528</v>
      </c>
      <c r="B534" s="90" t="s">
        <v>16</v>
      </c>
      <c r="C534" s="2" t="s">
        <v>8</v>
      </c>
      <c r="D534" s="2" t="s">
        <v>816</v>
      </c>
      <c r="E534" s="2" t="s">
        <v>817</v>
      </c>
      <c r="F534" s="2" t="s">
        <v>855</v>
      </c>
      <c r="G534" s="2" t="s">
        <v>787</v>
      </c>
      <c r="H534" s="10">
        <f>WORKDAY(G534,125,'[1]Feriados y Materias'!$B$21:$B$61)</f>
        <v>46106</v>
      </c>
      <c r="I534" s="2" t="s">
        <v>192</v>
      </c>
      <c r="J534" s="2" t="s">
        <v>193</v>
      </c>
      <c r="K534" s="2" t="s">
        <v>1093</v>
      </c>
    </row>
    <row r="535" spans="1:11" x14ac:dyDescent="0.35">
      <c r="A535">
        <v>529</v>
      </c>
      <c r="B535" s="90" t="s">
        <v>16</v>
      </c>
      <c r="C535" s="2" t="s">
        <v>8</v>
      </c>
      <c r="D535" s="2" t="s">
        <v>816</v>
      </c>
      <c r="E535" s="2" t="s">
        <v>817</v>
      </c>
      <c r="F535" s="2" t="s">
        <v>856</v>
      </c>
      <c r="G535" s="2" t="s">
        <v>787</v>
      </c>
      <c r="H535" s="10">
        <f>WORKDAY(G535,125,'[1]Feriados y Materias'!$B$21:$B$61)</f>
        <v>46106</v>
      </c>
      <c r="I535" s="2" t="s">
        <v>192</v>
      </c>
      <c r="J535" s="2" t="s">
        <v>193</v>
      </c>
      <c r="K535" s="2" t="s">
        <v>1093</v>
      </c>
    </row>
    <row r="536" spans="1:11" x14ac:dyDescent="0.35">
      <c r="A536">
        <v>530</v>
      </c>
      <c r="B536" s="90" t="s">
        <v>16</v>
      </c>
      <c r="C536" s="2" t="s">
        <v>8</v>
      </c>
      <c r="D536" s="2" t="s">
        <v>816</v>
      </c>
      <c r="E536" s="2" t="s">
        <v>817</v>
      </c>
      <c r="F536" s="2" t="s">
        <v>857</v>
      </c>
      <c r="G536" s="2" t="s">
        <v>787</v>
      </c>
      <c r="H536" s="10">
        <f>WORKDAY(G536,125,'[1]Feriados y Materias'!$B$21:$B$61)</f>
        <v>46106</v>
      </c>
      <c r="I536" s="2" t="s">
        <v>192</v>
      </c>
      <c r="J536" s="2" t="s">
        <v>193</v>
      </c>
      <c r="K536" s="2" t="s">
        <v>1093</v>
      </c>
    </row>
    <row r="537" spans="1:11" x14ac:dyDescent="0.35">
      <c r="A537">
        <v>531</v>
      </c>
      <c r="B537" s="90" t="s">
        <v>16</v>
      </c>
      <c r="C537" s="2" t="s">
        <v>8</v>
      </c>
      <c r="D537" s="2" t="s">
        <v>816</v>
      </c>
      <c r="E537" s="2" t="s">
        <v>817</v>
      </c>
      <c r="F537" s="2" t="s">
        <v>858</v>
      </c>
      <c r="G537" s="2" t="s">
        <v>787</v>
      </c>
      <c r="H537" s="10">
        <f>WORKDAY(G537,125,'[1]Feriados y Materias'!$B$21:$B$61)</f>
        <v>46106</v>
      </c>
      <c r="I537" s="2" t="s">
        <v>192</v>
      </c>
      <c r="J537" s="2" t="s">
        <v>193</v>
      </c>
      <c r="K537" s="2" t="s">
        <v>1093</v>
      </c>
    </row>
    <row r="538" spans="1:11" x14ac:dyDescent="0.35">
      <c r="A538">
        <v>532</v>
      </c>
      <c r="B538" s="90" t="s">
        <v>16</v>
      </c>
      <c r="C538" s="2" t="s">
        <v>8</v>
      </c>
      <c r="D538" s="2" t="s">
        <v>816</v>
      </c>
      <c r="E538" s="2" t="s">
        <v>817</v>
      </c>
      <c r="F538" s="2" t="s">
        <v>859</v>
      </c>
      <c r="G538" s="2" t="s">
        <v>787</v>
      </c>
      <c r="H538" s="10">
        <f>WORKDAY(G538,125,'[1]Feriados y Materias'!$B$21:$B$61)</f>
        <v>46106</v>
      </c>
      <c r="I538" s="2" t="s">
        <v>192</v>
      </c>
      <c r="J538" s="2" t="s">
        <v>193</v>
      </c>
      <c r="K538" s="2" t="s">
        <v>1093</v>
      </c>
    </row>
    <row r="539" spans="1:11" x14ac:dyDescent="0.35">
      <c r="A539">
        <v>533</v>
      </c>
      <c r="B539" s="90" t="s">
        <v>16</v>
      </c>
      <c r="C539" s="2" t="s">
        <v>8</v>
      </c>
      <c r="D539" s="2" t="s">
        <v>816</v>
      </c>
      <c r="E539" s="2" t="s">
        <v>817</v>
      </c>
      <c r="F539" s="2" t="s">
        <v>860</v>
      </c>
      <c r="G539" s="2" t="s">
        <v>787</v>
      </c>
      <c r="H539" s="10">
        <f>WORKDAY(G539,125,'[1]Feriados y Materias'!$B$21:$B$61)</f>
        <v>46106</v>
      </c>
      <c r="I539" s="2" t="s">
        <v>192</v>
      </c>
      <c r="J539" s="2" t="s">
        <v>193</v>
      </c>
      <c r="K539" s="2" t="s">
        <v>1093</v>
      </c>
    </row>
    <row r="540" spans="1:11" x14ac:dyDescent="0.35">
      <c r="A540">
        <v>534</v>
      </c>
      <c r="B540" s="90" t="s">
        <v>16</v>
      </c>
      <c r="C540" s="2" t="s">
        <v>8</v>
      </c>
      <c r="D540" s="2" t="s">
        <v>816</v>
      </c>
      <c r="E540" s="2" t="s">
        <v>817</v>
      </c>
      <c r="F540" s="2" t="s">
        <v>861</v>
      </c>
      <c r="G540" s="2" t="s">
        <v>787</v>
      </c>
      <c r="H540" s="10">
        <f>WORKDAY(G540,125,'[1]Feriados y Materias'!$B$21:$B$61)</f>
        <v>46106</v>
      </c>
      <c r="I540" s="2" t="s">
        <v>192</v>
      </c>
      <c r="J540" s="2" t="s">
        <v>193</v>
      </c>
      <c r="K540" s="2" t="s">
        <v>1093</v>
      </c>
    </row>
    <row r="541" spans="1:11" x14ac:dyDescent="0.35">
      <c r="A541">
        <v>535</v>
      </c>
      <c r="B541" s="90" t="s">
        <v>16</v>
      </c>
      <c r="C541" s="2" t="s">
        <v>8</v>
      </c>
      <c r="D541" s="2" t="s">
        <v>816</v>
      </c>
      <c r="E541" s="2" t="s">
        <v>817</v>
      </c>
      <c r="F541" s="2" t="s">
        <v>862</v>
      </c>
      <c r="G541" s="2" t="s">
        <v>787</v>
      </c>
      <c r="H541" s="10">
        <f>WORKDAY(G541,125,'[1]Feriados y Materias'!$B$21:$B$61)</f>
        <v>46106</v>
      </c>
      <c r="I541" s="2" t="s">
        <v>192</v>
      </c>
      <c r="J541" s="2" t="s">
        <v>193</v>
      </c>
      <c r="K541" s="2" t="s">
        <v>1093</v>
      </c>
    </row>
    <row r="542" spans="1:11" x14ac:dyDescent="0.35">
      <c r="A542">
        <v>536</v>
      </c>
      <c r="B542" s="90" t="s">
        <v>16</v>
      </c>
      <c r="C542" s="2" t="s">
        <v>8</v>
      </c>
      <c r="D542" s="2" t="s">
        <v>816</v>
      </c>
      <c r="E542" s="2" t="s">
        <v>817</v>
      </c>
      <c r="F542" s="2" t="s">
        <v>863</v>
      </c>
      <c r="G542" s="2" t="s">
        <v>787</v>
      </c>
      <c r="H542" s="10">
        <f>WORKDAY(G542,125,'[1]Feriados y Materias'!$B$21:$B$61)</f>
        <v>46106</v>
      </c>
      <c r="I542" s="2" t="s">
        <v>192</v>
      </c>
      <c r="J542" s="2" t="s">
        <v>193</v>
      </c>
      <c r="K542" s="2" t="s">
        <v>1093</v>
      </c>
    </row>
    <row r="543" spans="1:11" x14ac:dyDescent="0.35">
      <c r="A543">
        <v>537</v>
      </c>
      <c r="B543" s="90" t="s">
        <v>16</v>
      </c>
      <c r="C543" s="2" t="s">
        <v>8</v>
      </c>
      <c r="D543" s="2" t="s">
        <v>816</v>
      </c>
      <c r="E543" s="2" t="s">
        <v>817</v>
      </c>
      <c r="F543" s="2" t="s">
        <v>864</v>
      </c>
      <c r="G543" s="2" t="s">
        <v>787</v>
      </c>
      <c r="H543" s="10">
        <f>WORKDAY(G543,125,'[1]Feriados y Materias'!$B$21:$B$61)</f>
        <v>46106</v>
      </c>
      <c r="I543" s="2" t="s">
        <v>192</v>
      </c>
      <c r="J543" s="2" t="s">
        <v>193</v>
      </c>
      <c r="K543" s="2" t="s">
        <v>1093</v>
      </c>
    </row>
    <row r="544" spans="1:11" x14ac:dyDescent="0.35">
      <c r="A544">
        <v>538</v>
      </c>
      <c r="B544" s="90" t="s">
        <v>16</v>
      </c>
      <c r="C544" s="2" t="s">
        <v>8</v>
      </c>
      <c r="D544" s="2" t="s">
        <v>816</v>
      </c>
      <c r="E544" s="2" t="s">
        <v>817</v>
      </c>
      <c r="F544" s="2" t="s">
        <v>865</v>
      </c>
      <c r="G544" s="2" t="s">
        <v>787</v>
      </c>
      <c r="H544" s="10">
        <f>WORKDAY(G544,125,'[1]Feriados y Materias'!$B$21:$B$61)</f>
        <v>46106</v>
      </c>
      <c r="I544" s="2" t="s">
        <v>192</v>
      </c>
      <c r="J544" s="2" t="s">
        <v>193</v>
      </c>
      <c r="K544" s="2" t="s">
        <v>1093</v>
      </c>
    </row>
    <row r="545" spans="1:11" x14ac:dyDescent="0.35">
      <c r="A545">
        <v>539</v>
      </c>
      <c r="B545" s="90" t="s">
        <v>16</v>
      </c>
      <c r="C545" s="2" t="s">
        <v>8</v>
      </c>
      <c r="D545" s="2" t="s">
        <v>816</v>
      </c>
      <c r="E545" s="2" t="s">
        <v>817</v>
      </c>
      <c r="F545" s="2" t="s">
        <v>866</v>
      </c>
      <c r="G545" s="2" t="s">
        <v>787</v>
      </c>
      <c r="H545" s="10">
        <f>WORKDAY(G545,125,'[1]Feriados y Materias'!$B$21:$B$61)</f>
        <v>46106</v>
      </c>
      <c r="I545" s="2" t="s">
        <v>192</v>
      </c>
      <c r="J545" s="2" t="s">
        <v>193</v>
      </c>
      <c r="K545" s="2" t="s">
        <v>1093</v>
      </c>
    </row>
    <row r="546" spans="1:11" x14ac:dyDescent="0.35">
      <c r="A546">
        <v>540</v>
      </c>
      <c r="B546" s="90" t="s">
        <v>16</v>
      </c>
      <c r="C546" s="2" t="s">
        <v>8</v>
      </c>
      <c r="D546" s="2" t="s">
        <v>816</v>
      </c>
      <c r="E546" s="2" t="s">
        <v>817</v>
      </c>
      <c r="F546" s="2" t="s">
        <v>867</v>
      </c>
      <c r="G546" s="2" t="s">
        <v>787</v>
      </c>
      <c r="H546" s="10">
        <f>WORKDAY(G546,125,'[1]Feriados y Materias'!$B$21:$B$61)</f>
        <v>46106</v>
      </c>
      <c r="I546" s="2" t="s">
        <v>192</v>
      </c>
      <c r="J546" s="2" t="s">
        <v>193</v>
      </c>
      <c r="K546" s="2" t="s">
        <v>1093</v>
      </c>
    </row>
    <row r="547" spans="1:11" x14ac:dyDescent="0.35">
      <c r="A547">
        <v>541</v>
      </c>
      <c r="B547" s="90" t="s">
        <v>16</v>
      </c>
      <c r="C547" s="2" t="s">
        <v>8</v>
      </c>
      <c r="D547" s="2" t="s">
        <v>784</v>
      </c>
      <c r="E547" s="2" t="s">
        <v>785</v>
      </c>
      <c r="F547" s="2" t="s">
        <v>786</v>
      </c>
      <c r="G547" s="2" t="s">
        <v>787</v>
      </c>
      <c r="H547" s="10">
        <f>WORKDAY(G547,125,'[1]Feriados y Materias'!$B$21:$B$61)</f>
        <v>46106</v>
      </c>
      <c r="I547" s="2" t="s">
        <v>192</v>
      </c>
      <c r="J547" s="2" t="s">
        <v>195</v>
      </c>
      <c r="K547" s="2" t="s">
        <v>1093</v>
      </c>
    </row>
    <row r="548" spans="1:11" x14ac:dyDescent="0.35">
      <c r="A548">
        <v>542</v>
      </c>
      <c r="B548" s="90" t="s">
        <v>16</v>
      </c>
      <c r="C548" s="2" t="s">
        <v>8</v>
      </c>
      <c r="D548" s="2" t="s">
        <v>966</v>
      </c>
      <c r="E548" s="2" t="s">
        <v>967</v>
      </c>
      <c r="F548" s="2" t="s">
        <v>968</v>
      </c>
      <c r="G548" s="2" t="s">
        <v>787</v>
      </c>
      <c r="H548" s="10">
        <f>WORKDAY(G548,125,'[1]Feriados y Materias'!$B$21:$B$61)</f>
        <v>46106</v>
      </c>
      <c r="I548" s="2" t="s">
        <v>192</v>
      </c>
      <c r="J548" s="2" t="s">
        <v>194</v>
      </c>
      <c r="K548" s="2" t="s">
        <v>1093</v>
      </c>
    </row>
    <row r="549" spans="1:11" x14ac:dyDescent="0.35">
      <c r="A549">
        <v>543</v>
      </c>
      <c r="B549" s="90" t="s">
        <v>16</v>
      </c>
      <c r="C549" s="2" t="s">
        <v>8</v>
      </c>
      <c r="D549" s="2" t="s">
        <v>771</v>
      </c>
      <c r="E549" s="2" t="s">
        <v>772</v>
      </c>
      <c r="F549" s="2" t="s">
        <v>868</v>
      </c>
      <c r="G549" s="2" t="s">
        <v>787</v>
      </c>
      <c r="H549" s="10">
        <f>WORKDAY(G549,125,'[1]Feriados y Materias'!$B$21:$B$61)</f>
        <v>46106</v>
      </c>
      <c r="I549" s="2" t="s">
        <v>192</v>
      </c>
      <c r="J549" s="2" t="s">
        <v>200</v>
      </c>
      <c r="K549" s="2" t="s">
        <v>1093</v>
      </c>
    </row>
    <row r="550" spans="1:11" x14ac:dyDescent="0.35">
      <c r="A550">
        <v>544</v>
      </c>
      <c r="B550" s="90" t="s">
        <v>16</v>
      </c>
      <c r="C550" s="2" t="s">
        <v>8</v>
      </c>
      <c r="D550" s="2" t="s">
        <v>771</v>
      </c>
      <c r="E550" s="2" t="s">
        <v>772</v>
      </c>
      <c r="F550" s="2" t="s">
        <v>869</v>
      </c>
      <c r="G550" s="2" t="s">
        <v>787</v>
      </c>
      <c r="H550" s="10">
        <f>WORKDAY(G550,125,'[1]Feriados y Materias'!$B$21:$B$61)</f>
        <v>46106</v>
      </c>
      <c r="I550" s="2" t="s">
        <v>192</v>
      </c>
      <c r="J550" s="2" t="s">
        <v>195</v>
      </c>
      <c r="K550" s="2" t="s">
        <v>1093</v>
      </c>
    </row>
    <row r="551" spans="1:11" x14ac:dyDescent="0.35">
      <c r="A551">
        <v>545</v>
      </c>
      <c r="B551" s="90" t="s">
        <v>16</v>
      </c>
      <c r="C551" s="2" t="s">
        <v>8</v>
      </c>
      <c r="D551" s="2" t="s">
        <v>816</v>
      </c>
      <c r="E551" s="2" t="s">
        <v>817</v>
      </c>
      <c r="F551" s="2" t="s">
        <v>870</v>
      </c>
      <c r="G551" s="2" t="s">
        <v>787</v>
      </c>
      <c r="H551" s="10">
        <f>WORKDAY(G551,125,'[1]Feriados y Materias'!$B$21:$B$61)</f>
        <v>46106</v>
      </c>
      <c r="I551" s="2" t="s">
        <v>192</v>
      </c>
      <c r="J551" s="2" t="s">
        <v>193</v>
      </c>
      <c r="K551" s="2" t="s">
        <v>1093</v>
      </c>
    </row>
    <row r="552" spans="1:11" x14ac:dyDescent="0.35">
      <c r="A552">
        <v>546</v>
      </c>
      <c r="B552" s="90" t="s">
        <v>16</v>
      </c>
      <c r="C552" s="2" t="s">
        <v>8</v>
      </c>
      <c r="D552" s="2" t="s">
        <v>816</v>
      </c>
      <c r="E552" s="2" t="s">
        <v>817</v>
      </c>
      <c r="F552" s="2" t="s">
        <v>871</v>
      </c>
      <c r="G552" s="2" t="s">
        <v>787</v>
      </c>
      <c r="H552" s="10">
        <f>WORKDAY(G552,125,'[1]Feriados y Materias'!$B$21:$B$61)</f>
        <v>46106</v>
      </c>
      <c r="I552" s="2" t="s">
        <v>192</v>
      </c>
      <c r="J552" s="2" t="s">
        <v>193</v>
      </c>
      <c r="K552" s="2" t="s">
        <v>1093</v>
      </c>
    </row>
    <row r="553" spans="1:11" x14ac:dyDescent="0.35">
      <c r="A553">
        <v>547</v>
      </c>
      <c r="B553" s="90" t="s">
        <v>16</v>
      </c>
      <c r="C553" s="2" t="s">
        <v>8</v>
      </c>
      <c r="D553" s="2" t="s">
        <v>816</v>
      </c>
      <c r="E553" s="2" t="s">
        <v>817</v>
      </c>
      <c r="F553" s="2" t="s">
        <v>872</v>
      </c>
      <c r="G553" s="2" t="s">
        <v>787</v>
      </c>
      <c r="H553" s="10">
        <f>WORKDAY(G553,125,'[1]Feriados y Materias'!$B$21:$B$61)</f>
        <v>46106</v>
      </c>
      <c r="I553" s="2" t="s">
        <v>192</v>
      </c>
      <c r="J553" s="2" t="s">
        <v>193</v>
      </c>
      <c r="K553" s="2" t="s">
        <v>1093</v>
      </c>
    </row>
    <row r="554" spans="1:11" x14ac:dyDescent="0.35">
      <c r="A554">
        <v>548</v>
      </c>
      <c r="B554" s="90" t="s">
        <v>16</v>
      </c>
      <c r="C554" s="2" t="s">
        <v>8</v>
      </c>
      <c r="D554" s="2" t="s">
        <v>816</v>
      </c>
      <c r="E554" s="2" t="s">
        <v>817</v>
      </c>
      <c r="F554" s="2" t="s">
        <v>873</v>
      </c>
      <c r="G554" s="2" t="s">
        <v>787</v>
      </c>
      <c r="H554" s="10">
        <f>WORKDAY(G554,125,'[1]Feriados y Materias'!$B$21:$B$61)</f>
        <v>46106</v>
      </c>
      <c r="I554" s="2" t="s">
        <v>192</v>
      </c>
      <c r="J554" s="2" t="s">
        <v>193</v>
      </c>
      <c r="K554" s="2" t="s">
        <v>1093</v>
      </c>
    </row>
    <row r="555" spans="1:11" x14ac:dyDescent="0.35">
      <c r="A555">
        <v>549</v>
      </c>
      <c r="B555" s="90" t="s">
        <v>16</v>
      </c>
      <c r="C555" s="2" t="s">
        <v>8</v>
      </c>
      <c r="D555" s="2" t="s">
        <v>816</v>
      </c>
      <c r="E555" s="2" t="s">
        <v>817</v>
      </c>
      <c r="F555" s="2" t="s">
        <v>874</v>
      </c>
      <c r="G555" s="2" t="s">
        <v>787</v>
      </c>
      <c r="H555" s="10">
        <f>WORKDAY(G555,125,'[1]Feriados y Materias'!$B$21:$B$61)</f>
        <v>46106</v>
      </c>
      <c r="I555" s="2" t="s">
        <v>192</v>
      </c>
      <c r="J555" s="2" t="s">
        <v>193</v>
      </c>
      <c r="K555" s="2" t="s">
        <v>1093</v>
      </c>
    </row>
    <row r="556" spans="1:11" x14ac:dyDescent="0.35">
      <c r="A556">
        <v>550</v>
      </c>
      <c r="B556" s="90" t="s">
        <v>16</v>
      </c>
      <c r="C556" s="2" t="s">
        <v>8</v>
      </c>
      <c r="D556" s="2" t="s">
        <v>816</v>
      </c>
      <c r="E556" s="2" t="s">
        <v>817</v>
      </c>
      <c r="F556" s="2" t="s">
        <v>875</v>
      </c>
      <c r="G556" s="2" t="s">
        <v>787</v>
      </c>
      <c r="H556" s="10">
        <f>WORKDAY(G556,125,'[1]Feriados y Materias'!$B$21:$B$61)</f>
        <v>46106</v>
      </c>
      <c r="I556" s="2" t="s">
        <v>192</v>
      </c>
      <c r="J556" s="2" t="s">
        <v>193</v>
      </c>
      <c r="K556" s="2" t="s">
        <v>1093</v>
      </c>
    </row>
    <row r="557" spans="1:11" x14ac:dyDescent="0.35">
      <c r="A557">
        <v>551</v>
      </c>
      <c r="B557" s="90" t="s">
        <v>16</v>
      </c>
      <c r="C557" s="2" t="s">
        <v>8</v>
      </c>
      <c r="D557" s="2" t="s">
        <v>816</v>
      </c>
      <c r="E557" s="2" t="s">
        <v>817</v>
      </c>
      <c r="F557" s="2" t="s">
        <v>876</v>
      </c>
      <c r="G557" s="2" t="s">
        <v>787</v>
      </c>
      <c r="H557" s="10">
        <f>WORKDAY(G557,125,'[1]Feriados y Materias'!$B$21:$B$61)</f>
        <v>46106</v>
      </c>
      <c r="I557" s="2" t="s">
        <v>192</v>
      </c>
      <c r="J557" s="2" t="s">
        <v>193</v>
      </c>
      <c r="K557" s="2" t="s">
        <v>1093</v>
      </c>
    </row>
    <row r="558" spans="1:11" x14ac:dyDescent="0.35">
      <c r="A558">
        <v>552</v>
      </c>
      <c r="B558" s="90" t="s">
        <v>16</v>
      </c>
      <c r="C558" s="2" t="s">
        <v>8</v>
      </c>
      <c r="D558" s="2" t="s">
        <v>816</v>
      </c>
      <c r="E558" s="2" t="s">
        <v>817</v>
      </c>
      <c r="F558" s="2" t="s">
        <v>877</v>
      </c>
      <c r="G558" s="2" t="s">
        <v>787</v>
      </c>
      <c r="H558" s="10">
        <f>WORKDAY(G558,125,'[1]Feriados y Materias'!$B$21:$B$61)</f>
        <v>46106</v>
      </c>
      <c r="I558" s="2" t="s">
        <v>192</v>
      </c>
      <c r="J558" s="2" t="s">
        <v>193</v>
      </c>
      <c r="K558" s="2" t="s">
        <v>1093</v>
      </c>
    </row>
    <row r="559" spans="1:11" x14ac:dyDescent="0.35">
      <c r="A559">
        <v>553</v>
      </c>
      <c r="B559" s="90" t="s">
        <v>16</v>
      </c>
      <c r="C559" s="2" t="s">
        <v>8</v>
      </c>
      <c r="D559" s="2" t="s">
        <v>816</v>
      </c>
      <c r="E559" s="2" t="s">
        <v>817</v>
      </c>
      <c r="F559" s="2" t="s">
        <v>878</v>
      </c>
      <c r="G559" s="2" t="s">
        <v>787</v>
      </c>
      <c r="H559" s="10">
        <f>WORKDAY(G559,125,'[1]Feriados y Materias'!$B$21:$B$61)</f>
        <v>46106</v>
      </c>
      <c r="I559" s="2" t="s">
        <v>192</v>
      </c>
      <c r="J559" s="2" t="s">
        <v>193</v>
      </c>
      <c r="K559" s="2" t="s">
        <v>1093</v>
      </c>
    </row>
    <row r="560" spans="1:11" x14ac:dyDescent="0.35">
      <c r="A560">
        <v>554</v>
      </c>
      <c r="B560" s="90" t="s">
        <v>16</v>
      </c>
      <c r="C560" s="2" t="s">
        <v>8</v>
      </c>
      <c r="D560" s="2" t="s">
        <v>816</v>
      </c>
      <c r="E560" s="2" t="s">
        <v>817</v>
      </c>
      <c r="F560" s="2" t="s">
        <v>879</v>
      </c>
      <c r="G560" s="2" t="s">
        <v>787</v>
      </c>
      <c r="H560" s="10">
        <f>WORKDAY(G560,125,'[1]Feriados y Materias'!$B$21:$B$61)</f>
        <v>46106</v>
      </c>
      <c r="I560" s="2" t="s">
        <v>192</v>
      </c>
      <c r="J560" s="2" t="s">
        <v>193</v>
      </c>
      <c r="K560" s="2" t="s">
        <v>1093</v>
      </c>
    </row>
    <row r="561" spans="1:11" x14ac:dyDescent="0.35">
      <c r="A561">
        <v>555</v>
      </c>
      <c r="B561" s="90" t="s">
        <v>16</v>
      </c>
      <c r="C561" s="2" t="s">
        <v>8</v>
      </c>
      <c r="D561" s="2" t="s">
        <v>771</v>
      </c>
      <c r="E561" s="2" t="s">
        <v>772</v>
      </c>
      <c r="F561" s="2" t="s">
        <v>880</v>
      </c>
      <c r="G561" s="2" t="s">
        <v>789</v>
      </c>
      <c r="H561" s="10">
        <f>WORKDAY(G561,125,'[1]Feriados y Materias'!$B$21:$B$61)</f>
        <v>46107</v>
      </c>
      <c r="I561" s="2" t="s">
        <v>192</v>
      </c>
      <c r="J561" s="2" t="s">
        <v>195</v>
      </c>
      <c r="K561" s="2" t="s">
        <v>1093</v>
      </c>
    </row>
    <row r="562" spans="1:11" x14ac:dyDescent="0.35">
      <c r="A562">
        <v>556</v>
      </c>
      <c r="B562" s="90" t="s">
        <v>16</v>
      </c>
      <c r="C562" s="2" t="s">
        <v>8</v>
      </c>
      <c r="D562" s="2" t="s">
        <v>771</v>
      </c>
      <c r="E562" s="2" t="s">
        <v>772</v>
      </c>
      <c r="F562" s="2" t="s">
        <v>881</v>
      </c>
      <c r="G562" s="2" t="s">
        <v>789</v>
      </c>
      <c r="H562" s="10">
        <f>WORKDAY(G562,125,'[1]Feriados y Materias'!$B$21:$B$61)</f>
        <v>46107</v>
      </c>
      <c r="I562" s="2" t="s">
        <v>192</v>
      </c>
      <c r="J562" s="2" t="s">
        <v>195</v>
      </c>
      <c r="K562" s="2" t="s">
        <v>1093</v>
      </c>
    </row>
    <row r="563" spans="1:11" x14ac:dyDescent="0.35">
      <c r="A563">
        <v>557</v>
      </c>
      <c r="B563" s="90"/>
      <c r="C563" s="2" t="s">
        <v>8</v>
      </c>
      <c r="D563" s="2" t="s">
        <v>816</v>
      </c>
      <c r="E563" s="2" t="s">
        <v>817</v>
      </c>
      <c r="F563" s="2" t="s">
        <v>882</v>
      </c>
      <c r="G563" s="2" t="s">
        <v>789</v>
      </c>
      <c r="H563" s="10">
        <f>WORKDAY(G563,125,'[1]Feriados y Materias'!$B$21:$B$61)</f>
        <v>46107</v>
      </c>
      <c r="I563" s="2" t="s">
        <v>192</v>
      </c>
      <c r="J563" s="2" t="s">
        <v>193</v>
      </c>
      <c r="K563" s="2" t="s">
        <v>1093</v>
      </c>
    </row>
    <row r="564" spans="1:11" x14ac:dyDescent="0.35">
      <c r="A564">
        <v>558</v>
      </c>
      <c r="B564" s="90"/>
      <c r="C564" s="2" t="s">
        <v>8</v>
      </c>
      <c r="D564" s="2" t="s">
        <v>816</v>
      </c>
      <c r="E564" s="2" t="s">
        <v>817</v>
      </c>
      <c r="F564" s="2" t="s">
        <v>883</v>
      </c>
      <c r="G564" s="2" t="s">
        <v>789</v>
      </c>
      <c r="H564" s="10">
        <f>WORKDAY(G564,125,'[1]Feriados y Materias'!$B$21:$B$61)</f>
        <v>46107</v>
      </c>
      <c r="I564" s="2" t="s">
        <v>192</v>
      </c>
      <c r="J564" s="2" t="s">
        <v>193</v>
      </c>
      <c r="K564" s="2" t="s">
        <v>1093</v>
      </c>
    </row>
    <row r="565" spans="1:11" x14ac:dyDescent="0.35">
      <c r="A565">
        <v>559</v>
      </c>
      <c r="B565" s="92" t="s">
        <v>1</v>
      </c>
      <c r="C565" s="2" t="s">
        <v>8</v>
      </c>
      <c r="D565" s="2" t="s">
        <v>816</v>
      </c>
      <c r="E565" s="2" t="s">
        <v>817</v>
      </c>
      <c r="F565" s="2" t="s">
        <v>884</v>
      </c>
      <c r="G565" s="2" t="s">
        <v>789</v>
      </c>
      <c r="H565" s="10">
        <f>WORKDAY(G565,125,'[1]Feriados y Materias'!$B$21:$B$61)</f>
        <v>46107</v>
      </c>
      <c r="I565" s="2" t="s">
        <v>192</v>
      </c>
      <c r="J565" s="2" t="s">
        <v>193</v>
      </c>
      <c r="K565" s="2" t="s">
        <v>1093</v>
      </c>
    </row>
    <row r="566" spans="1:11" x14ac:dyDescent="0.35">
      <c r="A566">
        <v>560</v>
      </c>
      <c r="B566" s="90" t="s">
        <v>16</v>
      </c>
      <c r="C566" s="2" t="s">
        <v>8</v>
      </c>
      <c r="D566" s="2" t="s">
        <v>885</v>
      </c>
      <c r="E566" s="2" t="s">
        <v>886</v>
      </c>
      <c r="F566" s="2" t="s">
        <v>887</v>
      </c>
      <c r="G566" s="2" t="s">
        <v>789</v>
      </c>
      <c r="H566" s="10">
        <f>WORKDAY(G566,125,'[1]Feriados y Materias'!$B$21:$B$61)</f>
        <v>46107</v>
      </c>
      <c r="I566" s="2" t="s">
        <v>192</v>
      </c>
      <c r="J566" s="2" t="s">
        <v>195</v>
      </c>
      <c r="K566" s="2" t="s">
        <v>1093</v>
      </c>
    </row>
    <row r="567" spans="1:11" x14ac:dyDescent="0.35">
      <c r="A567">
        <v>561</v>
      </c>
      <c r="B567" s="90" t="s">
        <v>16</v>
      </c>
      <c r="C567" s="2" t="s">
        <v>8</v>
      </c>
      <c r="D567" s="2" t="s">
        <v>816</v>
      </c>
      <c r="E567" s="2" t="s">
        <v>817</v>
      </c>
      <c r="F567" s="2" t="s">
        <v>888</v>
      </c>
      <c r="G567" s="2" t="s">
        <v>789</v>
      </c>
      <c r="H567" s="10">
        <f>WORKDAY(G567,125,'[1]Feriados y Materias'!$B$21:$B$61)</f>
        <v>46107</v>
      </c>
      <c r="I567" s="2" t="s">
        <v>192</v>
      </c>
      <c r="J567" s="2" t="s">
        <v>193</v>
      </c>
      <c r="K567" s="2" t="s">
        <v>1093</v>
      </c>
    </row>
    <row r="568" spans="1:11" x14ac:dyDescent="0.35">
      <c r="A568">
        <v>562</v>
      </c>
      <c r="B568" s="90" t="s">
        <v>16</v>
      </c>
      <c r="C568" s="2" t="s">
        <v>8</v>
      </c>
      <c r="D568" s="2" t="s">
        <v>816</v>
      </c>
      <c r="E568" s="2" t="s">
        <v>817</v>
      </c>
      <c r="F568" s="2" t="s">
        <v>889</v>
      </c>
      <c r="G568" s="2" t="s">
        <v>789</v>
      </c>
      <c r="H568" s="10">
        <f>WORKDAY(G568,125,'[1]Feriados y Materias'!$B$21:$B$61)</f>
        <v>46107</v>
      </c>
      <c r="I568" s="2" t="s">
        <v>192</v>
      </c>
      <c r="J568" s="2" t="s">
        <v>193</v>
      </c>
      <c r="K568" s="2" t="s">
        <v>1093</v>
      </c>
    </row>
    <row r="569" spans="1:11" x14ac:dyDescent="0.35">
      <c r="A569">
        <v>563</v>
      </c>
      <c r="B569" s="90" t="s">
        <v>16</v>
      </c>
      <c r="C569" s="2" t="s">
        <v>8</v>
      </c>
      <c r="D569" s="2" t="s">
        <v>816</v>
      </c>
      <c r="E569" s="2" t="s">
        <v>817</v>
      </c>
      <c r="F569" s="2" t="s">
        <v>890</v>
      </c>
      <c r="G569" s="2" t="s">
        <v>789</v>
      </c>
      <c r="H569" s="10">
        <f>WORKDAY(G569,125,'[1]Feriados y Materias'!$B$21:$B$61)</f>
        <v>46107</v>
      </c>
      <c r="I569" s="2" t="s">
        <v>192</v>
      </c>
      <c r="J569" s="2" t="s">
        <v>193</v>
      </c>
      <c r="K569" s="2" t="s">
        <v>1093</v>
      </c>
    </row>
    <row r="570" spans="1:11" x14ac:dyDescent="0.35">
      <c r="A570">
        <v>564</v>
      </c>
      <c r="B570" s="90" t="s">
        <v>16</v>
      </c>
      <c r="C570" s="2" t="s">
        <v>8</v>
      </c>
      <c r="D570" s="2" t="s">
        <v>816</v>
      </c>
      <c r="E570" s="2" t="s">
        <v>817</v>
      </c>
      <c r="F570" s="2" t="s">
        <v>891</v>
      </c>
      <c r="G570" s="2" t="s">
        <v>789</v>
      </c>
      <c r="H570" s="10">
        <f>WORKDAY(G570,125,'[1]Feriados y Materias'!$B$21:$B$61)</f>
        <v>46107</v>
      </c>
      <c r="I570" s="2" t="s">
        <v>192</v>
      </c>
      <c r="J570" s="2" t="s">
        <v>193</v>
      </c>
      <c r="K570" s="2" t="s">
        <v>1093</v>
      </c>
    </row>
    <row r="571" spans="1:11" x14ac:dyDescent="0.35">
      <c r="A571">
        <v>565</v>
      </c>
      <c r="B571" s="90" t="s">
        <v>16</v>
      </c>
      <c r="C571" s="2" t="s">
        <v>8</v>
      </c>
      <c r="D571" s="2" t="s">
        <v>816</v>
      </c>
      <c r="E571" s="2" t="s">
        <v>817</v>
      </c>
      <c r="F571" s="2" t="s">
        <v>892</v>
      </c>
      <c r="G571" s="2" t="s">
        <v>789</v>
      </c>
      <c r="H571" s="10">
        <f>WORKDAY(G571,125,'[1]Feriados y Materias'!$B$21:$B$61)</f>
        <v>46107</v>
      </c>
      <c r="I571" s="2" t="s">
        <v>192</v>
      </c>
      <c r="J571" s="2" t="s">
        <v>193</v>
      </c>
      <c r="K571" s="2" t="s">
        <v>1093</v>
      </c>
    </row>
    <row r="572" spans="1:11" x14ac:dyDescent="0.35">
      <c r="A572">
        <v>566</v>
      </c>
      <c r="B572" s="90" t="s">
        <v>16</v>
      </c>
      <c r="C572" s="2" t="s">
        <v>8</v>
      </c>
      <c r="D572" s="2" t="s">
        <v>816</v>
      </c>
      <c r="E572" s="2" t="s">
        <v>817</v>
      </c>
      <c r="F572" s="2" t="s">
        <v>893</v>
      </c>
      <c r="G572" s="2" t="s">
        <v>789</v>
      </c>
      <c r="H572" s="10">
        <f>WORKDAY(G572,125,'[1]Feriados y Materias'!$B$21:$B$61)</f>
        <v>46107</v>
      </c>
      <c r="I572" s="2" t="s">
        <v>192</v>
      </c>
      <c r="J572" s="2" t="s">
        <v>193</v>
      </c>
      <c r="K572" s="2" t="s">
        <v>1093</v>
      </c>
    </row>
    <row r="573" spans="1:11" x14ac:dyDescent="0.35">
      <c r="A573">
        <v>567</v>
      </c>
      <c r="B573" s="90" t="s">
        <v>16</v>
      </c>
      <c r="C573" s="2" t="s">
        <v>8</v>
      </c>
      <c r="D573" s="2" t="s">
        <v>969</v>
      </c>
      <c r="E573" s="2" t="s">
        <v>970</v>
      </c>
      <c r="F573" s="2" t="s">
        <v>971</v>
      </c>
      <c r="G573" s="2" t="s">
        <v>789</v>
      </c>
      <c r="H573" s="10">
        <f>WORKDAY(G573,125,'[1]Feriados y Materias'!$B$21:$B$61)</f>
        <v>46107</v>
      </c>
      <c r="I573" s="2" t="s">
        <v>192</v>
      </c>
      <c r="J573" s="2" t="s">
        <v>261</v>
      </c>
      <c r="K573" s="2" t="s">
        <v>1093</v>
      </c>
    </row>
    <row r="574" spans="1:11" x14ac:dyDescent="0.35">
      <c r="A574">
        <v>568</v>
      </c>
      <c r="B574" s="90" t="s">
        <v>16</v>
      </c>
      <c r="C574" s="2" t="s">
        <v>8</v>
      </c>
      <c r="D574" s="2" t="s">
        <v>172</v>
      </c>
      <c r="E574" s="2" t="s">
        <v>173</v>
      </c>
      <c r="F574" s="2" t="s">
        <v>788</v>
      </c>
      <c r="G574" s="2" t="s">
        <v>789</v>
      </c>
      <c r="H574" s="10">
        <f>WORKDAY(G574,125,'[1]Feriados y Materias'!$B$21:$B$61)</f>
        <v>46107</v>
      </c>
      <c r="I574" s="2" t="s">
        <v>192</v>
      </c>
      <c r="J574" s="2" t="s">
        <v>194</v>
      </c>
      <c r="K574" s="2" t="s">
        <v>1093</v>
      </c>
    </row>
    <row r="575" spans="1:11" x14ac:dyDescent="0.35">
      <c r="A575">
        <v>569</v>
      </c>
      <c r="B575" s="90" t="s">
        <v>16</v>
      </c>
      <c r="C575" s="2" t="s">
        <v>8</v>
      </c>
      <c r="D575" s="2" t="s">
        <v>172</v>
      </c>
      <c r="E575" s="2" t="s">
        <v>173</v>
      </c>
      <c r="F575" s="2" t="s">
        <v>790</v>
      </c>
      <c r="G575" s="2" t="s">
        <v>789</v>
      </c>
      <c r="H575" s="10">
        <f>WORKDAY(G575,125,'[1]Feriados y Materias'!$B$21:$B$61)</f>
        <v>46107</v>
      </c>
      <c r="I575" s="2" t="s">
        <v>192</v>
      </c>
      <c r="J575" s="2" t="s">
        <v>194</v>
      </c>
      <c r="K575" s="2" t="s">
        <v>1093</v>
      </c>
    </row>
    <row r="576" spans="1:11" x14ac:dyDescent="0.35">
      <c r="A576">
        <v>570</v>
      </c>
      <c r="B576" s="90" t="s">
        <v>16</v>
      </c>
      <c r="C576" s="2" t="s">
        <v>8</v>
      </c>
      <c r="D576" s="2" t="s">
        <v>816</v>
      </c>
      <c r="E576" s="2" t="s">
        <v>817</v>
      </c>
      <c r="F576" s="2" t="s">
        <v>894</v>
      </c>
      <c r="G576" s="2" t="s">
        <v>895</v>
      </c>
      <c r="H576" s="10">
        <f>WORKDAY(G576,125,'[1]Feriados y Materias'!$B$21:$B$61)</f>
        <v>46108</v>
      </c>
      <c r="I576" s="2" t="s">
        <v>192</v>
      </c>
      <c r="J576" s="2" t="s">
        <v>193</v>
      </c>
      <c r="K576" s="2" t="s">
        <v>1093</v>
      </c>
    </row>
    <row r="577" spans="1:11" x14ac:dyDescent="0.35">
      <c r="A577">
        <v>571</v>
      </c>
      <c r="B577" s="90" t="s">
        <v>16</v>
      </c>
      <c r="C577" s="2" t="s">
        <v>8</v>
      </c>
      <c r="D577" s="2" t="s">
        <v>816</v>
      </c>
      <c r="E577" s="2" t="s">
        <v>817</v>
      </c>
      <c r="F577" s="2" t="s">
        <v>896</v>
      </c>
      <c r="G577" s="2" t="s">
        <v>895</v>
      </c>
      <c r="H577" s="10">
        <f>WORKDAY(G577,125,'[1]Feriados y Materias'!$B$21:$B$61)</f>
        <v>46108</v>
      </c>
      <c r="I577" s="2" t="s">
        <v>192</v>
      </c>
      <c r="J577" s="2" t="s">
        <v>193</v>
      </c>
      <c r="K577" s="2" t="s">
        <v>1093</v>
      </c>
    </row>
    <row r="578" spans="1:11" x14ac:dyDescent="0.35">
      <c r="A578">
        <v>572</v>
      </c>
      <c r="B578" s="90" t="s">
        <v>16</v>
      </c>
      <c r="C578" s="2" t="s">
        <v>8</v>
      </c>
      <c r="D578" s="2" t="s">
        <v>816</v>
      </c>
      <c r="E578" s="2" t="s">
        <v>817</v>
      </c>
      <c r="F578" s="2" t="s">
        <v>897</v>
      </c>
      <c r="G578" s="2" t="s">
        <v>895</v>
      </c>
      <c r="H578" s="10">
        <f>WORKDAY(G578,125,'[1]Feriados y Materias'!$B$21:$B$61)</f>
        <v>46108</v>
      </c>
      <c r="I578" s="2" t="s">
        <v>192</v>
      </c>
      <c r="J578" s="2" t="s">
        <v>193</v>
      </c>
      <c r="K578" s="2" t="s">
        <v>1093</v>
      </c>
    </row>
    <row r="579" spans="1:11" x14ac:dyDescent="0.35">
      <c r="A579">
        <v>573</v>
      </c>
      <c r="B579" s="90" t="s">
        <v>16</v>
      </c>
      <c r="C579" s="2" t="s">
        <v>8</v>
      </c>
      <c r="D579" s="2" t="s">
        <v>816</v>
      </c>
      <c r="E579" s="2" t="s">
        <v>817</v>
      </c>
      <c r="F579" s="2" t="s">
        <v>898</v>
      </c>
      <c r="G579" s="2" t="s">
        <v>895</v>
      </c>
      <c r="H579" s="10">
        <f>WORKDAY(G579,125,'[1]Feriados y Materias'!$B$21:$B$61)</f>
        <v>46108</v>
      </c>
      <c r="I579" s="2" t="s">
        <v>192</v>
      </c>
      <c r="J579" s="2" t="s">
        <v>193</v>
      </c>
      <c r="K579" s="2" t="s">
        <v>1093</v>
      </c>
    </row>
    <row r="580" spans="1:11" x14ac:dyDescent="0.35">
      <c r="A580">
        <v>574</v>
      </c>
      <c r="B580" s="90" t="s">
        <v>16</v>
      </c>
      <c r="C580" s="2" t="s">
        <v>8</v>
      </c>
      <c r="D580" s="2" t="s">
        <v>816</v>
      </c>
      <c r="E580" s="2" t="s">
        <v>817</v>
      </c>
      <c r="F580" s="2" t="s">
        <v>899</v>
      </c>
      <c r="G580" s="2" t="s">
        <v>895</v>
      </c>
      <c r="H580" s="10">
        <f>WORKDAY(G580,125,'[1]Feriados y Materias'!$B$21:$B$61)</f>
        <v>46108</v>
      </c>
      <c r="I580" s="2" t="s">
        <v>192</v>
      </c>
      <c r="J580" s="2" t="s">
        <v>193</v>
      </c>
      <c r="K580" s="2" t="s">
        <v>1093</v>
      </c>
    </row>
    <row r="581" spans="1:11" x14ac:dyDescent="0.35">
      <c r="A581">
        <v>575</v>
      </c>
      <c r="B581" s="90" t="s">
        <v>16</v>
      </c>
      <c r="C581" s="2" t="s">
        <v>8</v>
      </c>
      <c r="D581" s="2" t="s">
        <v>972</v>
      </c>
      <c r="E581" s="2" t="s">
        <v>973</v>
      </c>
      <c r="F581" s="2" t="s">
        <v>974</v>
      </c>
      <c r="G581" s="2" t="s">
        <v>895</v>
      </c>
      <c r="H581" s="10">
        <f>WORKDAY(G581,125,'[1]Feriados y Materias'!$B$21:$B$61)</f>
        <v>46108</v>
      </c>
      <c r="I581" s="2" t="s">
        <v>192</v>
      </c>
      <c r="J581" s="2" t="s">
        <v>195</v>
      </c>
      <c r="K581" s="2" t="s">
        <v>1093</v>
      </c>
    </row>
    <row r="582" spans="1:11" x14ac:dyDescent="0.35">
      <c r="A582">
        <v>576</v>
      </c>
      <c r="B582" s="90" t="s">
        <v>16</v>
      </c>
      <c r="C582" s="2" t="s">
        <v>8</v>
      </c>
      <c r="D582" s="2" t="s">
        <v>816</v>
      </c>
      <c r="E582" s="2" t="s">
        <v>817</v>
      </c>
      <c r="F582" s="2" t="s">
        <v>900</v>
      </c>
      <c r="G582" s="2" t="s">
        <v>895</v>
      </c>
      <c r="H582" s="10">
        <f>WORKDAY(G582,125,'[1]Feriados y Materias'!$B$21:$B$61)</f>
        <v>46108</v>
      </c>
      <c r="I582" s="2" t="s">
        <v>192</v>
      </c>
      <c r="J582" s="2" t="s">
        <v>193</v>
      </c>
      <c r="K582" s="2" t="s">
        <v>1093</v>
      </c>
    </row>
    <row r="583" spans="1:11" x14ac:dyDescent="0.35">
      <c r="A583">
        <v>577</v>
      </c>
      <c r="B583" s="90" t="s">
        <v>16</v>
      </c>
      <c r="C583" s="2" t="s">
        <v>8</v>
      </c>
      <c r="D583" s="2" t="s">
        <v>816</v>
      </c>
      <c r="E583" s="2" t="s">
        <v>817</v>
      </c>
      <c r="F583" s="2" t="s">
        <v>901</v>
      </c>
      <c r="G583" s="2" t="s">
        <v>895</v>
      </c>
      <c r="H583" s="10">
        <f>WORKDAY(G583,125,'[1]Feriados y Materias'!$B$21:$B$61)</f>
        <v>46108</v>
      </c>
      <c r="I583" s="2" t="s">
        <v>192</v>
      </c>
      <c r="J583" s="2" t="s">
        <v>193</v>
      </c>
      <c r="K583" s="2" t="s">
        <v>1093</v>
      </c>
    </row>
    <row r="584" spans="1:11" x14ac:dyDescent="0.35">
      <c r="A584">
        <v>578</v>
      </c>
      <c r="B584" s="90" t="s">
        <v>16</v>
      </c>
      <c r="C584" s="2" t="s">
        <v>8</v>
      </c>
      <c r="D584" s="2" t="s">
        <v>816</v>
      </c>
      <c r="E584" s="2" t="s">
        <v>817</v>
      </c>
      <c r="F584" s="2" t="s">
        <v>902</v>
      </c>
      <c r="G584" s="2" t="s">
        <v>895</v>
      </c>
      <c r="H584" s="10">
        <f>WORKDAY(G584,125,'[1]Feriados y Materias'!$B$21:$B$61)</f>
        <v>46108</v>
      </c>
      <c r="I584" s="2" t="s">
        <v>192</v>
      </c>
      <c r="J584" s="2" t="s">
        <v>193</v>
      </c>
      <c r="K584" s="2" t="s">
        <v>1093</v>
      </c>
    </row>
    <row r="585" spans="1:11" x14ac:dyDescent="0.35">
      <c r="A585">
        <v>579</v>
      </c>
      <c r="B585" s="90" t="s">
        <v>16</v>
      </c>
      <c r="C585" s="2" t="s">
        <v>8</v>
      </c>
      <c r="D585" s="2" t="s">
        <v>816</v>
      </c>
      <c r="E585" s="2" t="s">
        <v>817</v>
      </c>
      <c r="F585" s="2" t="s">
        <v>903</v>
      </c>
      <c r="G585" s="2" t="s">
        <v>895</v>
      </c>
      <c r="H585" s="10">
        <f>WORKDAY(G585,125,'[1]Feriados y Materias'!$B$21:$B$61)</f>
        <v>46108</v>
      </c>
      <c r="I585" s="2" t="s">
        <v>192</v>
      </c>
      <c r="J585" s="2" t="s">
        <v>193</v>
      </c>
      <c r="K585" s="2" t="s">
        <v>1093</v>
      </c>
    </row>
    <row r="586" spans="1:11" x14ac:dyDescent="0.35">
      <c r="A586">
        <v>580</v>
      </c>
      <c r="B586" s="90" t="s">
        <v>16</v>
      </c>
      <c r="C586" s="2" t="s">
        <v>8</v>
      </c>
      <c r="D586" s="2" t="s">
        <v>816</v>
      </c>
      <c r="E586" s="2" t="s">
        <v>817</v>
      </c>
      <c r="F586" s="2" t="s">
        <v>904</v>
      </c>
      <c r="G586" s="2" t="s">
        <v>895</v>
      </c>
      <c r="H586" s="10">
        <f>WORKDAY(G586,125,'[1]Feriados y Materias'!$B$21:$B$61)</f>
        <v>46108</v>
      </c>
      <c r="I586" s="2" t="s">
        <v>192</v>
      </c>
      <c r="J586" s="2" t="s">
        <v>193</v>
      </c>
      <c r="K586" s="2" t="s">
        <v>1093</v>
      </c>
    </row>
    <row r="587" spans="1:11" x14ac:dyDescent="0.35">
      <c r="A587">
        <v>581</v>
      </c>
      <c r="B587" s="90" t="s">
        <v>16</v>
      </c>
      <c r="C587" s="2" t="s">
        <v>8</v>
      </c>
      <c r="D587" s="2" t="s">
        <v>816</v>
      </c>
      <c r="E587" s="2" t="s">
        <v>817</v>
      </c>
      <c r="F587" s="2" t="s">
        <v>905</v>
      </c>
      <c r="G587" s="2" t="s">
        <v>895</v>
      </c>
      <c r="H587" s="10">
        <f>WORKDAY(G587,125,'[1]Feriados y Materias'!$B$21:$B$61)</f>
        <v>46108</v>
      </c>
      <c r="I587" s="2" t="s">
        <v>192</v>
      </c>
      <c r="J587" s="2" t="s">
        <v>193</v>
      </c>
      <c r="K587" s="2" t="s">
        <v>1093</v>
      </c>
    </row>
    <row r="588" spans="1:11" x14ac:dyDescent="0.35">
      <c r="A588">
        <v>582</v>
      </c>
      <c r="B588" s="90" t="s">
        <v>16</v>
      </c>
      <c r="C588" s="2" t="s">
        <v>8</v>
      </c>
      <c r="D588" s="2" t="s">
        <v>816</v>
      </c>
      <c r="E588" s="2" t="s">
        <v>817</v>
      </c>
      <c r="F588" s="2" t="s">
        <v>906</v>
      </c>
      <c r="G588" s="2" t="s">
        <v>895</v>
      </c>
      <c r="H588" s="10">
        <f>WORKDAY(G588,125,'[1]Feriados y Materias'!$B$21:$B$61)</f>
        <v>46108</v>
      </c>
      <c r="I588" s="2" t="s">
        <v>192</v>
      </c>
      <c r="J588" s="2" t="s">
        <v>193</v>
      </c>
      <c r="K588" s="2" t="s">
        <v>1093</v>
      </c>
    </row>
    <row r="589" spans="1:11" x14ac:dyDescent="0.35">
      <c r="A589">
        <v>583</v>
      </c>
      <c r="B589" s="90" t="s">
        <v>16</v>
      </c>
      <c r="C589" s="2" t="s">
        <v>8</v>
      </c>
      <c r="D589" s="2" t="s">
        <v>816</v>
      </c>
      <c r="E589" s="2" t="s">
        <v>817</v>
      </c>
      <c r="F589" s="2" t="s">
        <v>907</v>
      </c>
      <c r="G589" s="2" t="s">
        <v>895</v>
      </c>
      <c r="H589" s="10">
        <f>WORKDAY(G589,125,'[1]Feriados y Materias'!$B$21:$B$61)</f>
        <v>46108</v>
      </c>
      <c r="I589" s="2" t="s">
        <v>192</v>
      </c>
      <c r="J589" s="2" t="s">
        <v>193</v>
      </c>
      <c r="K589" s="2" t="s">
        <v>1093</v>
      </c>
    </row>
    <row r="590" spans="1:11" x14ac:dyDescent="0.35">
      <c r="A590">
        <v>584</v>
      </c>
      <c r="B590" s="90" t="s">
        <v>16</v>
      </c>
      <c r="C590" s="2" t="s">
        <v>8</v>
      </c>
      <c r="D590" s="2" t="s">
        <v>816</v>
      </c>
      <c r="E590" s="2" t="s">
        <v>817</v>
      </c>
      <c r="F590" s="2" t="s">
        <v>908</v>
      </c>
      <c r="G590" s="2" t="s">
        <v>895</v>
      </c>
      <c r="H590" s="10">
        <f>WORKDAY(G590,125,'[1]Feriados y Materias'!$B$21:$B$61)</f>
        <v>46108</v>
      </c>
      <c r="I590" s="2" t="s">
        <v>192</v>
      </c>
      <c r="J590" s="2" t="s">
        <v>193</v>
      </c>
      <c r="K590" s="2" t="s">
        <v>1093</v>
      </c>
    </row>
    <row r="591" spans="1:11" x14ac:dyDescent="0.35">
      <c r="A591">
        <v>585</v>
      </c>
      <c r="B591" s="90" t="s">
        <v>16</v>
      </c>
      <c r="C591" s="2" t="s">
        <v>8</v>
      </c>
      <c r="D591" s="2" t="s">
        <v>816</v>
      </c>
      <c r="E591" s="2" t="s">
        <v>817</v>
      </c>
      <c r="F591" s="2" t="s">
        <v>909</v>
      </c>
      <c r="G591" s="2" t="s">
        <v>895</v>
      </c>
      <c r="H591" s="10">
        <f>WORKDAY(G591,125,'[1]Feriados y Materias'!$B$21:$B$61)</f>
        <v>46108</v>
      </c>
      <c r="I591" s="2" t="s">
        <v>192</v>
      </c>
      <c r="J591" s="2" t="s">
        <v>193</v>
      </c>
      <c r="K591" s="2" t="s">
        <v>1093</v>
      </c>
    </row>
    <row r="592" spans="1:11" x14ac:dyDescent="0.35">
      <c r="A592">
        <v>586</v>
      </c>
      <c r="B592" s="90" t="s">
        <v>16</v>
      </c>
      <c r="C592" s="2" t="s">
        <v>8</v>
      </c>
      <c r="D592" s="2" t="s">
        <v>816</v>
      </c>
      <c r="E592" s="2" t="s">
        <v>817</v>
      </c>
      <c r="F592" s="2" t="s">
        <v>910</v>
      </c>
      <c r="G592" s="2" t="s">
        <v>895</v>
      </c>
      <c r="H592" s="10">
        <f>WORKDAY(G592,125,'[1]Feriados y Materias'!$B$21:$B$61)</f>
        <v>46108</v>
      </c>
      <c r="I592" s="2" t="s">
        <v>192</v>
      </c>
      <c r="J592" s="2" t="s">
        <v>193</v>
      </c>
      <c r="K592" s="2" t="s">
        <v>1093</v>
      </c>
    </row>
    <row r="593" spans="1:11" x14ac:dyDescent="0.35">
      <c r="A593">
        <v>587</v>
      </c>
      <c r="B593" s="90" t="s">
        <v>16</v>
      </c>
      <c r="C593" s="2" t="s">
        <v>8</v>
      </c>
      <c r="D593" s="2" t="s">
        <v>816</v>
      </c>
      <c r="E593" s="2" t="s">
        <v>817</v>
      </c>
      <c r="F593" s="2" t="s">
        <v>911</v>
      </c>
      <c r="G593" s="2" t="s">
        <v>895</v>
      </c>
      <c r="H593" s="10">
        <f>WORKDAY(G593,125,'[1]Feriados y Materias'!$B$21:$B$61)</f>
        <v>46108</v>
      </c>
      <c r="I593" s="2" t="s">
        <v>192</v>
      </c>
      <c r="J593" s="2" t="s">
        <v>193</v>
      </c>
      <c r="K593" s="2" t="s">
        <v>1093</v>
      </c>
    </row>
    <row r="594" spans="1:11" x14ac:dyDescent="0.35">
      <c r="A594">
        <v>588</v>
      </c>
      <c r="B594" s="90" t="s">
        <v>16</v>
      </c>
      <c r="C594" s="2" t="s">
        <v>8</v>
      </c>
      <c r="D594" s="2" t="s">
        <v>816</v>
      </c>
      <c r="E594" s="2" t="s">
        <v>817</v>
      </c>
      <c r="F594" s="2" t="s">
        <v>912</v>
      </c>
      <c r="G594" s="2" t="s">
        <v>895</v>
      </c>
      <c r="H594" s="10">
        <f>WORKDAY(G594,125,'[1]Feriados y Materias'!$B$21:$B$61)</f>
        <v>46108</v>
      </c>
      <c r="I594" s="2" t="s">
        <v>192</v>
      </c>
      <c r="J594" s="2" t="s">
        <v>193</v>
      </c>
      <c r="K594" s="2" t="s">
        <v>1093</v>
      </c>
    </row>
    <row r="595" spans="1:11" x14ac:dyDescent="0.35">
      <c r="A595">
        <v>589</v>
      </c>
      <c r="B595" s="90" t="s">
        <v>16</v>
      </c>
      <c r="C595" s="2" t="s">
        <v>8</v>
      </c>
      <c r="D595" s="2" t="s">
        <v>816</v>
      </c>
      <c r="E595" s="2" t="s">
        <v>817</v>
      </c>
      <c r="F595" s="2" t="s">
        <v>913</v>
      </c>
      <c r="G595" s="2" t="s">
        <v>895</v>
      </c>
      <c r="H595" s="10">
        <f>WORKDAY(G595,125,'[1]Feriados y Materias'!$B$21:$B$61)</f>
        <v>46108</v>
      </c>
      <c r="I595" s="2" t="s">
        <v>192</v>
      </c>
      <c r="J595" s="2" t="s">
        <v>193</v>
      </c>
      <c r="K595" s="2" t="s">
        <v>1093</v>
      </c>
    </row>
    <row r="596" spans="1:11" x14ac:dyDescent="0.35">
      <c r="A596">
        <v>590</v>
      </c>
      <c r="B596" s="90" t="s">
        <v>16</v>
      </c>
      <c r="C596" s="2" t="s">
        <v>8</v>
      </c>
      <c r="D596" s="2" t="s">
        <v>816</v>
      </c>
      <c r="E596" s="2" t="s">
        <v>817</v>
      </c>
      <c r="F596" s="2" t="s">
        <v>914</v>
      </c>
      <c r="G596" s="2" t="s">
        <v>895</v>
      </c>
      <c r="H596" s="10">
        <f>WORKDAY(G596,125,'[1]Feriados y Materias'!$B$21:$B$61)</f>
        <v>46108</v>
      </c>
      <c r="I596" s="2" t="s">
        <v>192</v>
      </c>
      <c r="J596" s="2" t="s">
        <v>193</v>
      </c>
      <c r="K596" s="2" t="s">
        <v>1093</v>
      </c>
    </row>
    <row r="597" spans="1:11" x14ac:dyDescent="0.35">
      <c r="A597">
        <v>591</v>
      </c>
      <c r="B597" s="90" t="s">
        <v>16</v>
      </c>
      <c r="C597" s="2" t="s">
        <v>8</v>
      </c>
      <c r="D597" s="2" t="s">
        <v>816</v>
      </c>
      <c r="E597" s="2" t="s">
        <v>817</v>
      </c>
      <c r="F597" s="2" t="s">
        <v>915</v>
      </c>
      <c r="G597" s="2" t="s">
        <v>895</v>
      </c>
      <c r="H597" s="10">
        <f>WORKDAY(G597,125,'[1]Feriados y Materias'!$B$21:$B$61)</f>
        <v>46108</v>
      </c>
      <c r="I597" s="2" t="s">
        <v>192</v>
      </c>
      <c r="J597" s="2" t="s">
        <v>193</v>
      </c>
      <c r="K597" s="2" t="s">
        <v>1093</v>
      </c>
    </row>
    <row r="598" spans="1:11" x14ac:dyDescent="0.35">
      <c r="A598">
        <v>592</v>
      </c>
      <c r="B598" s="90" t="s">
        <v>16</v>
      </c>
      <c r="C598" s="2" t="s">
        <v>8</v>
      </c>
      <c r="D598" s="2" t="s">
        <v>816</v>
      </c>
      <c r="E598" s="2" t="s">
        <v>817</v>
      </c>
      <c r="F598" s="2" t="s">
        <v>916</v>
      </c>
      <c r="G598" s="2" t="s">
        <v>895</v>
      </c>
      <c r="H598" s="10">
        <f>WORKDAY(G598,125,'[1]Feriados y Materias'!$B$21:$B$61)</f>
        <v>46108</v>
      </c>
      <c r="I598" s="2" t="s">
        <v>192</v>
      </c>
      <c r="J598" s="2" t="s">
        <v>193</v>
      </c>
      <c r="K598" s="2" t="s">
        <v>1093</v>
      </c>
    </row>
    <row r="599" spans="1:11" x14ac:dyDescent="0.35">
      <c r="A599">
        <v>593</v>
      </c>
      <c r="B599" s="90" t="s">
        <v>16</v>
      </c>
      <c r="C599" s="2" t="s">
        <v>8</v>
      </c>
      <c r="D599" s="2" t="s">
        <v>816</v>
      </c>
      <c r="E599" s="2" t="s">
        <v>817</v>
      </c>
      <c r="F599" s="2" t="s">
        <v>917</v>
      </c>
      <c r="G599" s="2" t="s">
        <v>895</v>
      </c>
      <c r="H599" s="10">
        <f>WORKDAY(G599,125,'[1]Feriados y Materias'!$B$21:$B$61)</f>
        <v>46108</v>
      </c>
      <c r="I599" s="2" t="s">
        <v>192</v>
      </c>
      <c r="J599" s="2" t="s">
        <v>193</v>
      </c>
      <c r="K599" s="2" t="s">
        <v>1093</v>
      </c>
    </row>
    <row r="600" spans="1:11" x14ac:dyDescent="0.35">
      <c r="A600">
        <v>594</v>
      </c>
      <c r="B600" s="90" t="s">
        <v>16</v>
      </c>
      <c r="C600" s="2" t="s">
        <v>8</v>
      </c>
      <c r="D600" s="2" t="s">
        <v>816</v>
      </c>
      <c r="E600" s="2" t="s">
        <v>817</v>
      </c>
      <c r="F600" s="2" t="s">
        <v>918</v>
      </c>
      <c r="G600" s="2" t="s">
        <v>895</v>
      </c>
      <c r="H600" s="10">
        <f>WORKDAY(G600,125,'[1]Feriados y Materias'!$B$21:$B$61)</f>
        <v>46108</v>
      </c>
      <c r="I600" s="2" t="s">
        <v>192</v>
      </c>
      <c r="J600" s="2" t="s">
        <v>193</v>
      </c>
      <c r="K600" s="2" t="s">
        <v>1093</v>
      </c>
    </row>
    <row r="601" spans="1:11" x14ac:dyDescent="0.35">
      <c r="A601">
        <v>595</v>
      </c>
      <c r="B601" s="90" t="s">
        <v>16</v>
      </c>
      <c r="C601" s="2" t="s">
        <v>8</v>
      </c>
      <c r="D601" s="2" t="s">
        <v>816</v>
      </c>
      <c r="E601" s="2" t="s">
        <v>817</v>
      </c>
      <c r="F601" s="2" t="s">
        <v>919</v>
      </c>
      <c r="G601" s="2" t="s">
        <v>895</v>
      </c>
      <c r="H601" s="10">
        <f>WORKDAY(G601,125,'[1]Feriados y Materias'!$B$21:$B$61)</f>
        <v>46108</v>
      </c>
      <c r="I601" s="2" t="s">
        <v>192</v>
      </c>
      <c r="J601" s="2" t="s">
        <v>193</v>
      </c>
      <c r="K601" s="2" t="s">
        <v>1093</v>
      </c>
    </row>
    <row r="602" spans="1:11" x14ac:dyDescent="0.35">
      <c r="A602">
        <v>596</v>
      </c>
      <c r="B602" s="90" t="s">
        <v>16</v>
      </c>
      <c r="C602" s="2" t="s">
        <v>8</v>
      </c>
      <c r="D602" s="2" t="s">
        <v>816</v>
      </c>
      <c r="E602" s="2" t="s">
        <v>817</v>
      </c>
      <c r="F602" s="2" t="s">
        <v>920</v>
      </c>
      <c r="G602" s="2" t="s">
        <v>895</v>
      </c>
      <c r="H602" s="10">
        <f>WORKDAY(G602,125,'[1]Feriados y Materias'!$B$21:$B$61)</f>
        <v>46108</v>
      </c>
      <c r="I602" s="2" t="s">
        <v>192</v>
      </c>
      <c r="J602" s="2" t="s">
        <v>193</v>
      </c>
      <c r="K602" s="2" t="s">
        <v>1093</v>
      </c>
    </row>
    <row r="603" spans="1:11" x14ac:dyDescent="0.35">
      <c r="A603">
        <v>597</v>
      </c>
      <c r="B603" s="90" t="s">
        <v>16</v>
      </c>
      <c r="C603" s="2" t="s">
        <v>8</v>
      </c>
      <c r="D603" s="2" t="s">
        <v>816</v>
      </c>
      <c r="E603" s="2" t="s">
        <v>817</v>
      </c>
      <c r="F603" s="2" t="s">
        <v>921</v>
      </c>
      <c r="G603" s="2" t="s">
        <v>895</v>
      </c>
      <c r="H603" s="10">
        <f>WORKDAY(G603,125,'[1]Feriados y Materias'!$B$21:$B$61)</f>
        <v>46108</v>
      </c>
      <c r="I603" s="2" t="s">
        <v>192</v>
      </c>
      <c r="J603" s="2" t="s">
        <v>193</v>
      </c>
      <c r="K603" s="2" t="s">
        <v>1093</v>
      </c>
    </row>
    <row r="604" spans="1:11" x14ac:dyDescent="0.35">
      <c r="A604">
        <v>598</v>
      </c>
      <c r="B604" s="90" t="s">
        <v>16</v>
      </c>
      <c r="C604" s="2" t="s">
        <v>8</v>
      </c>
      <c r="D604" s="2" t="s">
        <v>816</v>
      </c>
      <c r="E604" s="2" t="s">
        <v>817</v>
      </c>
      <c r="F604" s="2" t="s">
        <v>922</v>
      </c>
      <c r="G604" s="2" t="s">
        <v>895</v>
      </c>
      <c r="H604" s="10">
        <f>WORKDAY(G604,125,'[1]Feriados y Materias'!$B$21:$B$61)</f>
        <v>46108</v>
      </c>
      <c r="I604" s="2" t="s">
        <v>192</v>
      </c>
      <c r="J604" s="2" t="s">
        <v>193</v>
      </c>
      <c r="K604" s="2" t="s">
        <v>1093</v>
      </c>
    </row>
    <row r="605" spans="1:11" x14ac:dyDescent="0.35">
      <c r="A605">
        <v>599</v>
      </c>
      <c r="B605" s="90" t="s">
        <v>16</v>
      </c>
      <c r="C605" s="2" t="s">
        <v>8</v>
      </c>
      <c r="D605" s="2" t="s">
        <v>816</v>
      </c>
      <c r="E605" s="2" t="s">
        <v>817</v>
      </c>
      <c r="F605" s="2" t="s">
        <v>923</v>
      </c>
      <c r="G605" s="2" t="s">
        <v>895</v>
      </c>
      <c r="H605" s="10">
        <f>WORKDAY(G605,125,'[1]Feriados y Materias'!$B$21:$B$61)</f>
        <v>46108</v>
      </c>
      <c r="I605" s="2" t="s">
        <v>192</v>
      </c>
      <c r="J605" s="2" t="s">
        <v>193</v>
      </c>
      <c r="K605" s="2" t="s">
        <v>1093</v>
      </c>
    </row>
    <row r="606" spans="1:11" x14ac:dyDescent="0.35">
      <c r="A606">
        <v>600</v>
      </c>
      <c r="B606" s="90" t="s">
        <v>16</v>
      </c>
      <c r="C606" s="2" t="s">
        <v>8</v>
      </c>
      <c r="D606" s="2" t="s">
        <v>816</v>
      </c>
      <c r="E606" s="2" t="s">
        <v>817</v>
      </c>
      <c r="F606" s="2" t="s">
        <v>924</v>
      </c>
      <c r="G606" s="2" t="s">
        <v>895</v>
      </c>
      <c r="H606" s="10">
        <f>WORKDAY(G606,125,'[1]Feriados y Materias'!$B$21:$B$61)</f>
        <v>46108</v>
      </c>
      <c r="I606" s="2" t="s">
        <v>192</v>
      </c>
      <c r="J606" s="2" t="s">
        <v>193</v>
      </c>
      <c r="K606" s="2" t="s">
        <v>1093</v>
      </c>
    </row>
    <row r="607" spans="1:11" x14ac:dyDescent="0.35">
      <c r="A607">
        <v>601</v>
      </c>
      <c r="B607" s="90" t="s">
        <v>16</v>
      </c>
      <c r="C607" s="2" t="s">
        <v>8</v>
      </c>
      <c r="D607" s="2" t="s">
        <v>816</v>
      </c>
      <c r="E607" s="2" t="s">
        <v>817</v>
      </c>
      <c r="F607" s="2" t="s">
        <v>925</v>
      </c>
      <c r="G607" s="2" t="s">
        <v>895</v>
      </c>
      <c r="H607" s="10">
        <f>WORKDAY(G607,125,'[1]Feriados y Materias'!$B$21:$B$61)</f>
        <v>46108</v>
      </c>
      <c r="I607" s="2" t="s">
        <v>192</v>
      </c>
      <c r="J607" s="2" t="s">
        <v>193</v>
      </c>
      <c r="K607" s="2" t="s">
        <v>1093</v>
      </c>
    </row>
    <row r="608" spans="1:11" x14ac:dyDescent="0.35">
      <c r="A608">
        <v>602</v>
      </c>
      <c r="B608" s="90" t="s">
        <v>16</v>
      </c>
      <c r="C608" s="2" t="s">
        <v>8</v>
      </c>
      <c r="D608" s="2" t="s">
        <v>816</v>
      </c>
      <c r="E608" s="2" t="s">
        <v>817</v>
      </c>
      <c r="F608" s="2" t="s">
        <v>926</v>
      </c>
      <c r="G608" s="2" t="s">
        <v>895</v>
      </c>
      <c r="H608" s="10">
        <f>WORKDAY(G608,125,'[1]Feriados y Materias'!$B$21:$B$61)</f>
        <v>46108</v>
      </c>
      <c r="I608" s="2" t="s">
        <v>192</v>
      </c>
      <c r="J608" s="2" t="s">
        <v>193</v>
      </c>
      <c r="K608" s="2" t="s">
        <v>1093</v>
      </c>
    </row>
    <row r="609" spans="1:11" x14ac:dyDescent="0.35">
      <c r="A609">
        <v>603</v>
      </c>
      <c r="B609" s="90" t="s">
        <v>16</v>
      </c>
      <c r="C609" s="2" t="s">
        <v>8</v>
      </c>
      <c r="D609" s="2" t="s">
        <v>816</v>
      </c>
      <c r="E609" s="2" t="s">
        <v>817</v>
      </c>
      <c r="F609" s="2" t="s">
        <v>927</v>
      </c>
      <c r="G609" s="2" t="s">
        <v>895</v>
      </c>
      <c r="H609" s="10">
        <f>WORKDAY(G609,125,'[1]Feriados y Materias'!$B$21:$B$61)</f>
        <v>46108</v>
      </c>
      <c r="I609" s="2" t="s">
        <v>192</v>
      </c>
      <c r="J609" s="2" t="s">
        <v>193</v>
      </c>
      <c r="K609" s="2" t="s">
        <v>1093</v>
      </c>
    </row>
    <row r="610" spans="1:11" x14ac:dyDescent="0.35">
      <c r="A610">
        <v>604</v>
      </c>
      <c r="B610" s="90" t="s">
        <v>16</v>
      </c>
      <c r="C610" s="2" t="s">
        <v>8</v>
      </c>
      <c r="D610" s="2" t="s">
        <v>816</v>
      </c>
      <c r="E610" s="2" t="s">
        <v>817</v>
      </c>
      <c r="F610" s="2" t="s">
        <v>928</v>
      </c>
      <c r="G610" s="2" t="s">
        <v>895</v>
      </c>
      <c r="H610" s="10">
        <f>WORKDAY(G610,125,'[1]Feriados y Materias'!$B$21:$B$61)</f>
        <v>46108</v>
      </c>
      <c r="I610" s="2" t="s">
        <v>192</v>
      </c>
      <c r="J610" s="2" t="s">
        <v>193</v>
      </c>
      <c r="K610" s="2" t="s">
        <v>1093</v>
      </c>
    </row>
    <row r="611" spans="1:11" x14ac:dyDescent="0.35">
      <c r="A611">
        <v>605</v>
      </c>
      <c r="B611" s="90" t="s">
        <v>16</v>
      </c>
      <c r="C611" s="2" t="s">
        <v>8</v>
      </c>
      <c r="D611" s="2" t="s">
        <v>816</v>
      </c>
      <c r="E611" s="2" t="s">
        <v>817</v>
      </c>
      <c r="F611" s="2" t="s">
        <v>929</v>
      </c>
      <c r="G611" s="2" t="s">
        <v>895</v>
      </c>
      <c r="H611" s="10">
        <f>WORKDAY(G611,125,'[1]Feriados y Materias'!$B$21:$B$61)</f>
        <v>46108</v>
      </c>
      <c r="I611" s="2" t="s">
        <v>192</v>
      </c>
      <c r="J611" s="2" t="s">
        <v>193</v>
      </c>
      <c r="K611" s="2" t="s">
        <v>1093</v>
      </c>
    </row>
    <row r="612" spans="1:11" x14ac:dyDescent="0.35">
      <c r="A612">
        <v>606</v>
      </c>
      <c r="B612" s="90" t="s">
        <v>16</v>
      </c>
      <c r="C612" s="2" t="s">
        <v>8</v>
      </c>
      <c r="D612" s="2" t="s">
        <v>816</v>
      </c>
      <c r="E612" s="2" t="s">
        <v>817</v>
      </c>
      <c r="F612" s="2" t="s">
        <v>930</v>
      </c>
      <c r="G612" s="2" t="s">
        <v>895</v>
      </c>
      <c r="H612" s="10">
        <f>WORKDAY(G612,125,'[1]Feriados y Materias'!$B$21:$B$61)</f>
        <v>46108</v>
      </c>
      <c r="I612" s="2" t="s">
        <v>192</v>
      </c>
      <c r="J612" s="2" t="s">
        <v>193</v>
      </c>
      <c r="K612" s="2" t="s">
        <v>1093</v>
      </c>
    </row>
    <row r="613" spans="1:11" x14ac:dyDescent="0.35">
      <c r="A613">
        <v>607</v>
      </c>
      <c r="B613" s="90" t="s">
        <v>16</v>
      </c>
      <c r="C613" s="2" t="s">
        <v>8</v>
      </c>
      <c r="D613" s="2" t="s">
        <v>816</v>
      </c>
      <c r="E613" s="2" t="s">
        <v>817</v>
      </c>
      <c r="F613" s="2" t="s">
        <v>931</v>
      </c>
      <c r="G613" s="2" t="s">
        <v>895</v>
      </c>
      <c r="H613" s="10">
        <f>WORKDAY(G613,125,'[1]Feriados y Materias'!$B$21:$B$61)</f>
        <v>46108</v>
      </c>
      <c r="I613" s="2" t="s">
        <v>192</v>
      </c>
      <c r="J613" s="2" t="s">
        <v>193</v>
      </c>
      <c r="K613" s="2" t="s">
        <v>1093</v>
      </c>
    </row>
    <row r="614" spans="1:11" x14ac:dyDescent="0.35">
      <c r="A614">
        <v>608</v>
      </c>
      <c r="B614" s="90" t="s">
        <v>16</v>
      </c>
      <c r="C614" s="2" t="s">
        <v>8</v>
      </c>
      <c r="D614" s="2" t="s">
        <v>816</v>
      </c>
      <c r="E614" s="2" t="s">
        <v>817</v>
      </c>
      <c r="F614" s="2" t="s">
        <v>932</v>
      </c>
      <c r="G614" s="2" t="s">
        <v>895</v>
      </c>
      <c r="H614" s="10">
        <f>WORKDAY(G614,125,'[1]Feriados y Materias'!$B$21:$B$61)</f>
        <v>46108</v>
      </c>
      <c r="I614" s="2" t="s">
        <v>192</v>
      </c>
      <c r="J614" s="2" t="s">
        <v>193</v>
      </c>
      <c r="K614" s="2" t="s">
        <v>1093</v>
      </c>
    </row>
    <row r="615" spans="1:11" x14ac:dyDescent="0.35">
      <c r="A615">
        <v>609</v>
      </c>
      <c r="B615" s="90" t="s">
        <v>16</v>
      </c>
      <c r="C615" s="2" t="s">
        <v>8</v>
      </c>
      <c r="D615" s="2" t="s">
        <v>816</v>
      </c>
      <c r="E615" s="2" t="s">
        <v>817</v>
      </c>
      <c r="F615" s="2" t="s">
        <v>933</v>
      </c>
      <c r="G615" s="2" t="s">
        <v>895</v>
      </c>
      <c r="H615" s="10">
        <f>WORKDAY(G615,125,'[1]Feriados y Materias'!$B$21:$B$61)</f>
        <v>46108</v>
      </c>
      <c r="I615" s="2" t="s">
        <v>192</v>
      </c>
      <c r="J615" s="2" t="s">
        <v>193</v>
      </c>
      <c r="K615" s="2" t="s">
        <v>1093</v>
      </c>
    </row>
    <row r="616" spans="1:11" x14ac:dyDescent="0.35">
      <c r="A616">
        <v>610</v>
      </c>
      <c r="B616" s="90" t="s">
        <v>16</v>
      </c>
      <c r="C616" s="2" t="s">
        <v>8</v>
      </c>
      <c r="D616" s="2" t="s">
        <v>934</v>
      </c>
      <c r="E616" s="2" t="s">
        <v>935</v>
      </c>
      <c r="F616" s="2" t="s">
        <v>936</v>
      </c>
      <c r="G616" s="2" t="s">
        <v>937</v>
      </c>
      <c r="H616" s="10">
        <f>WORKDAY(G616,125,'[1]Feriados y Materias'!$B$21:$B$61)</f>
        <v>46108</v>
      </c>
      <c r="I616" s="2" t="s">
        <v>192</v>
      </c>
      <c r="J616" s="2" t="s">
        <v>194</v>
      </c>
      <c r="K616" s="2" t="s">
        <v>1093</v>
      </c>
    </row>
    <row r="617" spans="1:11" x14ac:dyDescent="0.35">
      <c r="A617">
        <v>611</v>
      </c>
      <c r="B617" s="90" t="s">
        <v>16</v>
      </c>
      <c r="C617" s="2" t="s">
        <v>8</v>
      </c>
      <c r="D617" s="2" t="s">
        <v>934</v>
      </c>
      <c r="E617" s="2" t="s">
        <v>935</v>
      </c>
      <c r="F617" s="2" t="s">
        <v>938</v>
      </c>
      <c r="G617" s="2" t="s">
        <v>937</v>
      </c>
      <c r="H617" s="10">
        <f>WORKDAY(G617,125,'[1]Feriados y Materias'!$B$21:$B$61)</f>
        <v>46108</v>
      </c>
      <c r="I617" s="2" t="s">
        <v>192</v>
      </c>
      <c r="J617" s="2" t="s">
        <v>200</v>
      </c>
      <c r="K617" s="2" t="s">
        <v>1093</v>
      </c>
    </row>
    <row r="618" spans="1:11" x14ac:dyDescent="0.35">
      <c r="A618">
        <v>612</v>
      </c>
      <c r="B618" s="90" t="s">
        <v>16</v>
      </c>
      <c r="C618" s="2" t="s">
        <v>8</v>
      </c>
      <c r="D618" s="2" t="s">
        <v>934</v>
      </c>
      <c r="E618" s="2" t="s">
        <v>935</v>
      </c>
      <c r="F618" s="2" t="s">
        <v>939</v>
      </c>
      <c r="G618" s="2" t="s">
        <v>937</v>
      </c>
      <c r="H618" s="10">
        <f>WORKDAY(G618,125,'[1]Feriados y Materias'!$B$21:$B$61)</f>
        <v>46108</v>
      </c>
      <c r="I618" s="2" t="s">
        <v>192</v>
      </c>
      <c r="J618" s="2" t="s">
        <v>194</v>
      </c>
      <c r="K618" s="2" t="s">
        <v>1093</v>
      </c>
    </row>
    <row r="619" spans="1:11" x14ac:dyDescent="0.35">
      <c r="A619">
        <v>613</v>
      </c>
      <c r="B619" s="90" t="s">
        <v>16</v>
      </c>
      <c r="C619" s="2" t="s">
        <v>8</v>
      </c>
      <c r="D619" s="2" t="s">
        <v>934</v>
      </c>
      <c r="E619" s="2" t="s">
        <v>935</v>
      </c>
      <c r="F619" s="2" t="s">
        <v>940</v>
      </c>
      <c r="G619" s="2" t="s">
        <v>937</v>
      </c>
      <c r="H619" s="10">
        <f>WORKDAY(G619,125,'[1]Feriados y Materias'!$B$21:$B$61)</f>
        <v>46108</v>
      </c>
      <c r="I619" s="2" t="s">
        <v>192</v>
      </c>
      <c r="J619" s="2" t="s">
        <v>194</v>
      </c>
      <c r="K619" s="2" t="s">
        <v>1093</v>
      </c>
    </row>
    <row r="620" spans="1:11" x14ac:dyDescent="0.35">
      <c r="A620">
        <v>614</v>
      </c>
      <c r="B620" s="90" t="s">
        <v>16</v>
      </c>
      <c r="C620" s="2" t="s">
        <v>8</v>
      </c>
      <c r="D620" s="2" t="s">
        <v>934</v>
      </c>
      <c r="E620" s="2" t="s">
        <v>935</v>
      </c>
      <c r="F620" s="2" t="s">
        <v>941</v>
      </c>
      <c r="G620" s="2" t="s">
        <v>937</v>
      </c>
      <c r="H620" s="10">
        <f>WORKDAY(G620,125,'[1]Feriados y Materias'!$B$21:$B$61)</f>
        <v>46108</v>
      </c>
      <c r="I620" s="2" t="s">
        <v>192</v>
      </c>
      <c r="J620" s="2" t="s">
        <v>194</v>
      </c>
      <c r="K620" s="2" t="s">
        <v>1093</v>
      </c>
    </row>
    <row r="621" spans="1:11" x14ac:dyDescent="0.35">
      <c r="A621">
        <v>615</v>
      </c>
      <c r="B621" s="90" t="s">
        <v>16</v>
      </c>
      <c r="C621" s="2" t="s">
        <v>8</v>
      </c>
      <c r="D621" s="2" t="s">
        <v>934</v>
      </c>
      <c r="E621" s="2" t="s">
        <v>935</v>
      </c>
      <c r="F621" s="2" t="s">
        <v>942</v>
      </c>
      <c r="G621" s="2" t="s">
        <v>937</v>
      </c>
      <c r="H621" s="10">
        <f>WORKDAY(G621,125,'[1]Feriados y Materias'!$B$21:$B$61)</f>
        <v>46108</v>
      </c>
      <c r="I621" s="2" t="s">
        <v>192</v>
      </c>
      <c r="J621" s="2" t="s">
        <v>194</v>
      </c>
      <c r="K621" s="2" t="s">
        <v>1093</v>
      </c>
    </row>
    <row r="622" spans="1:11" x14ac:dyDescent="0.35">
      <c r="A622">
        <v>616</v>
      </c>
      <c r="B622" s="90" t="s">
        <v>16</v>
      </c>
      <c r="C622" s="2" t="s">
        <v>8</v>
      </c>
      <c r="D622" s="2" t="s">
        <v>934</v>
      </c>
      <c r="E622" s="2" t="s">
        <v>935</v>
      </c>
      <c r="F622" s="2" t="s">
        <v>943</v>
      </c>
      <c r="G622" s="2" t="s">
        <v>944</v>
      </c>
      <c r="H622" s="10">
        <f>WORKDAY(G622,125,'[1]Feriados y Materias'!$B$21:$B$61)</f>
        <v>46111</v>
      </c>
      <c r="I622" s="2" t="s">
        <v>192</v>
      </c>
      <c r="J622" s="2" t="s">
        <v>194</v>
      </c>
      <c r="K622" s="2" t="s">
        <v>1093</v>
      </c>
    </row>
    <row r="623" spans="1:11" x14ac:dyDescent="0.35">
      <c r="A623">
        <v>617</v>
      </c>
      <c r="B623" s="90" t="s">
        <v>16</v>
      </c>
      <c r="C623" s="2" t="s">
        <v>8</v>
      </c>
      <c r="D623" s="2" t="s">
        <v>934</v>
      </c>
      <c r="E623" s="2" t="s">
        <v>935</v>
      </c>
      <c r="F623" s="2" t="s">
        <v>945</v>
      </c>
      <c r="G623" s="2" t="s">
        <v>944</v>
      </c>
      <c r="H623" s="10">
        <f>WORKDAY(G623,125,'[1]Feriados y Materias'!$B$21:$B$61)</f>
        <v>46111</v>
      </c>
      <c r="I623" s="2" t="s">
        <v>192</v>
      </c>
      <c r="J623" s="2" t="s">
        <v>194</v>
      </c>
      <c r="K623" s="2" t="s">
        <v>1093</v>
      </c>
    </row>
    <row r="624" spans="1:11" x14ac:dyDescent="0.35">
      <c r="A624">
        <v>618</v>
      </c>
      <c r="B624" s="90" t="s">
        <v>16</v>
      </c>
      <c r="C624" s="2" t="s">
        <v>8</v>
      </c>
      <c r="D624" s="2" t="s">
        <v>934</v>
      </c>
      <c r="E624" s="2" t="s">
        <v>935</v>
      </c>
      <c r="F624" s="2" t="s">
        <v>946</v>
      </c>
      <c r="G624" s="2" t="s">
        <v>944</v>
      </c>
      <c r="H624" s="10">
        <f>WORKDAY(G624,125,'[1]Feriados y Materias'!$B$21:$B$61)</f>
        <v>46111</v>
      </c>
      <c r="I624" s="2" t="s">
        <v>192</v>
      </c>
      <c r="J624" s="2" t="s">
        <v>194</v>
      </c>
      <c r="K624" s="2" t="s">
        <v>1093</v>
      </c>
    </row>
    <row r="625" spans="1:11" x14ac:dyDescent="0.35">
      <c r="A625">
        <v>619</v>
      </c>
      <c r="B625" s="90" t="s">
        <v>16</v>
      </c>
      <c r="C625" s="2" t="s">
        <v>8</v>
      </c>
      <c r="D625" s="2" t="s">
        <v>934</v>
      </c>
      <c r="E625" s="2" t="s">
        <v>935</v>
      </c>
      <c r="F625" s="2" t="s">
        <v>947</v>
      </c>
      <c r="G625" s="2" t="s">
        <v>944</v>
      </c>
      <c r="H625" s="10">
        <f>WORKDAY(G625,125,'[1]Feriados y Materias'!$B$21:$B$61)</f>
        <v>46111</v>
      </c>
      <c r="I625" s="2" t="s">
        <v>192</v>
      </c>
      <c r="J625" s="2" t="s">
        <v>194</v>
      </c>
      <c r="K625" s="2" t="s">
        <v>1093</v>
      </c>
    </row>
    <row r="626" spans="1:11" x14ac:dyDescent="0.35">
      <c r="A626">
        <v>620</v>
      </c>
      <c r="B626" s="90" t="s">
        <v>16</v>
      </c>
      <c r="C626" s="2" t="s">
        <v>8</v>
      </c>
      <c r="D626" s="2" t="s">
        <v>87</v>
      </c>
      <c r="E626" s="2" t="s">
        <v>88</v>
      </c>
      <c r="F626" s="2" t="s">
        <v>948</v>
      </c>
      <c r="G626" s="2" t="s">
        <v>944</v>
      </c>
      <c r="H626" s="10">
        <f>WORKDAY(G626,125,'[1]Feriados y Materias'!$B$21:$B$61)</f>
        <v>46111</v>
      </c>
      <c r="I626" s="2" t="s">
        <v>192</v>
      </c>
      <c r="J626" s="2" t="s">
        <v>194</v>
      </c>
      <c r="K626" s="2" t="s">
        <v>1093</v>
      </c>
    </row>
    <row r="627" spans="1:11" x14ac:dyDescent="0.35">
      <c r="A627">
        <v>621</v>
      </c>
      <c r="B627" s="90" t="s">
        <v>16</v>
      </c>
      <c r="C627" s="2" t="s">
        <v>8</v>
      </c>
      <c r="D627" s="2" t="s">
        <v>934</v>
      </c>
      <c r="E627" s="2" t="s">
        <v>935</v>
      </c>
      <c r="F627" s="2" t="s">
        <v>949</v>
      </c>
      <c r="G627" s="2" t="s">
        <v>944</v>
      </c>
      <c r="H627" s="10">
        <f>WORKDAY(G627,125,'[1]Feriados y Materias'!$B$21:$B$61)</f>
        <v>46111</v>
      </c>
      <c r="I627" s="2" t="s">
        <v>192</v>
      </c>
      <c r="J627" s="2" t="s">
        <v>194</v>
      </c>
      <c r="K627" s="2" t="s">
        <v>1093</v>
      </c>
    </row>
    <row r="628" spans="1:11" x14ac:dyDescent="0.35">
      <c r="A628">
        <v>622</v>
      </c>
      <c r="B628" s="90" t="s">
        <v>16</v>
      </c>
      <c r="C628" s="2" t="s">
        <v>8</v>
      </c>
      <c r="D628" s="2" t="s">
        <v>934</v>
      </c>
      <c r="E628" s="2" t="s">
        <v>935</v>
      </c>
      <c r="F628" s="2" t="s">
        <v>950</v>
      </c>
      <c r="G628" s="2" t="s">
        <v>944</v>
      </c>
      <c r="H628" s="10">
        <f>WORKDAY(G628,125,'[1]Feriados y Materias'!$B$21:$B$61)</f>
        <v>46111</v>
      </c>
      <c r="I628" s="2" t="s">
        <v>192</v>
      </c>
      <c r="J628" s="2" t="s">
        <v>194</v>
      </c>
      <c r="K628" s="2" t="s">
        <v>1093</v>
      </c>
    </row>
    <row r="629" spans="1:11" x14ac:dyDescent="0.35">
      <c r="A629">
        <v>623</v>
      </c>
      <c r="B629" s="90" t="s">
        <v>16</v>
      </c>
      <c r="C629" s="2" t="s">
        <v>8</v>
      </c>
      <c r="D629" s="2" t="s">
        <v>87</v>
      </c>
      <c r="E629" s="2" t="s">
        <v>88</v>
      </c>
      <c r="F629" s="2" t="s">
        <v>951</v>
      </c>
      <c r="G629" s="2" t="s">
        <v>944</v>
      </c>
      <c r="H629" s="10">
        <f>WORKDAY(G629,125,'[1]Feriados y Materias'!$B$21:$B$61)</f>
        <v>46111</v>
      </c>
      <c r="I629" s="2" t="s">
        <v>192</v>
      </c>
      <c r="J629" s="2" t="s">
        <v>193</v>
      </c>
      <c r="K629" s="2" t="s">
        <v>1093</v>
      </c>
    </row>
    <row r="630" spans="1:11" x14ac:dyDescent="0.35">
      <c r="A630">
        <v>624</v>
      </c>
      <c r="B630" s="90" t="s">
        <v>16</v>
      </c>
      <c r="C630" s="2" t="s">
        <v>8</v>
      </c>
      <c r="D630" s="2" t="s">
        <v>87</v>
      </c>
      <c r="E630" s="2" t="s">
        <v>88</v>
      </c>
      <c r="F630" s="2" t="s">
        <v>952</v>
      </c>
      <c r="G630" s="2" t="s">
        <v>944</v>
      </c>
      <c r="H630" s="10">
        <f>WORKDAY(G630,125,'[1]Feriados y Materias'!$B$21:$B$61)</f>
        <v>46111</v>
      </c>
      <c r="I630" s="2" t="s">
        <v>192</v>
      </c>
      <c r="J630" s="2" t="s">
        <v>193</v>
      </c>
      <c r="K630" s="2" t="s">
        <v>1093</v>
      </c>
    </row>
    <row r="631" spans="1:11" x14ac:dyDescent="0.35">
      <c r="A631">
        <v>625</v>
      </c>
      <c r="B631" s="90" t="s">
        <v>16</v>
      </c>
      <c r="C631" s="2" t="s">
        <v>8</v>
      </c>
      <c r="D631" s="2" t="s">
        <v>87</v>
      </c>
      <c r="E631" s="2" t="s">
        <v>88</v>
      </c>
      <c r="F631" s="2" t="s">
        <v>953</v>
      </c>
      <c r="G631" s="2" t="s">
        <v>944</v>
      </c>
      <c r="H631" s="10">
        <f>WORKDAY(G631,125,'[1]Feriados y Materias'!$B$21:$B$61)</f>
        <v>46111</v>
      </c>
      <c r="I631" s="2" t="s">
        <v>192</v>
      </c>
      <c r="J631" s="2" t="s">
        <v>200</v>
      </c>
      <c r="K631" s="2" t="s">
        <v>1093</v>
      </c>
    </row>
    <row r="632" spans="1:11" x14ac:dyDescent="0.35">
      <c r="A632">
        <v>626</v>
      </c>
      <c r="B632" s="90" t="s">
        <v>16</v>
      </c>
      <c r="C632" s="2" t="s">
        <v>8</v>
      </c>
      <c r="D632" s="2" t="s">
        <v>87</v>
      </c>
      <c r="E632" s="2" t="s">
        <v>88</v>
      </c>
      <c r="F632" s="2" t="s">
        <v>954</v>
      </c>
      <c r="G632" s="2" t="s">
        <v>944</v>
      </c>
      <c r="H632" s="10">
        <f>WORKDAY(G632,125,'[1]Feriados y Materias'!$B$21:$B$61)</f>
        <v>46111</v>
      </c>
      <c r="I632" s="2" t="s">
        <v>192</v>
      </c>
      <c r="J632" s="2" t="s">
        <v>194</v>
      </c>
      <c r="K632" s="2" t="s">
        <v>1093</v>
      </c>
    </row>
    <row r="633" spans="1:11" x14ac:dyDescent="0.35">
      <c r="A633">
        <v>627</v>
      </c>
      <c r="B633" s="90" t="s">
        <v>16</v>
      </c>
      <c r="C633" s="2" t="s">
        <v>8</v>
      </c>
      <c r="D633" s="2" t="s">
        <v>87</v>
      </c>
      <c r="E633" s="2" t="s">
        <v>88</v>
      </c>
      <c r="F633" s="2" t="s">
        <v>955</v>
      </c>
      <c r="G633" s="2" t="s">
        <v>944</v>
      </c>
      <c r="H633" s="10">
        <f>WORKDAY(G633,125,'[1]Feriados y Materias'!$B$21:$B$61)</f>
        <v>46111</v>
      </c>
      <c r="I633" s="2" t="s">
        <v>192</v>
      </c>
      <c r="J633" s="2" t="s">
        <v>194</v>
      </c>
      <c r="K633" s="2" t="s">
        <v>1093</v>
      </c>
    </row>
    <row r="634" spans="1:11" x14ac:dyDescent="0.35">
      <c r="A634">
        <v>628</v>
      </c>
      <c r="B634" s="90" t="s">
        <v>16</v>
      </c>
      <c r="C634" s="2" t="s">
        <v>8</v>
      </c>
      <c r="D634" s="2" t="s">
        <v>87</v>
      </c>
      <c r="E634" s="2" t="s">
        <v>88</v>
      </c>
      <c r="F634" s="2" t="s">
        <v>956</v>
      </c>
      <c r="G634" s="2" t="s">
        <v>944</v>
      </c>
      <c r="H634" s="10">
        <f>WORKDAY(G634,125,'[1]Feriados y Materias'!$B$21:$B$61)</f>
        <v>46111</v>
      </c>
      <c r="I634" s="2" t="s">
        <v>192</v>
      </c>
      <c r="J634" s="2" t="s">
        <v>77</v>
      </c>
      <c r="K634" s="2" t="s">
        <v>1093</v>
      </c>
    </row>
    <row r="635" spans="1:11" x14ac:dyDescent="0.35">
      <c r="A635">
        <v>629</v>
      </c>
      <c r="B635" s="90" t="s">
        <v>16</v>
      </c>
      <c r="C635" s="2" t="s">
        <v>8</v>
      </c>
      <c r="D635" s="2" t="s">
        <v>87</v>
      </c>
      <c r="E635" s="2" t="s">
        <v>88</v>
      </c>
      <c r="F635" s="2" t="s">
        <v>957</v>
      </c>
      <c r="G635" s="2" t="s">
        <v>944</v>
      </c>
      <c r="H635" s="10">
        <f>WORKDAY(G635,125,'[1]Feriados y Materias'!$B$21:$B$61)</f>
        <v>46111</v>
      </c>
      <c r="I635" s="2" t="s">
        <v>192</v>
      </c>
      <c r="J635" s="2" t="s">
        <v>193</v>
      </c>
      <c r="K635" s="2" t="s">
        <v>1093</v>
      </c>
    </row>
    <row r="636" spans="1:11" x14ac:dyDescent="0.35">
      <c r="A636">
        <v>630</v>
      </c>
      <c r="B636" s="90" t="s">
        <v>16</v>
      </c>
      <c r="C636" s="2" t="s">
        <v>8</v>
      </c>
      <c r="D636" s="2" t="s">
        <v>87</v>
      </c>
      <c r="E636" s="2" t="s">
        <v>88</v>
      </c>
      <c r="F636" s="2" t="s">
        <v>958</v>
      </c>
      <c r="G636" s="2" t="s">
        <v>944</v>
      </c>
      <c r="H636" s="10">
        <f>WORKDAY(G636,125,'[1]Feriados y Materias'!$B$21:$B$61)</f>
        <v>46111</v>
      </c>
      <c r="I636" s="2" t="s">
        <v>192</v>
      </c>
      <c r="J636" s="2" t="s">
        <v>200</v>
      </c>
      <c r="K636" s="2" t="s">
        <v>1093</v>
      </c>
    </row>
    <row r="637" spans="1:11" x14ac:dyDescent="0.35">
      <c r="A637">
        <v>631</v>
      </c>
      <c r="B637" s="90" t="s">
        <v>16</v>
      </c>
      <c r="C637" s="2" t="s">
        <v>8</v>
      </c>
      <c r="D637" s="2" t="s">
        <v>87</v>
      </c>
      <c r="E637" s="2" t="s">
        <v>88</v>
      </c>
      <c r="F637" s="2" t="s">
        <v>959</v>
      </c>
      <c r="G637" s="2" t="s">
        <v>944</v>
      </c>
      <c r="H637" s="10">
        <f>WORKDAY(G637,125,'[1]Feriados y Materias'!$B$21:$B$61)</f>
        <v>46111</v>
      </c>
      <c r="I637" s="2" t="s">
        <v>192</v>
      </c>
      <c r="J637" s="2" t="s">
        <v>194</v>
      </c>
      <c r="K637" s="2" t="s">
        <v>1093</v>
      </c>
    </row>
    <row r="638" spans="1:11" x14ac:dyDescent="0.35">
      <c r="A638">
        <v>632</v>
      </c>
      <c r="B638" s="90" t="s">
        <v>16</v>
      </c>
      <c r="C638" s="2" t="s">
        <v>8</v>
      </c>
      <c r="D638" s="2" t="s">
        <v>960</v>
      </c>
      <c r="E638" s="2" t="s">
        <v>961</v>
      </c>
      <c r="F638" s="2" t="s">
        <v>962</v>
      </c>
      <c r="G638" s="2" t="s">
        <v>944</v>
      </c>
      <c r="H638" s="10">
        <f>WORKDAY(G638,125,'[1]Feriados y Materias'!$B$21:$B$61)</f>
        <v>46111</v>
      </c>
      <c r="I638" s="2" t="s">
        <v>192</v>
      </c>
      <c r="J638" s="2" t="s">
        <v>261</v>
      </c>
      <c r="K638" s="2" t="s">
        <v>1093</v>
      </c>
    </row>
    <row r="639" spans="1:11" x14ac:dyDescent="0.35">
      <c r="A639">
        <v>633</v>
      </c>
      <c r="B639" s="90" t="s">
        <v>16</v>
      </c>
      <c r="C639" s="2" t="s">
        <v>8</v>
      </c>
      <c r="D639" s="2" t="s">
        <v>963</v>
      </c>
      <c r="E639" s="2" t="s">
        <v>964</v>
      </c>
      <c r="F639" s="2" t="s">
        <v>975</v>
      </c>
      <c r="G639" s="2" t="s">
        <v>170</v>
      </c>
      <c r="H639" s="10">
        <f>WORKDAY(G639,125,'[1]Feriados y Materias'!$B$21:$B$61)</f>
        <v>46112</v>
      </c>
      <c r="I639" s="2" t="s">
        <v>192</v>
      </c>
      <c r="J639" s="2" t="s">
        <v>200</v>
      </c>
      <c r="K639" s="2" t="s">
        <v>1093</v>
      </c>
    </row>
    <row r="640" spans="1:11" x14ac:dyDescent="0.35">
      <c r="A640">
        <v>634</v>
      </c>
      <c r="B640" s="90" t="s">
        <v>16</v>
      </c>
      <c r="C640" s="2" t="s">
        <v>8</v>
      </c>
      <c r="D640" s="2" t="s">
        <v>976</v>
      </c>
      <c r="E640" s="2" t="s">
        <v>977</v>
      </c>
      <c r="F640" s="2" t="s">
        <v>978</v>
      </c>
      <c r="G640" s="2" t="s">
        <v>979</v>
      </c>
      <c r="H640" s="10">
        <f>WORKDAY(G640,125,'[1]Feriados y Materias'!$B$21:$B$61)</f>
        <v>46114</v>
      </c>
      <c r="I640" s="2" t="s">
        <v>192</v>
      </c>
      <c r="J640" s="2" t="s">
        <v>261</v>
      </c>
      <c r="K640" s="2" t="s">
        <v>1093</v>
      </c>
    </row>
    <row r="641" spans="1:11" x14ac:dyDescent="0.35">
      <c r="A641">
        <v>635</v>
      </c>
      <c r="B641" s="90" t="s">
        <v>16</v>
      </c>
      <c r="C641" s="2" t="s">
        <v>8</v>
      </c>
      <c r="D641" s="2" t="s">
        <v>980</v>
      </c>
      <c r="E641" s="2" t="s">
        <v>981</v>
      </c>
      <c r="F641" s="2" t="s">
        <v>982</v>
      </c>
      <c r="G641" s="2" t="s">
        <v>979</v>
      </c>
      <c r="H641" s="10">
        <f>WORKDAY(G641,125,'[1]Feriados y Materias'!$B$21:$B$61)</f>
        <v>46114</v>
      </c>
      <c r="I641" s="2" t="s">
        <v>192</v>
      </c>
      <c r="J641" s="2" t="s">
        <v>77</v>
      </c>
      <c r="K641" s="2" t="s">
        <v>1093</v>
      </c>
    </row>
    <row r="642" spans="1:11" x14ac:dyDescent="0.35">
      <c r="A642">
        <v>636</v>
      </c>
      <c r="B642" s="64" t="s">
        <v>16</v>
      </c>
      <c r="C642" s="2" t="s">
        <v>8</v>
      </c>
      <c r="D642" s="2" t="s">
        <v>983</v>
      </c>
      <c r="E642" s="2" t="s">
        <v>984</v>
      </c>
      <c r="F642" s="2" t="s">
        <v>985</v>
      </c>
      <c r="G642" s="2" t="s">
        <v>986</v>
      </c>
      <c r="H642" s="10">
        <f>WORKDAY(G642,125,'[1]Feriados y Materias'!$B$21:$B$61)</f>
        <v>46115</v>
      </c>
      <c r="I642" s="2" t="s">
        <v>192</v>
      </c>
      <c r="J642" s="2" t="s">
        <v>200</v>
      </c>
      <c r="K642" s="2" t="s">
        <v>1093</v>
      </c>
    </row>
    <row r="643" spans="1:11" x14ac:dyDescent="0.35">
      <c r="A643">
        <v>637</v>
      </c>
      <c r="B643" s="64" t="s">
        <v>16</v>
      </c>
      <c r="C643" s="2" t="s">
        <v>8</v>
      </c>
      <c r="D643" s="2" t="s">
        <v>983</v>
      </c>
      <c r="E643" s="2" t="s">
        <v>984</v>
      </c>
      <c r="F643" s="2" t="s">
        <v>987</v>
      </c>
      <c r="G643" s="2" t="s">
        <v>986</v>
      </c>
      <c r="H643" s="10">
        <f>WORKDAY(G643,125,'[1]Feriados y Materias'!$B$21:$B$61)</f>
        <v>46115</v>
      </c>
      <c r="I643" s="2" t="s">
        <v>192</v>
      </c>
      <c r="J643" s="2" t="s">
        <v>200</v>
      </c>
      <c r="K643" s="2" t="s">
        <v>1093</v>
      </c>
    </row>
    <row r="644" spans="1:11" x14ac:dyDescent="0.35">
      <c r="A644">
        <v>638</v>
      </c>
      <c r="B644" s="90" t="s">
        <v>16</v>
      </c>
      <c r="C644" s="2" t="s">
        <v>8</v>
      </c>
      <c r="D644" s="2" t="s">
        <v>1004</v>
      </c>
      <c r="E644" s="2" t="s">
        <v>1005</v>
      </c>
      <c r="F644" s="2" t="s">
        <v>1006</v>
      </c>
      <c r="G644" s="2" t="s">
        <v>986</v>
      </c>
      <c r="H644" s="10">
        <f>WORKDAY(G644,125,'[1]Feriados y Materias'!$B$21:$B$61)</f>
        <v>46115</v>
      </c>
      <c r="I644" s="2" t="s">
        <v>192</v>
      </c>
      <c r="J644" s="2" t="s">
        <v>77</v>
      </c>
      <c r="K644" s="2" t="s">
        <v>1093</v>
      </c>
    </row>
    <row r="645" spans="1:11" s="4" customFormat="1" x14ac:dyDescent="0.35">
      <c r="A645">
        <v>639</v>
      </c>
      <c r="B645" s="90" t="s">
        <v>16</v>
      </c>
      <c r="C645" s="2" t="s">
        <v>8</v>
      </c>
      <c r="D645" s="2" t="s">
        <v>934</v>
      </c>
      <c r="E645" s="2" t="s">
        <v>935</v>
      </c>
      <c r="F645" s="2" t="s">
        <v>988</v>
      </c>
      <c r="G645" s="2" t="s">
        <v>989</v>
      </c>
      <c r="H645" s="10">
        <f>WORKDAY(G645,125,'[1]Feriados y Materias'!$B$21:$B$61)</f>
        <v>46118</v>
      </c>
      <c r="I645" s="2" t="s">
        <v>192</v>
      </c>
      <c r="J645" s="2" t="s">
        <v>195</v>
      </c>
      <c r="K645" s="2" t="s">
        <v>1093</v>
      </c>
    </row>
    <row r="646" spans="1:11" x14ac:dyDescent="0.35">
      <c r="A646">
        <v>640</v>
      </c>
      <c r="B646" s="90" t="s">
        <v>16</v>
      </c>
      <c r="C646" s="2" t="s">
        <v>8</v>
      </c>
      <c r="D646" s="2" t="s">
        <v>934</v>
      </c>
      <c r="E646" s="2" t="s">
        <v>935</v>
      </c>
      <c r="F646" s="2" t="s">
        <v>990</v>
      </c>
      <c r="G646" s="2" t="s">
        <v>989</v>
      </c>
      <c r="H646" s="10">
        <f>WORKDAY(G646,125,'[1]Feriados y Materias'!$B$21:$B$61)</f>
        <v>46118</v>
      </c>
      <c r="I646" s="2" t="s">
        <v>192</v>
      </c>
      <c r="J646" s="2" t="s">
        <v>193</v>
      </c>
      <c r="K646" s="2" t="s">
        <v>1093</v>
      </c>
    </row>
    <row r="647" spans="1:11" x14ac:dyDescent="0.35">
      <c r="A647">
        <v>641</v>
      </c>
      <c r="B647" s="90" t="s">
        <v>16</v>
      </c>
      <c r="C647" s="2" t="s">
        <v>8</v>
      </c>
      <c r="D647" s="2" t="s">
        <v>934</v>
      </c>
      <c r="E647" s="2" t="s">
        <v>935</v>
      </c>
      <c r="F647" s="2" t="s">
        <v>991</v>
      </c>
      <c r="G647" s="2" t="s">
        <v>989</v>
      </c>
      <c r="H647" s="10">
        <f>WORKDAY(G647,125,'[1]Feriados y Materias'!$B$21:$B$61)</f>
        <v>46118</v>
      </c>
      <c r="I647" s="2" t="s">
        <v>192</v>
      </c>
      <c r="J647" s="2" t="s">
        <v>195</v>
      </c>
      <c r="K647" s="2" t="s">
        <v>1093</v>
      </c>
    </row>
    <row r="648" spans="1:11" x14ac:dyDescent="0.35">
      <c r="A648">
        <v>642</v>
      </c>
      <c r="B648" s="90" t="s">
        <v>16</v>
      </c>
      <c r="C648" s="2" t="s">
        <v>8</v>
      </c>
      <c r="D648" s="2" t="s">
        <v>934</v>
      </c>
      <c r="E648" s="2" t="s">
        <v>935</v>
      </c>
      <c r="F648" s="2" t="s">
        <v>992</v>
      </c>
      <c r="G648" s="2" t="s">
        <v>989</v>
      </c>
      <c r="H648" s="10">
        <f>WORKDAY(G648,125,'[1]Feriados y Materias'!$B$21:$B$61)</f>
        <v>46118</v>
      </c>
      <c r="I648" s="2" t="s">
        <v>192</v>
      </c>
      <c r="J648" s="2" t="s">
        <v>195</v>
      </c>
      <c r="K648" s="2" t="s">
        <v>1093</v>
      </c>
    </row>
    <row r="649" spans="1:11" x14ac:dyDescent="0.35">
      <c r="A649">
        <v>643</v>
      </c>
      <c r="B649" s="90" t="s">
        <v>16</v>
      </c>
      <c r="C649" s="2" t="s">
        <v>8</v>
      </c>
      <c r="D649" s="2" t="s">
        <v>934</v>
      </c>
      <c r="E649" s="2" t="s">
        <v>935</v>
      </c>
      <c r="F649" s="2" t="s">
        <v>993</v>
      </c>
      <c r="G649" s="2" t="s">
        <v>989</v>
      </c>
      <c r="H649" s="10">
        <f>WORKDAY(G649,125,'[1]Feriados y Materias'!$B$21:$B$61)</f>
        <v>46118</v>
      </c>
      <c r="I649" s="2" t="s">
        <v>192</v>
      </c>
      <c r="J649" s="2" t="s">
        <v>193</v>
      </c>
      <c r="K649" s="2" t="s">
        <v>1093</v>
      </c>
    </row>
    <row r="650" spans="1:11" x14ac:dyDescent="0.35">
      <c r="A650">
        <v>644</v>
      </c>
      <c r="B650" s="90" t="s">
        <v>16</v>
      </c>
      <c r="C650" s="2" t="s">
        <v>8</v>
      </c>
      <c r="D650" s="2" t="s">
        <v>934</v>
      </c>
      <c r="E650" s="2" t="s">
        <v>935</v>
      </c>
      <c r="F650" s="2" t="s">
        <v>994</v>
      </c>
      <c r="G650" s="2" t="s">
        <v>989</v>
      </c>
      <c r="H650" s="10">
        <f>WORKDAY(G650,125,'[1]Feriados y Materias'!$B$21:$B$61)</f>
        <v>46118</v>
      </c>
      <c r="I650" s="2" t="s">
        <v>192</v>
      </c>
      <c r="J650" s="2" t="s">
        <v>194</v>
      </c>
      <c r="K650" s="2" t="s">
        <v>1093</v>
      </c>
    </row>
    <row r="651" spans="1:11" x14ac:dyDescent="0.35">
      <c r="A651">
        <v>645</v>
      </c>
      <c r="B651" s="90" t="s">
        <v>16</v>
      </c>
      <c r="C651" s="2" t="s">
        <v>8</v>
      </c>
      <c r="D651" s="2" t="s">
        <v>934</v>
      </c>
      <c r="E651" s="2" t="s">
        <v>935</v>
      </c>
      <c r="F651" s="2" t="s">
        <v>995</v>
      </c>
      <c r="G651" s="2" t="s">
        <v>989</v>
      </c>
      <c r="H651" s="10">
        <f>WORKDAY(G651,125,'[1]Feriados y Materias'!$B$21:$B$61)</f>
        <v>46118</v>
      </c>
      <c r="I651" s="2" t="s">
        <v>192</v>
      </c>
      <c r="J651" s="2" t="s">
        <v>195</v>
      </c>
      <c r="K651" s="2" t="s">
        <v>1093</v>
      </c>
    </row>
    <row r="652" spans="1:11" x14ac:dyDescent="0.35">
      <c r="A652">
        <v>646</v>
      </c>
      <c r="B652" s="90" t="s">
        <v>16</v>
      </c>
      <c r="C652" s="2" t="s">
        <v>8</v>
      </c>
      <c r="D652" s="2" t="s">
        <v>996</v>
      </c>
      <c r="E652" s="2" t="s">
        <v>997</v>
      </c>
      <c r="F652" s="2" t="s">
        <v>998</v>
      </c>
      <c r="G652" s="2" t="s">
        <v>989</v>
      </c>
      <c r="H652" s="10">
        <f>WORKDAY(G652,125,'[1]Feriados y Materias'!$B$21:$B$61)</f>
        <v>46118</v>
      </c>
      <c r="I652" s="2" t="s">
        <v>192</v>
      </c>
      <c r="J652" s="2" t="s">
        <v>261</v>
      </c>
      <c r="K652" s="2" t="s">
        <v>1093</v>
      </c>
    </row>
    <row r="653" spans="1:11" x14ac:dyDescent="0.35">
      <c r="A653">
        <v>647</v>
      </c>
      <c r="B653" s="90" t="s">
        <v>16</v>
      </c>
      <c r="C653" s="2" t="s">
        <v>8</v>
      </c>
      <c r="D653" s="2" t="s">
        <v>934</v>
      </c>
      <c r="E653" s="2" t="s">
        <v>935</v>
      </c>
      <c r="F653" s="2" t="s">
        <v>999</v>
      </c>
      <c r="G653" s="2" t="s">
        <v>989</v>
      </c>
      <c r="H653" s="10">
        <f>WORKDAY(G653,125,'[1]Feriados y Materias'!$B$21:$B$61)</f>
        <v>46118</v>
      </c>
      <c r="I653" s="2" t="s">
        <v>192</v>
      </c>
      <c r="J653" s="2" t="s">
        <v>195</v>
      </c>
      <c r="K653" s="2" t="s">
        <v>1093</v>
      </c>
    </row>
    <row r="654" spans="1:11" x14ac:dyDescent="0.35">
      <c r="A654">
        <v>648</v>
      </c>
      <c r="B654" s="90" t="s">
        <v>16</v>
      </c>
      <c r="C654" s="2" t="s">
        <v>8</v>
      </c>
      <c r="D654" s="2" t="s">
        <v>934</v>
      </c>
      <c r="E654" s="2" t="s">
        <v>935</v>
      </c>
      <c r="F654" s="2" t="s">
        <v>1000</v>
      </c>
      <c r="G654" s="2" t="s">
        <v>989</v>
      </c>
      <c r="H654" s="10">
        <f>WORKDAY(G654,125,'[1]Feriados y Materias'!$B$21:$B$61)</f>
        <v>46118</v>
      </c>
      <c r="I654" s="2" t="s">
        <v>192</v>
      </c>
      <c r="J654" s="2" t="s">
        <v>77</v>
      </c>
      <c r="K654" s="2" t="s">
        <v>1093</v>
      </c>
    </row>
    <row r="655" spans="1:11" x14ac:dyDescent="0.35">
      <c r="A655">
        <v>649</v>
      </c>
      <c r="B655" s="90" t="s">
        <v>16</v>
      </c>
      <c r="C655" s="2" t="s">
        <v>8</v>
      </c>
      <c r="D655" s="2" t="s">
        <v>934</v>
      </c>
      <c r="E655" s="2" t="s">
        <v>935</v>
      </c>
      <c r="F655" s="2" t="s">
        <v>1010</v>
      </c>
      <c r="G655" s="2" t="s">
        <v>989</v>
      </c>
      <c r="H655" s="10">
        <f>WORKDAY(G655,125,'[1]Feriados y Materias'!$B$21:$B$61)</f>
        <v>46118</v>
      </c>
      <c r="I655" s="2" t="s">
        <v>192</v>
      </c>
      <c r="J655" s="2" t="s">
        <v>77</v>
      </c>
      <c r="K655" s="2" t="s">
        <v>1093</v>
      </c>
    </row>
    <row r="656" spans="1:11" x14ac:dyDescent="0.35">
      <c r="A656">
        <v>650</v>
      </c>
      <c r="B656" s="90" t="s">
        <v>16</v>
      </c>
      <c r="C656" s="2" t="s">
        <v>8</v>
      </c>
      <c r="D656" s="2" t="s">
        <v>934</v>
      </c>
      <c r="E656" s="2" t="s">
        <v>935</v>
      </c>
      <c r="F656" s="2" t="s">
        <v>1001</v>
      </c>
      <c r="G656" s="2" t="s">
        <v>989</v>
      </c>
      <c r="H656" s="10">
        <f>WORKDAY(G656,125,'[1]Feriados y Materias'!$B$21:$B$61)</f>
        <v>46118</v>
      </c>
      <c r="I656" s="2" t="s">
        <v>192</v>
      </c>
      <c r="J656" s="2" t="s">
        <v>200</v>
      </c>
      <c r="K656" s="2" t="s">
        <v>1093</v>
      </c>
    </row>
    <row r="657" spans="1:11" x14ac:dyDescent="0.35">
      <c r="A657">
        <v>651</v>
      </c>
      <c r="B657" s="90" t="s">
        <v>16</v>
      </c>
      <c r="C657" s="2" t="s">
        <v>8</v>
      </c>
      <c r="D657" s="2" t="s">
        <v>934</v>
      </c>
      <c r="E657" s="2" t="s">
        <v>935</v>
      </c>
      <c r="F657" s="2" t="s">
        <v>1002</v>
      </c>
      <c r="G657" s="2" t="s">
        <v>989</v>
      </c>
      <c r="H657" s="10">
        <f>WORKDAY(G657,125,'[1]Feriados y Materias'!$B$21:$B$61)</f>
        <v>46118</v>
      </c>
      <c r="I657" s="2" t="s">
        <v>192</v>
      </c>
      <c r="J657" s="2" t="s">
        <v>195</v>
      </c>
      <c r="K657" s="2" t="s">
        <v>1093</v>
      </c>
    </row>
    <row r="658" spans="1:11" x14ac:dyDescent="0.35">
      <c r="A658">
        <v>652</v>
      </c>
      <c r="B658" s="90" t="s">
        <v>16</v>
      </c>
      <c r="C658" s="2" t="s">
        <v>8</v>
      </c>
      <c r="D658" s="2" t="s">
        <v>996</v>
      </c>
      <c r="E658" s="2" t="s">
        <v>997</v>
      </c>
      <c r="F658" s="2" t="s">
        <v>1003</v>
      </c>
      <c r="G658" s="2" t="s">
        <v>989</v>
      </c>
      <c r="H658" s="10">
        <f>WORKDAY(G658,125,'[1]Feriados y Materias'!$B$21:$B$61)</f>
        <v>46118</v>
      </c>
      <c r="I658" s="2" t="s">
        <v>192</v>
      </c>
      <c r="J658" s="2" t="s">
        <v>261</v>
      </c>
      <c r="K658" s="2" t="s">
        <v>1093</v>
      </c>
    </row>
    <row r="659" spans="1:11" x14ac:dyDescent="0.35">
      <c r="A659">
        <v>653</v>
      </c>
      <c r="B659" s="90" t="s">
        <v>16</v>
      </c>
      <c r="C659" s="2" t="s">
        <v>8</v>
      </c>
      <c r="D659" s="2" t="s">
        <v>980</v>
      </c>
      <c r="E659" s="2" t="s">
        <v>981</v>
      </c>
      <c r="F659" s="2" t="s">
        <v>1011</v>
      </c>
      <c r="G659" s="2" t="s">
        <v>1062</v>
      </c>
      <c r="H659" s="10">
        <f>WORKDAY(G659,125,'[1]Feriados y Materias'!$B$21:$B$61)</f>
        <v>46119</v>
      </c>
      <c r="I659" s="2" t="s">
        <v>192</v>
      </c>
      <c r="J659" s="2" t="s">
        <v>77</v>
      </c>
      <c r="K659" s="2" t="s">
        <v>1093</v>
      </c>
    </row>
    <row r="660" spans="1:11" x14ac:dyDescent="0.35">
      <c r="A660">
        <v>654</v>
      </c>
      <c r="B660" s="90" t="s">
        <v>16</v>
      </c>
      <c r="C660" s="2" t="s">
        <v>8</v>
      </c>
      <c r="D660" s="2" t="s">
        <v>1012</v>
      </c>
      <c r="E660" s="2" t="s">
        <v>1013</v>
      </c>
      <c r="F660" s="2" t="s">
        <v>1014</v>
      </c>
      <c r="G660" s="2" t="s">
        <v>1063</v>
      </c>
      <c r="H660" s="10">
        <f>WORKDAY(G660,125,'[1]Feriados y Materias'!$B$21:$B$61)</f>
        <v>46122</v>
      </c>
      <c r="I660" s="2" t="s">
        <v>192</v>
      </c>
      <c r="J660" s="2" t="s">
        <v>195</v>
      </c>
      <c r="K660" s="2" t="s">
        <v>1093</v>
      </c>
    </row>
    <row r="661" spans="1:11" x14ac:dyDescent="0.35">
      <c r="A661">
        <v>655</v>
      </c>
      <c r="B661" s="90" t="s">
        <v>16</v>
      </c>
      <c r="C661" s="2" t="s">
        <v>8</v>
      </c>
      <c r="D661" s="2" t="s">
        <v>1015</v>
      </c>
      <c r="E661" s="2" t="s">
        <v>1016</v>
      </c>
      <c r="F661" s="2" t="s">
        <v>1017</v>
      </c>
      <c r="G661" s="2" t="s">
        <v>1064</v>
      </c>
      <c r="H661" s="10">
        <f>WORKDAY(G661,125,'[1]Feriados y Materias'!$B$21:$B$61)</f>
        <v>46125</v>
      </c>
      <c r="I661" s="2" t="s">
        <v>192</v>
      </c>
      <c r="J661" s="2" t="s">
        <v>77</v>
      </c>
      <c r="K661" s="2" t="s">
        <v>1093</v>
      </c>
    </row>
    <row r="662" spans="1:11" x14ac:dyDescent="0.35">
      <c r="A662">
        <v>656</v>
      </c>
      <c r="B662" s="90" t="s">
        <v>16</v>
      </c>
      <c r="C662" s="2" t="s">
        <v>8</v>
      </c>
      <c r="D662" s="2" t="s">
        <v>87</v>
      </c>
      <c r="E662" s="2" t="s">
        <v>88</v>
      </c>
      <c r="F662" s="2" t="s">
        <v>1018</v>
      </c>
      <c r="G662" s="2" t="s">
        <v>1065</v>
      </c>
      <c r="H662" s="10">
        <f>WORKDAY(G662,125,'[1]Feriados y Materias'!$B$21:$B$61)</f>
        <v>46126</v>
      </c>
      <c r="I662" s="2" t="s">
        <v>192</v>
      </c>
      <c r="J662" s="2" t="s">
        <v>77</v>
      </c>
      <c r="K662" s="2" t="s">
        <v>1093</v>
      </c>
    </row>
    <row r="663" spans="1:11" x14ac:dyDescent="0.35">
      <c r="A663">
        <v>657</v>
      </c>
      <c r="B663" s="90" t="s">
        <v>16</v>
      </c>
      <c r="C663" s="2" t="s">
        <v>8</v>
      </c>
      <c r="D663" s="2" t="s">
        <v>1019</v>
      </c>
      <c r="E663" s="2" t="s">
        <v>1020</v>
      </c>
      <c r="F663" s="2" t="s">
        <v>1021</v>
      </c>
      <c r="G663" s="2" t="s">
        <v>1066</v>
      </c>
      <c r="H663" s="10">
        <f>WORKDAY(G663,125,'[1]Feriados y Materias'!$B$21:$B$61)</f>
        <v>46127</v>
      </c>
      <c r="I663" s="2" t="s">
        <v>192</v>
      </c>
      <c r="J663" s="2" t="s">
        <v>195</v>
      </c>
      <c r="K663" s="2" t="s">
        <v>1093</v>
      </c>
    </row>
    <row r="664" spans="1:11" x14ac:dyDescent="0.35">
      <c r="A664">
        <v>658</v>
      </c>
      <c r="B664" s="90" t="s">
        <v>16</v>
      </c>
      <c r="C664" s="2" t="s">
        <v>8</v>
      </c>
      <c r="D664" s="2" t="s">
        <v>1022</v>
      </c>
      <c r="E664" s="2" t="s">
        <v>1023</v>
      </c>
      <c r="F664" s="2" t="s">
        <v>1024</v>
      </c>
      <c r="G664" s="2" t="s">
        <v>1067</v>
      </c>
      <c r="H664" s="10">
        <f>WORKDAY(G664,125,'[1]Feriados y Materias'!$B$21:$B$61)</f>
        <v>46129</v>
      </c>
      <c r="I664" s="2" t="s">
        <v>192</v>
      </c>
      <c r="J664" s="2" t="s">
        <v>77</v>
      </c>
      <c r="K664" s="2" t="s">
        <v>1093</v>
      </c>
    </row>
    <row r="665" spans="1:11" x14ac:dyDescent="0.35">
      <c r="A665">
        <v>659</v>
      </c>
      <c r="B665" s="90" t="s">
        <v>16</v>
      </c>
      <c r="C665" s="2" t="s">
        <v>8</v>
      </c>
      <c r="D665" s="2" t="s">
        <v>1022</v>
      </c>
      <c r="E665" s="2" t="s">
        <v>1023</v>
      </c>
      <c r="F665" s="2" t="s">
        <v>1025</v>
      </c>
      <c r="G665" s="2" t="s">
        <v>1067</v>
      </c>
      <c r="H665" s="10">
        <f>WORKDAY(G665,125,'[1]Feriados y Materias'!$B$21:$B$61)</f>
        <v>46129</v>
      </c>
      <c r="I665" s="2" t="s">
        <v>192</v>
      </c>
      <c r="J665" s="2" t="s">
        <v>77</v>
      </c>
      <c r="K665" s="2" t="s">
        <v>1093</v>
      </c>
    </row>
    <row r="666" spans="1:11" x14ac:dyDescent="0.35">
      <c r="A666">
        <v>660</v>
      </c>
      <c r="B666" s="90" t="s">
        <v>16</v>
      </c>
      <c r="C666" s="2" t="s">
        <v>8</v>
      </c>
      <c r="D666" s="2" t="s">
        <v>1022</v>
      </c>
      <c r="E666" s="2" t="s">
        <v>1023</v>
      </c>
      <c r="F666" s="2" t="s">
        <v>1026</v>
      </c>
      <c r="G666" s="2" t="s">
        <v>1067</v>
      </c>
      <c r="H666" s="10">
        <f>WORKDAY(G666,125,'[1]Feriados y Materias'!$B$21:$B$61)</f>
        <v>46129</v>
      </c>
      <c r="I666" s="2" t="s">
        <v>192</v>
      </c>
      <c r="J666" s="2" t="s">
        <v>195</v>
      </c>
      <c r="K666" s="2" t="s">
        <v>1093</v>
      </c>
    </row>
    <row r="667" spans="1:11" x14ac:dyDescent="0.35">
      <c r="A667">
        <v>661</v>
      </c>
      <c r="B667" s="90" t="s">
        <v>16</v>
      </c>
      <c r="C667" s="2" t="s">
        <v>8</v>
      </c>
      <c r="D667" s="2" t="s">
        <v>1022</v>
      </c>
      <c r="E667" s="2" t="s">
        <v>1023</v>
      </c>
      <c r="F667" s="2" t="s">
        <v>1027</v>
      </c>
      <c r="G667" s="2" t="s">
        <v>1067</v>
      </c>
      <c r="H667" s="10">
        <f>WORKDAY(G667,125,'[1]Feriados y Materias'!$B$21:$B$61)</f>
        <v>46129</v>
      </c>
      <c r="I667" s="2" t="s">
        <v>192</v>
      </c>
      <c r="J667" s="2" t="s">
        <v>77</v>
      </c>
      <c r="K667" s="2" t="s">
        <v>1093</v>
      </c>
    </row>
    <row r="668" spans="1:11" x14ac:dyDescent="0.35">
      <c r="A668">
        <v>662</v>
      </c>
      <c r="B668" s="90" t="s">
        <v>16</v>
      </c>
      <c r="C668" s="2" t="s">
        <v>8</v>
      </c>
      <c r="D668" s="2" t="s">
        <v>1022</v>
      </c>
      <c r="E668" s="2" t="s">
        <v>1023</v>
      </c>
      <c r="F668" s="2" t="s">
        <v>1028</v>
      </c>
      <c r="G668" s="2" t="s">
        <v>1067</v>
      </c>
      <c r="H668" s="10">
        <f>WORKDAY(G668,125,'[1]Feriados y Materias'!$B$21:$B$61)</f>
        <v>46129</v>
      </c>
      <c r="I668" s="2" t="s">
        <v>192</v>
      </c>
      <c r="J668" s="2" t="s">
        <v>77</v>
      </c>
      <c r="K668" s="2" t="s">
        <v>1093</v>
      </c>
    </row>
    <row r="669" spans="1:11" x14ac:dyDescent="0.35">
      <c r="A669">
        <v>663</v>
      </c>
      <c r="B669" s="90" t="s">
        <v>16</v>
      </c>
      <c r="C669" s="2" t="s">
        <v>8</v>
      </c>
      <c r="D669" s="2" t="s">
        <v>1022</v>
      </c>
      <c r="E669" s="2" t="s">
        <v>1023</v>
      </c>
      <c r="F669" s="2" t="s">
        <v>1029</v>
      </c>
      <c r="G669" s="2" t="s">
        <v>1067</v>
      </c>
      <c r="H669" s="10">
        <f>WORKDAY(G669,125,'[1]Feriados y Materias'!$B$21:$B$61)</f>
        <v>46129</v>
      </c>
      <c r="I669" s="2" t="s">
        <v>192</v>
      </c>
      <c r="J669" s="2" t="s">
        <v>195</v>
      </c>
      <c r="K669" s="2" t="s">
        <v>1093</v>
      </c>
    </row>
    <row r="670" spans="1:11" x14ac:dyDescent="0.35">
      <c r="A670">
        <v>664</v>
      </c>
      <c r="B670" s="90" t="s">
        <v>16</v>
      </c>
      <c r="C670" s="2" t="s">
        <v>8</v>
      </c>
      <c r="D670" s="2" t="s">
        <v>1022</v>
      </c>
      <c r="E670" s="2" t="s">
        <v>1023</v>
      </c>
      <c r="F670" s="2" t="s">
        <v>1030</v>
      </c>
      <c r="G670" s="2" t="s">
        <v>1067</v>
      </c>
      <c r="H670" s="10">
        <f>WORKDAY(G670,125,'[1]Feriados y Materias'!$B$21:$B$61)</f>
        <v>46129</v>
      </c>
      <c r="I670" s="2" t="s">
        <v>192</v>
      </c>
      <c r="J670" s="2" t="s">
        <v>77</v>
      </c>
      <c r="K670" s="2" t="s">
        <v>1093</v>
      </c>
    </row>
    <row r="671" spans="1:11" x14ac:dyDescent="0.35">
      <c r="A671">
        <v>665</v>
      </c>
      <c r="B671" s="90" t="s">
        <v>16</v>
      </c>
      <c r="C671" s="2" t="s">
        <v>8</v>
      </c>
      <c r="D671" s="2" t="s">
        <v>1022</v>
      </c>
      <c r="E671" s="2" t="s">
        <v>1023</v>
      </c>
      <c r="F671" s="2" t="s">
        <v>1031</v>
      </c>
      <c r="G671" s="2" t="s">
        <v>1067</v>
      </c>
      <c r="H671" s="10">
        <f>WORKDAY(G671,125,'[1]Feriados y Materias'!$B$21:$B$61)</f>
        <v>46129</v>
      </c>
      <c r="I671" s="2" t="s">
        <v>192</v>
      </c>
      <c r="J671" s="2" t="s">
        <v>195</v>
      </c>
      <c r="K671" s="2" t="s">
        <v>1093</v>
      </c>
    </row>
    <row r="672" spans="1:11" x14ac:dyDescent="0.35">
      <c r="A672">
        <v>666</v>
      </c>
      <c r="B672" s="90" t="s">
        <v>16</v>
      </c>
      <c r="C672" s="2" t="s">
        <v>8</v>
      </c>
      <c r="D672" s="2" t="s">
        <v>1022</v>
      </c>
      <c r="E672" s="2" t="s">
        <v>1023</v>
      </c>
      <c r="F672" s="2" t="s">
        <v>1032</v>
      </c>
      <c r="G672" s="2" t="s">
        <v>1067</v>
      </c>
      <c r="H672" s="10">
        <f>WORKDAY(G672,125,'[1]Feriados y Materias'!$B$21:$B$61)</f>
        <v>46129</v>
      </c>
      <c r="I672" s="2" t="s">
        <v>192</v>
      </c>
      <c r="J672" s="2" t="s">
        <v>195</v>
      </c>
      <c r="K672" s="2" t="s">
        <v>1093</v>
      </c>
    </row>
    <row r="673" spans="1:11" x14ac:dyDescent="0.35">
      <c r="A673">
        <v>667</v>
      </c>
      <c r="B673" s="90" t="s">
        <v>16</v>
      </c>
      <c r="C673" s="2" t="s">
        <v>8</v>
      </c>
      <c r="D673" s="2" t="s">
        <v>1022</v>
      </c>
      <c r="E673" s="2" t="s">
        <v>1023</v>
      </c>
      <c r="F673" s="2" t="s">
        <v>1033</v>
      </c>
      <c r="G673" s="2" t="s">
        <v>1067</v>
      </c>
      <c r="H673" s="10">
        <f>WORKDAY(G673,125,'[1]Feriados y Materias'!$B$21:$B$61)</f>
        <v>46129</v>
      </c>
      <c r="I673" s="2" t="s">
        <v>192</v>
      </c>
      <c r="J673" s="2" t="s">
        <v>195</v>
      </c>
      <c r="K673" s="2" t="s">
        <v>1093</v>
      </c>
    </row>
    <row r="674" spans="1:11" x14ac:dyDescent="0.35">
      <c r="A674">
        <v>668</v>
      </c>
      <c r="B674" s="90" t="s">
        <v>16</v>
      </c>
      <c r="C674" s="2" t="s">
        <v>8</v>
      </c>
      <c r="D674" s="2" t="s">
        <v>1022</v>
      </c>
      <c r="E674" s="2" t="s">
        <v>1023</v>
      </c>
      <c r="F674" s="2" t="s">
        <v>1034</v>
      </c>
      <c r="G674" s="2" t="s">
        <v>1067</v>
      </c>
      <c r="H674" s="10">
        <f>WORKDAY(G674,125,'[1]Feriados y Materias'!$B$21:$B$61)</f>
        <v>46129</v>
      </c>
      <c r="I674" s="2" t="s">
        <v>192</v>
      </c>
      <c r="J674" s="2" t="s">
        <v>77</v>
      </c>
      <c r="K674" s="2" t="s">
        <v>1093</v>
      </c>
    </row>
    <row r="675" spans="1:11" x14ac:dyDescent="0.35">
      <c r="A675">
        <v>669</v>
      </c>
      <c r="B675" s="90" t="s">
        <v>16</v>
      </c>
      <c r="C675" s="2" t="s">
        <v>8</v>
      </c>
      <c r="D675" s="2" t="s">
        <v>1022</v>
      </c>
      <c r="E675" s="2" t="s">
        <v>1023</v>
      </c>
      <c r="F675" s="2" t="s">
        <v>1035</v>
      </c>
      <c r="G675" s="2" t="s">
        <v>1067</v>
      </c>
      <c r="H675" s="10">
        <f>WORKDAY(G675,125,'[1]Feriados y Materias'!$B$21:$B$61)</f>
        <v>46129</v>
      </c>
      <c r="I675" s="2" t="s">
        <v>192</v>
      </c>
      <c r="J675" s="2" t="s">
        <v>195</v>
      </c>
      <c r="K675" s="2" t="s">
        <v>1093</v>
      </c>
    </row>
    <row r="676" spans="1:11" x14ac:dyDescent="0.35">
      <c r="A676">
        <v>670</v>
      </c>
      <c r="B676" s="90" t="s">
        <v>16</v>
      </c>
      <c r="C676" s="2" t="s">
        <v>8</v>
      </c>
      <c r="D676" s="2" t="s">
        <v>1022</v>
      </c>
      <c r="E676" s="2" t="s">
        <v>1023</v>
      </c>
      <c r="F676" s="2" t="s">
        <v>1036</v>
      </c>
      <c r="G676" s="2" t="s">
        <v>1067</v>
      </c>
      <c r="H676" s="10">
        <f>WORKDAY(G676,125,'[1]Feriados y Materias'!$B$21:$B$61)</f>
        <v>46129</v>
      </c>
      <c r="I676" s="2" t="s">
        <v>192</v>
      </c>
      <c r="J676" s="2" t="s">
        <v>195</v>
      </c>
      <c r="K676" s="2" t="s">
        <v>1093</v>
      </c>
    </row>
    <row r="677" spans="1:11" x14ac:dyDescent="0.35">
      <c r="A677">
        <v>671</v>
      </c>
      <c r="B677" s="90" t="s">
        <v>16</v>
      </c>
      <c r="C677" s="2" t="s">
        <v>8</v>
      </c>
      <c r="D677" s="2" t="s">
        <v>1037</v>
      </c>
      <c r="E677" s="2" t="s">
        <v>1038</v>
      </c>
      <c r="F677" s="2" t="s">
        <v>1039</v>
      </c>
      <c r="G677" s="2" t="s">
        <v>1067</v>
      </c>
      <c r="H677" s="10">
        <f>WORKDAY(G677,125,'[1]Feriados y Materias'!$B$21:$B$61)</f>
        <v>46129</v>
      </c>
      <c r="I677" s="2" t="s">
        <v>192</v>
      </c>
      <c r="J677" s="2" t="s">
        <v>200</v>
      </c>
      <c r="K677" s="2" t="s">
        <v>1093</v>
      </c>
    </row>
    <row r="678" spans="1:11" x14ac:dyDescent="0.35">
      <c r="A678">
        <v>672</v>
      </c>
      <c r="B678" s="90" t="s">
        <v>16</v>
      </c>
      <c r="C678" s="2" t="s">
        <v>8</v>
      </c>
      <c r="D678" s="2" t="s">
        <v>934</v>
      </c>
      <c r="E678" s="2" t="s">
        <v>935</v>
      </c>
      <c r="F678" s="2" t="s">
        <v>1043</v>
      </c>
      <c r="G678" s="2" t="s">
        <v>1069</v>
      </c>
      <c r="H678" s="10">
        <f>WORKDAY(G678,125,'[1]Feriados y Materias'!$B$21:$B$61)</f>
        <v>46133</v>
      </c>
      <c r="I678" s="2" t="s">
        <v>192</v>
      </c>
      <c r="J678" s="2" t="s">
        <v>195</v>
      </c>
      <c r="K678" s="2" t="s">
        <v>1093</v>
      </c>
    </row>
    <row r="679" spans="1:11" x14ac:dyDescent="0.35">
      <c r="A679">
        <v>673</v>
      </c>
      <c r="B679" s="90" t="s">
        <v>16</v>
      </c>
      <c r="C679" s="2" t="s">
        <v>8</v>
      </c>
      <c r="D679" s="2" t="s">
        <v>934</v>
      </c>
      <c r="E679" s="2" t="s">
        <v>935</v>
      </c>
      <c r="F679" s="2" t="s">
        <v>1044</v>
      </c>
      <c r="G679" s="2" t="s">
        <v>1069</v>
      </c>
      <c r="H679" s="10">
        <f>WORKDAY(G679,125,'[1]Feriados y Materias'!$B$21:$B$61)</f>
        <v>46133</v>
      </c>
      <c r="I679" s="2" t="s">
        <v>192</v>
      </c>
      <c r="J679" s="2" t="s">
        <v>77</v>
      </c>
      <c r="K679" s="2" t="s">
        <v>1093</v>
      </c>
    </row>
    <row r="680" spans="1:11" x14ac:dyDescent="0.35">
      <c r="A680">
        <v>674</v>
      </c>
      <c r="B680" s="90" t="s">
        <v>16</v>
      </c>
      <c r="C680" s="2" t="s">
        <v>8</v>
      </c>
      <c r="D680" s="2" t="s">
        <v>1045</v>
      </c>
      <c r="E680" s="2" t="s">
        <v>1046</v>
      </c>
      <c r="F680" s="2" t="s">
        <v>1047</v>
      </c>
      <c r="G680" s="2" t="s">
        <v>1069</v>
      </c>
      <c r="H680" s="10">
        <f>WORKDAY(G680,125,'[1]Feriados y Materias'!$B$21:$B$61)</f>
        <v>46133</v>
      </c>
      <c r="I680" s="2" t="s">
        <v>192</v>
      </c>
      <c r="J680" s="2" t="s">
        <v>200</v>
      </c>
      <c r="K680" s="2" t="s">
        <v>1093</v>
      </c>
    </row>
    <row r="681" spans="1:11" x14ac:dyDescent="0.35">
      <c r="A681">
        <v>675</v>
      </c>
      <c r="B681" s="90" t="s">
        <v>16</v>
      </c>
      <c r="C681" s="2" t="s">
        <v>8</v>
      </c>
      <c r="D681" s="2" t="s">
        <v>934</v>
      </c>
      <c r="E681" s="2" t="s">
        <v>935</v>
      </c>
      <c r="F681" s="2" t="s">
        <v>1048</v>
      </c>
      <c r="G681" s="2" t="s">
        <v>1069</v>
      </c>
      <c r="H681" s="10">
        <f>WORKDAY(G681,125,'[1]Feriados y Materias'!$B$21:$B$61)</f>
        <v>46133</v>
      </c>
      <c r="I681" s="2" t="s">
        <v>192</v>
      </c>
      <c r="J681" s="2" t="s">
        <v>200</v>
      </c>
      <c r="K681" s="2" t="s">
        <v>1093</v>
      </c>
    </row>
    <row r="682" spans="1:11" x14ac:dyDescent="0.35">
      <c r="A682">
        <v>676</v>
      </c>
      <c r="B682" s="90" t="s">
        <v>16</v>
      </c>
      <c r="C682" s="2" t="s">
        <v>8</v>
      </c>
      <c r="D682" s="2" t="s">
        <v>934</v>
      </c>
      <c r="E682" s="2" t="s">
        <v>935</v>
      </c>
      <c r="F682" s="2" t="s">
        <v>1094</v>
      </c>
      <c r="G682" s="2" t="s">
        <v>1069</v>
      </c>
      <c r="H682" s="10">
        <f>WORKDAY(G682,125,'[1]Feriados y Materias'!$B$21:$B$61)</f>
        <v>46133</v>
      </c>
      <c r="I682" s="2" t="s">
        <v>192</v>
      </c>
      <c r="J682" s="2" t="s">
        <v>200</v>
      </c>
      <c r="K682" s="2" t="s">
        <v>1093</v>
      </c>
    </row>
    <row r="683" spans="1:11" x14ac:dyDescent="0.35">
      <c r="A683">
        <v>677</v>
      </c>
      <c r="B683" s="90" t="s">
        <v>16</v>
      </c>
      <c r="C683" s="2" t="s">
        <v>8</v>
      </c>
      <c r="D683" s="2" t="s">
        <v>934</v>
      </c>
      <c r="E683" s="2" t="s">
        <v>935</v>
      </c>
      <c r="F683" s="2" t="s">
        <v>1095</v>
      </c>
      <c r="G683" s="2" t="s">
        <v>1069</v>
      </c>
      <c r="H683" s="10">
        <f>WORKDAY(G683,125,'[1]Feriados y Materias'!$B$21:$B$61)</f>
        <v>46133</v>
      </c>
      <c r="I683" s="2" t="s">
        <v>192</v>
      </c>
      <c r="J683" s="2" t="s">
        <v>200</v>
      </c>
      <c r="K683" s="2" t="s">
        <v>1093</v>
      </c>
    </row>
    <row r="684" spans="1:11" x14ac:dyDescent="0.35">
      <c r="A684">
        <v>678</v>
      </c>
      <c r="B684" s="90" t="s">
        <v>16</v>
      </c>
      <c r="C684" s="2" t="s">
        <v>8</v>
      </c>
      <c r="D684" s="2" t="s">
        <v>934</v>
      </c>
      <c r="E684" s="2" t="s">
        <v>935</v>
      </c>
      <c r="F684" s="2" t="s">
        <v>1049</v>
      </c>
      <c r="G684" s="2" t="s">
        <v>1069</v>
      </c>
      <c r="H684" s="10">
        <f>WORKDAY(G684,125,'[1]Feriados y Materias'!$B$21:$B$61)</f>
        <v>46133</v>
      </c>
      <c r="I684" s="2" t="s">
        <v>192</v>
      </c>
      <c r="J684" s="2" t="s">
        <v>194</v>
      </c>
      <c r="K684" s="2" t="s">
        <v>1093</v>
      </c>
    </row>
    <row r="685" spans="1:11" x14ac:dyDescent="0.35">
      <c r="A685">
        <v>679</v>
      </c>
      <c r="B685" s="90" t="s">
        <v>16</v>
      </c>
      <c r="C685" s="2" t="s">
        <v>8</v>
      </c>
      <c r="D685" s="2" t="s">
        <v>934</v>
      </c>
      <c r="E685" s="2" t="s">
        <v>935</v>
      </c>
      <c r="F685" s="2" t="s">
        <v>1096</v>
      </c>
      <c r="G685" s="2" t="s">
        <v>1069</v>
      </c>
      <c r="H685" s="10">
        <f>WORKDAY(G685,125,'[1]Feriados y Materias'!$B$21:$B$61)</f>
        <v>46133</v>
      </c>
      <c r="I685" s="2" t="s">
        <v>192</v>
      </c>
      <c r="J685" s="2" t="s">
        <v>77</v>
      </c>
      <c r="K685" s="2" t="s">
        <v>1093</v>
      </c>
    </row>
    <row r="686" spans="1:11" x14ac:dyDescent="0.35">
      <c r="A686">
        <v>680</v>
      </c>
      <c r="B686" s="90" t="s">
        <v>16</v>
      </c>
      <c r="C686" s="2" t="s">
        <v>8</v>
      </c>
      <c r="D686" s="2" t="s">
        <v>934</v>
      </c>
      <c r="E686" s="2" t="s">
        <v>935</v>
      </c>
      <c r="F686" s="2" t="s">
        <v>1050</v>
      </c>
      <c r="G686" s="2" t="s">
        <v>1069</v>
      </c>
      <c r="H686" s="10">
        <f>WORKDAY(G686,125,'[1]Feriados y Materias'!$B$21:$B$61)</f>
        <v>46133</v>
      </c>
      <c r="I686" s="2" t="s">
        <v>192</v>
      </c>
      <c r="J686" s="2" t="s">
        <v>77</v>
      </c>
      <c r="K686" s="2" t="s">
        <v>1093</v>
      </c>
    </row>
    <row r="687" spans="1:11" x14ac:dyDescent="0.35">
      <c r="A687">
        <v>681</v>
      </c>
      <c r="B687" s="90" t="s">
        <v>16</v>
      </c>
      <c r="C687" s="2" t="s">
        <v>8</v>
      </c>
      <c r="D687" s="2" t="s">
        <v>934</v>
      </c>
      <c r="E687" s="2" t="s">
        <v>935</v>
      </c>
      <c r="F687" s="2" t="s">
        <v>1097</v>
      </c>
      <c r="G687" s="2" t="s">
        <v>1069</v>
      </c>
      <c r="H687" s="10">
        <f>WORKDAY(G687,125,'[1]Feriados y Materias'!$B$21:$B$61)</f>
        <v>46133</v>
      </c>
      <c r="I687" s="2" t="s">
        <v>192</v>
      </c>
      <c r="J687" s="2" t="s">
        <v>77</v>
      </c>
      <c r="K687" s="2" t="s">
        <v>1093</v>
      </c>
    </row>
    <row r="688" spans="1:11" x14ac:dyDescent="0.35">
      <c r="A688">
        <v>682</v>
      </c>
      <c r="B688" s="90" t="s">
        <v>16</v>
      </c>
      <c r="C688" s="2" t="s">
        <v>8</v>
      </c>
      <c r="D688" s="2" t="s">
        <v>934</v>
      </c>
      <c r="E688" s="2" t="s">
        <v>935</v>
      </c>
      <c r="F688" s="2" t="s">
        <v>1098</v>
      </c>
      <c r="G688" s="2" t="s">
        <v>1069</v>
      </c>
      <c r="H688" s="10">
        <f>WORKDAY(G688,125,'[1]Feriados y Materias'!$B$21:$B$61)</f>
        <v>46133</v>
      </c>
      <c r="I688" s="2" t="s">
        <v>192</v>
      </c>
      <c r="J688" s="2" t="s">
        <v>200</v>
      </c>
      <c r="K688" s="2" t="s">
        <v>1093</v>
      </c>
    </row>
    <row r="689" spans="1:11" x14ac:dyDescent="0.35">
      <c r="A689">
        <v>683</v>
      </c>
      <c r="B689" s="90" t="s">
        <v>16</v>
      </c>
      <c r="C689" s="2" t="s">
        <v>8</v>
      </c>
      <c r="D689" s="2" t="s">
        <v>934</v>
      </c>
      <c r="E689" s="2" t="s">
        <v>935</v>
      </c>
      <c r="F689" s="2" t="s">
        <v>1099</v>
      </c>
      <c r="G689" s="2" t="s">
        <v>1069</v>
      </c>
      <c r="H689" s="10">
        <f>WORKDAY(G689,125,'[1]Feriados y Materias'!$B$21:$B$61)</f>
        <v>46133</v>
      </c>
      <c r="I689" s="2" t="s">
        <v>192</v>
      </c>
      <c r="J689" s="2" t="s">
        <v>195</v>
      </c>
      <c r="K689" s="2" t="s">
        <v>1093</v>
      </c>
    </row>
    <row r="690" spans="1:11" x14ac:dyDescent="0.35">
      <c r="A690">
        <v>684</v>
      </c>
      <c r="B690" s="90" t="s">
        <v>16</v>
      </c>
      <c r="C690" s="2" t="s">
        <v>8</v>
      </c>
      <c r="D690" s="2" t="s">
        <v>934</v>
      </c>
      <c r="E690" s="2" t="s">
        <v>935</v>
      </c>
      <c r="F690" s="2" t="s">
        <v>1100</v>
      </c>
      <c r="G690" s="2" t="s">
        <v>1069</v>
      </c>
      <c r="H690" s="10">
        <f>WORKDAY(G690,125,'[1]Feriados y Materias'!$B$21:$B$61)</f>
        <v>46133</v>
      </c>
      <c r="I690" s="2" t="s">
        <v>192</v>
      </c>
      <c r="J690" s="2" t="s">
        <v>200</v>
      </c>
      <c r="K690" s="2" t="s">
        <v>1093</v>
      </c>
    </row>
    <row r="691" spans="1:11" x14ac:dyDescent="0.35">
      <c r="A691">
        <v>685</v>
      </c>
      <c r="B691" s="90" t="s">
        <v>16</v>
      </c>
      <c r="C691" s="2" t="s">
        <v>8</v>
      </c>
      <c r="D691" s="2" t="s">
        <v>934</v>
      </c>
      <c r="E691" s="2" t="s">
        <v>935</v>
      </c>
      <c r="F691" s="2" t="s">
        <v>1101</v>
      </c>
      <c r="G691" s="2" t="s">
        <v>1069</v>
      </c>
      <c r="H691" s="10">
        <f>WORKDAY(G691,125,'[1]Feriados y Materias'!$B$21:$B$61)</f>
        <v>46133</v>
      </c>
      <c r="I691" s="2" t="s">
        <v>192</v>
      </c>
      <c r="J691" s="2" t="s">
        <v>200</v>
      </c>
      <c r="K691" s="2" t="s">
        <v>1093</v>
      </c>
    </row>
    <row r="692" spans="1:11" x14ac:dyDescent="0.35">
      <c r="A692">
        <v>686</v>
      </c>
      <c r="B692" s="90" t="s">
        <v>16</v>
      </c>
      <c r="C692" s="2" t="s">
        <v>8</v>
      </c>
      <c r="D692" s="2" t="s">
        <v>934</v>
      </c>
      <c r="E692" s="2" t="s">
        <v>935</v>
      </c>
      <c r="F692" s="2" t="s">
        <v>1102</v>
      </c>
      <c r="G692" s="2" t="s">
        <v>1069</v>
      </c>
      <c r="H692" s="10">
        <f>WORKDAY(G692,125,'[1]Feriados y Materias'!$B$21:$B$61)</f>
        <v>46133</v>
      </c>
      <c r="I692" s="2" t="s">
        <v>192</v>
      </c>
      <c r="J692" s="2" t="s">
        <v>200</v>
      </c>
      <c r="K692" s="2" t="s">
        <v>1093</v>
      </c>
    </row>
    <row r="693" spans="1:11" x14ac:dyDescent="0.35">
      <c r="A693">
        <v>687</v>
      </c>
      <c r="B693" s="90" t="s">
        <v>16</v>
      </c>
      <c r="C693" s="2" t="s">
        <v>8</v>
      </c>
      <c r="D693" s="2" t="s">
        <v>934</v>
      </c>
      <c r="E693" s="2" t="s">
        <v>935</v>
      </c>
      <c r="F693" s="2" t="s">
        <v>1103</v>
      </c>
      <c r="G693" s="2" t="s">
        <v>1069</v>
      </c>
      <c r="H693" s="10">
        <f>WORKDAY(G693,125,'[1]Feriados y Materias'!$B$21:$B$61)</f>
        <v>46133</v>
      </c>
      <c r="I693" s="2" t="s">
        <v>192</v>
      </c>
      <c r="J693" s="2" t="s">
        <v>200</v>
      </c>
      <c r="K693" s="2" t="s">
        <v>1093</v>
      </c>
    </row>
    <row r="694" spans="1:11" x14ac:dyDescent="0.35">
      <c r="A694">
        <v>688</v>
      </c>
      <c r="B694" s="90" t="s">
        <v>16</v>
      </c>
      <c r="C694" s="2" t="s">
        <v>8</v>
      </c>
      <c r="D694" s="2" t="s">
        <v>934</v>
      </c>
      <c r="E694" s="2" t="s">
        <v>935</v>
      </c>
      <c r="F694" s="2" t="s">
        <v>1104</v>
      </c>
      <c r="G694" s="2" t="s">
        <v>1069</v>
      </c>
      <c r="H694" s="10">
        <f>WORKDAY(G694,125,'[1]Feriados y Materias'!$B$21:$B$61)</f>
        <v>46133</v>
      </c>
      <c r="I694" s="2" t="s">
        <v>192</v>
      </c>
      <c r="J694" s="2" t="s">
        <v>77</v>
      </c>
      <c r="K694" s="2" t="s">
        <v>1093</v>
      </c>
    </row>
    <row r="695" spans="1:11" x14ac:dyDescent="0.35">
      <c r="A695">
        <v>689</v>
      </c>
      <c r="B695" s="90" t="s">
        <v>16</v>
      </c>
      <c r="C695" s="2" t="s">
        <v>8</v>
      </c>
      <c r="D695" s="2" t="s">
        <v>934</v>
      </c>
      <c r="E695" s="2" t="s">
        <v>935</v>
      </c>
      <c r="F695" s="2" t="s">
        <v>1105</v>
      </c>
      <c r="G695" s="2" t="s">
        <v>1069</v>
      </c>
      <c r="H695" s="10">
        <f>WORKDAY(G695,125,'[1]Feriados y Materias'!$B$21:$B$61)</f>
        <v>46133</v>
      </c>
      <c r="I695" s="2" t="s">
        <v>192</v>
      </c>
      <c r="J695" s="2" t="s">
        <v>200</v>
      </c>
      <c r="K695" s="2" t="s">
        <v>1093</v>
      </c>
    </row>
    <row r="696" spans="1:11" x14ac:dyDescent="0.35">
      <c r="A696">
        <v>690</v>
      </c>
      <c r="B696" s="90" t="s">
        <v>16</v>
      </c>
      <c r="C696" s="2" t="s">
        <v>8</v>
      </c>
      <c r="D696" s="2" t="s">
        <v>934</v>
      </c>
      <c r="E696" s="2" t="s">
        <v>935</v>
      </c>
      <c r="F696" s="2" t="s">
        <v>1106</v>
      </c>
      <c r="G696" s="2" t="s">
        <v>1069</v>
      </c>
      <c r="H696" s="10">
        <f>WORKDAY(G696,125,'[1]Feriados y Materias'!$B$21:$B$61)</f>
        <v>46133</v>
      </c>
      <c r="I696" s="2" t="s">
        <v>192</v>
      </c>
      <c r="J696" s="2" t="s">
        <v>77</v>
      </c>
      <c r="K696" s="2" t="s">
        <v>1093</v>
      </c>
    </row>
    <row r="697" spans="1:11" x14ac:dyDescent="0.35">
      <c r="A697">
        <v>691</v>
      </c>
      <c r="B697" s="90" t="s">
        <v>16</v>
      </c>
      <c r="C697" s="2" t="s">
        <v>8</v>
      </c>
      <c r="D697" s="2" t="s">
        <v>934</v>
      </c>
      <c r="E697" s="2" t="s">
        <v>935</v>
      </c>
      <c r="F697" s="2" t="s">
        <v>1051</v>
      </c>
      <c r="G697" s="2" t="s">
        <v>1069</v>
      </c>
      <c r="H697" s="10">
        <f>WORKDAY(G697,125,'[1]Feriados y Materias'!$B$21:$B$61)</f>
        <v>46133</v>
      </c>
      <c r="I697" s="2" t="s">
        <v>192</v>
      </c>
      <c r="J697" s="2" t="s">
        <v>194</v>
      </c>
      <c r="K697" s="2" t="s">
        <v>1093</v>
      </c>
    </row>
    <row r="698" spans="1:11" x14ac:dyDescent="0.35">
      <c r="A698">
        <v>692</v>
      </c>
      <c r="B698" s="90" t="s">
        <v>16</v>
      </c>
      <c r="C698" s="2" t="s">
        <v>8</v>
      </c>
      <c r="D698" s="2" t="s">
        <v>934</v>
      </c>
      <c r="E698" s="2" t="s">
        <v>935</v>
      </c>
      <c r="F698" s="2" t="s">
        <v>1052</v>
      </c>
      <c r="G698" s="2" t="s">
        <v>1069</v>
      </c>
      <c r="H698" s="10">
        <f>WORKDAY(G698,125,'[1]Feriados y Materias'!$B$21:$B$61)</f>
        <v>46133</v>
      </c>
      <c r="I698" s="2" t="s">
        <v>192</v>
      </c>
      <c r="J698" s="2" t="s">
        <v>77</v>
      </c>
      <c r="K698" s="2" t="s">
        <v>1093</v>
      </c>
    </row>
    <row r="699" spans="1:11" x14ac:dyDescent="0.35">
      <c r="A699">
        <v>693</v>
      </c>
      <c r="B699" s="90" t="s">
        <v>16</v>
      </c>
      <c r="C699" s="2" t="s">
        <v>8</v>
      </c>
      <c r="D699" s="2" t="s">
        <v>1053</v>
      </c>
      <c r="E699" s="2" t="s">
        <v>1054</v>
      </c>
      <c r="F699" s="2" t="s">
        <v>1055</v>
      </c>
      <c r="G699" s="2" t="s">
        <v>1070</v>
      </c>
      <c r="H699" s="10">
        <f>WORKDAY(G699,125,'[1]Feriados y Materias'!$B$21:$B$61)</f>
        <v>46136</v>
      </c>
      <c r="I699" s="2" t="s">
        <v>192</v>
      </c>
      <c r="J699" s="2" t="s">
        <v>77</v>
      </c>
      <c r="K699" s="2" t="s">
        <v>1093</v>
      </c>
    </row>
    <row r="700" spans="1:11" x14ac:dyDescent="0.35">
      <c r="A700">
        <v>694</v>
      </c>
      <c r="B700" s="90" t="s">
        <v>16</v>
      </c>
      <c r="C700" s="2" t="s">
        <v>8</v>
      </c>
      <c r="D700" s="2" t="s">
        <v>1107</v>
      </c>
      <c r="E700" s="2" t="s">
        <v>1108</v>
      </c>
      <c r="F700" s="2" t="s">
        <v>1109</v>
      </c>
      <c r="G700" s="2" t="s">
        <v>1070</v>
      </c>
      <c r="H700" s="10">
        <f>WORKDAY(G700,125,'[1]Feriados y Materias'!$B$21:$B$61)</f>
        <v>46136</v>
      </c>
      <c r="I700" s="2" t="s">
        <v>192</v>
      </c>
      <c r="J700" s="2" t="s">
        <v>200</v>
      </c>
      <c r="K700" s="2" t="s">
        <v>1093</v>
      </c>
    </row>
    <row r="701" spans="1:11" x14ac:dyDescent="0.35">
      <c r="A701">
        <v>695</v>
      </c>
      <c r="B701" s="90" t="s">
        <v>16</v>
      </c>
      <c r="C701" s="2" t="s">
        <v>8</v>
      </c>
      <c r="D701" s="2" t="s">
        <v>1107</v>
      </c>
      <c r="E701" s="2" t="s">
        <v>1108</v>
      </c>
      <c r="F701" s="2" t="s">
        <v>1110</v>
      </c>
      <c r="G701" s="2" t="s">
        <v>1074</v>
      </c>
      <c r="H701" s="10">
        <f>WORKDAY(G701,125,'[1]Feriados y Materias'!$B$21:$B$61)</f>
        <v>46139</v>
      </c>
      <c r="I701" s="2" t="s">
        <v>192</v>
      </c>
      <c r="J701" s="2" t="s">
        <v>200</v>
      </c>
      <c r="K701" s="2" t="s">
        <v>1093</v>
      </c>
    </row>
    <row r="702" spans="1:11" x14ac:dyDescent="0.35">
      <c r="A702">
        <v>696</v>
      </c>
      <c r="B702" s="90" t="s">
        <v>16</v>
      </c>
      <c r="C702" s="2" t="s">
        <v>8</v>
      </c>
      <c r="D702" s="2" t="s">
        <v>1056</v>
      </c>
      <c r="E702" s="2" t="s">
        <v>1057</v>
      </c>
      <c r="F702" s="2" t="s">
        <v>1058</v>
      </c>
      <c r="G702" s="2" t="s">
        <v>1071</v>
      </c>
      <c r="H702" s="10">
        <f>WORKDAY(G702,125,'[1]Feriados y Materias'!$B$21:$B$61)</f>
        <v>46140</v>
      </c>
      <c r="I702" s="2" t="s">
        <v>192</v>
      </c>
      <c r="J702" s="2" t="s">
        <v>200</v>
      </c>
      <c r="K702" s="2" t="s">
        <v>1093</v>
      </c>
    </row>
    <row r="703" spans="1:11" x14ac:dyDescent="0.35">
      <c r="A703">
        <v>697</v>
      </c>
      <c r="B703" s="90" t="s">
        <v>16</v>
      </c>
      <c r="C703" s="2" t="s">
        <v>8</v>
      </c>
      <c r="D703" s="2" t="s">
        <v>1059</v>
      </c>
      <c r="E703" s="2" t="s">
        <v>1060</v>
      </c>
      <c r="F703" s="2" t="s">
        <v>1061</v>
      </c>
      <c r="G703" s="2" t="s">
        <v>1071</v>
      </c>
      <c r="H703" s="10">
        <f>WORKDAY(G703,125,'[1]Feriados y Materias'!$B$21:$B$61)</f>
        <v>46140</v>
      </c>
      <c r="I703" s="2" t="s">
        <v>192</v>
      </c>
      <c r="J703" s="2" t="s">
        <v>200</v>
      </c>
      <c r="K703" s="2" t="s">
        <v>1093</v>
      </c>
    </row>
    <row r="704" spans="1:11" x14ac:dyDescent="0.35">
      <c r="A704">
        <v>698</v>
      </c>
      <c r="B704" s="90" t="s">
        <v>16</v>
      </c>
      <c r="C704" s="2" t="s">
        <v>8</v>
      </c>
      <c r="D704" s="2" t="s">
        <v>1111</v>
      </c>
      <c r="E704" s="2" t="s">
        <v>1112</v>
      </c>
      <c r="F704" s="2" t="s">
        <v>1113</v>
      </c>
      <c r="G704" s="2" t="s">
        <v>1075</v>
      </c>
      <c r="H704" s="10">
        <f>WORKDAY(G704,125,'[1]Feriados y Materias'!$B$21:$B$61)</f>
        <v>46142</v>
      </c>
      <c r="I704" s="2" t="s">
        <v>192</v>
      </c>
      <c r="J704" s="2" t="s">
        <v>77</v>
      </c>
      <c r="K704" s="2" t="s">
        <v>1093</v>
      </c>
    </row>
    <row r="705" spans="1:11" x14ac:dyDescent="0.35">
      <c r="A705">
        <v>699</v>
      </c>
      <c r="B705" s="90" t="s">
        <v>16</v>
      </c>
      <c r="C705" s="2" t="s">
        <v>8</v>
      </c>
      <c r="D705" s="2" t="s">
        <v>1114</v>
      </c>
      <c r="E705" s="2" t="s">
        <v>1115</v>
      </c>
      <c r="F705" s="2" t="s">
        <v>1116</v>
      </c>
      <c r="G705" s="2" t="s">
        <v>1117</v>
      </c>
      <c r="H705" s="10">
        <f>WORKDAY(G705,125,'[1]Feriados y Materias'!$B$21:$B$61)</f>
        <v>46149</v>
      </c>
      <c r="I705" s="2" t="s">
        <v>192</v>
      </c>
      <c r="J705" s="2" t="s">
        <v>195</v>
      </c>
      <c r="K705" s="2" t="s">
        <v>1093</v>
      </c>
    </row>
    <row r="706" spans="1:11" x14ac:dyDescent="0.35">
      <c r="A706">
        <v>700</v>
      </c>
      <c r="B706" s="90" t="s">
        <v>16</v>
      </c>
      <c r="C706" s="2" t="s">
        <v>8</v>
      </c>
      <c r="D706" s="2" t="s">
        <v>1118</v>
      </c>
      <c r="E706" s="2" t="s">
        <v>1119</v>
      </c>
      <c r="F706" s="2" t="s">
        <v>1120</v>
      </c>
      <c r="G706" s="2" t="s">
        <v>1121</v>
      </c>
      <c r="H706" s="10">
        <f>WORKDAY(G706,125,'[1]Feriados y Materias'!$B$21:$B$61)</f>
        <v>46150</v>
      </c>
      <c r="I706" s="2" t="s">
        <v>192</v>
      </c>
      <c r="J706" s="2" t="s">
        <v>195</v>
      </c>
      <c r="K706" s="2" t="s">
        <v>1093</v>
      </c>
    </row>
    <row r="707" spans="1:11" x14ac:dyDescent="0.35">
      <c r="A707">
        <v>701</v>
      </c>
      <c r="B707" s="90" t="s">
        <v>16</v>
      </c>
      <c r="C707" s="2" t="s">
        <v>8</v>
      </c>
      <c r="D707" s="2" t="s">
        <v>1118</v>
      </c>
      <c r="E707" s="2" t="s">
        <v>1119</v>
      </c>
      <c r="F707" s="2" t="s">
        <v>1122</v>
      </c>
      <c r="G707" s="2" t="s">
        <v>1121</v>
      </c>
      <c r="H707" s="10">
        <f>WORKDAY(G707,125,'[1]Feriados y Materias'!$B$21:$B$61)</f>
        <v>46150</v>
      </c>
      <c r="I707" s="2" t="s">
        <v>192</v>
      </c>
      <c r="J707" s="2" t="s">
        <v>195</v>
      </c>
      <c r="K707" s="2" t="s">
        <v>1093</v>
      </c>
    </row>
    <row r="708" spans="1:11" x14ac:dyDescent="0.35">
      <c r="A708">
        <v>702</v>
      </c>
      <c r="B708" s="90" t="s">
        <v>16</v>
      </c>
      <c r="C708" s="2" t="s">
        <v>8</v>
      </c>
      <c r="D708" s="2" t="s">
        <v>87</v>
      </c>
      <c r="E708" s="2" t="s">
        <v>88</v>
      </c>
      <c r="F708" s="2" t="s">
        <v>1123</v>
      </c>
      <c r="G708" s="2" t="s">
        <v>1124</v>
      </c>
      <c r="H708" s="10">
        <f>WORKDAY(G708,125,'[1]Feriados y Materias'!$B$21:$B$61)</f>
        <v>46154</v>
      </c>
      <c r="I708" s="2" t="s">
        <v>192</v>
      </c>
      <c r="J708" s="2" t="s">
        <v>200</v>
      </c>
      <c r="K708" s="2" t="s">
        <v>1093</v>
      </c>
    </row>
    <row r="709" spans="1:11" x14ac:dyDescent="0.35">
      <c r="A709">
        <v>703</v>
      </c>
      <c r="B709" s="90" t="s">
        <v>16</v>
      </c>
      <c r="C709" s="2" t="s">
        <v>8</v>
      </c>
      <c r="D709" s="2" t="s">
        <v>1125</v>
      </c>
      <c r="E709" s="2" t="s">
        <v>1126</v>
      </c>
      <c r="F709" s="2" t="s">
        <v>1127</v>
      </c>
      <c r="G709" s="2" t="s">
        <v>1128</v>
      </c>
      <c r="H709" s="10">
        <f>WORKDAY(G709,125,'[1]Feriados y Materias'!$B$21:$B$61)</f>
        <v>46155</v>
      </c>
      <c r="I709" s="2" t="s">
        <v>192</v>
      </c>
      <c r="J709" s="2" t="s">
        <v>200</v>
      </c>
      <c r="K709" s="2" t="s">
        <v>1093</v>
      </c>
    </row>
    <row r="710" spans="1:11" x14ac:dyDescent="0.35">
      <c r="A710">
        <v>704</v>
      </c>
      <c r="B710" s="90" t="s">
        <v>16</v>
      </c>
      <c r="C710" s="2" t="s">
        <v>8</v>
      </c>
      <c r="D710" s="2" t="s">
        <v>1125</v>
      </c>
      <c r="E710" s="2" t="s">
        <v>1126</v>
      </c>
      <c r="F710" s="2" t="s">
        <v>1129</v>
      </c>
      <c r="G710" s="2" t="s">
        <v>1128</v>
      </c>
      <c r="H710" s="10">
        <f>WORKDAY(G710,125,'[1]Feriados y Materias'!$B$21:$B$61)</f>
        <v>46155</v>
      </c>
      <c r="I710" s="2" t="s">
        <v>192</v>
      </c>
      <c r="J710" s="2" t="s">
        <v>200</v>
      </c>
      <c r="K710" s="2" t="s">
        <v>1093</v>
      </c>
    </row>
    <row r="711" spans="1:11" x14ac:dyDescent="0.35">
      <c r="A711">
        <v>705</v>
      </c>
      <c r="B711" s="90" t="s">
        <v>16</v>
      </c>
      <c r="C711" s="2" t="s">
        <v>8</v>
      </c>
      <c r="D711" s="2" t="s">
        <v>1125</v>
      </c>
      <c r="E711" s="2" t="s">
        <v>1126</v>
      </c>
      <c r="F711" s="2" t="s">
        <v>1130</v>
      </c>
      <c r="G711" s="2" t="s">
        <v>1128</v>
      </c>
      <c r="H711" s="10">
        <f>WORKDAY(G711,125,'[1]Feriados y Materias'!$B$21:$B$61)</f>
        <v>46155</v>
      </c>
      <c r="I711" s="2" t="s">
        <v>192</v>
      </c>
      <c r="J711" s="2" t="s">
        <v>200</v>
      </c>
      <c r="K711" s="2" t="s">
        <v>1093</v>
      </c>
    </row>
    <row r="712" spans="1:11" x14ac:dyDescent="0.35">
      <c r="A712">
        <v>706</v>
      </c>
      <c r="B712" s="90" t="s">
        <v>16</v>
      </c>
      <c r="C712" s="2" t="s">
        <v>8</v>
      </c>
      <c r="D712" s="2" t="s">
        <v>1131</v>
      </c>
      <c r="E712" s="2" t="s">
        <v>1132</v>
      </c>
      <c r="F712" s="2" t="s">
        <v>1133</v>
      </c>
      <c r="G712" s="2" t="s">
        <v>1134</v>
      </c>
      <c r="H712" s="10">
        <f>WORKDAY(G712,125,'[1]Feriados y Materias'!$B$21:$B$61)</f>
        <v>46156</v>
      </c>
      <c r="I712" s="2" t="s">
        <v>192</v>
      </c>
      <c r="J712" s="2" t="s">
        <v>195</v>
      </c>
      <c r="K712" s="2" t="s">
        <v>1093</v>
      </c>
    </row>
    <row r="713" spans="1:11" x14ac:dyDescent="0.35">
      <c r="A713">
        <v>707</v>
      </c>
      <c r="B713" s="90" t="s">
        <v>16</v>
      </c>
      <c r="C713" s="2" t="s">
        <v>8</v>
      </c>
      <c r="D713" s="2" t="s">
        <v>1135</v>
      </c>
      <c r="E713" s="2" t="s">
        <v>1136</v>
      </c>
      <c r="F713" s="2" t="s">
        <v>1137</v>
      </c>
      <c r="G713" s="2" t="s">
        <v>1138</v>
      </c>
      <c r="H713" s="10">
        <f>WORKDAY(G713,125,'[1]Feriados y Materias'!$B$21:$B$61)</f>
        <v>46162</v>
      </c>
      <c r="I713" s="2" t="s">
        <v>192</v>
      </c>
      <c r="J713" s="2" t="s">
        <v>200</v>
      </c>
      <c r="K713" s="2" t="s">
        <v>1093</v>
      </c>
    </row>
    <row r="714" spans="1:11" x14ac:dyDescent="0.35">
      <c r="A714">
        <v>708</v>
      </c>
      <c r="B714" s="90" t="s">
        <v>16</v>
      </c>
      <c r="C714" s="2" t="s">
        <v>8</v>
      </c>
      <c r="D714" s="2" t="s">
        <v>1135</v>
      </c>
      <c r="E714" s="2" t="s">
        <v>1136</v>
      </c>
      <c r="F714" s="2" t="s">
        <v>1139</v>
      </c>
      <c r="G714" s="2" t="s">
        <v>1138</v>
      </c>
      <c r="H714" s="10">
        <f>WORKDAY(G714,125,'[1]Feriados y Materias'!$B$21:$B$61)</f>
        <v>46162</v>
      </c>
      <c r="I714" s="2" t="s">
        <v>192</v>
      </c>
      <c r="J714" s="2" t="s">
        <v>195</v>
      </c>
      <c r="K714" s="2" t="s">
        <v>1093</v>
      </c>
    </row>
    <row r="715" spans="1:11" x14ac:dyDescent="0.35">
      <c r="A715">
        <v>709</v>
      </c>
      <c r="B715" s="90" t="s">
        <v>16</v>
      </c>
      <c r="C715" s="2" t="s">
        <v>8</v>
      </c>
      <c r="D715" s="2" t="s">
        <v>1135</v>
      </c>
      <c r="E715" s="2" t="s">
        <v>1136</v>
      </c>
      <c r="F715" s="2" t="s">
        <v>1140</v>
      </c>
      <c r="G715" s="2" t="s">
        <v>1138</v>
      </c>
      <c r="H715" s="10">
        <f>WORKDAY(G715,125,'[1]Feriados y Materias'!$B$21:$B$61)</f>
        <v>46162</v>
      </c>
      <c r="I715" s="2" t="s">
        <v>192</v>
      </c>
      <c r="J715" s="2" t="s">
        <v>195</v>
      </c>
      <c r="K715" s="2" t="s">
        <v>1093</v>
      </c>
    </row>
    <row r="716" spans="1:11" x14ac:dyDescent="0.35">
      <c r="A716">
        <v>710</v>
      </c>
      <c r="B716" s="90" t="s">
        <v>16</v>
      </c>
      <c r="C716" s="2" t="s">
        <v>8</v>
      </c>
      <c r="D716" s="2" t="s">
        <v>1135</v>
      </c>
      <c r="E716" s="2" t="s">
        <v>1136</v>
      </c>
      <c r="F716" s="2" t="s">
        <v>1141</v>
      </c>
      <c r="G716" s="2" t="s">
        <v>1138</v>
      </c>
      <c r="H716" s="10">
        <f>WORKDAY(G716,125,'[1]Feriados y Materias'!$B$21:$B$61)</f>
        <v>46162</v>
      </c>
      <c r="I716" s="2" t="s">
        <v>192</v>
      </c>
      <c r="J716" s="2" t="s">
        <v>195</v>
      </c>
      <c r="K716" s="2" t="s">
        <v>1093</v>
      </c>
    </row>
    <row r="717" spans="1:11" x14ac:dyDescent="0.35">
      <c r="A717">
        <v>711</v>
      </c>
      <c r="B717" s="90" t="s">
        <v>16</v>
      </c>
      <c r="C717" s="2" t="s">
        <v>8</v>
      </c>
      <c r="D717" s="2" t="s">
        <v>1135</v>
      </c>
      <c r="E717" s="2" t="s">
        <v>1136</v>
      </c>
      <c r="F717" s="2" t="s">
        <v>1142</v>
      </c>
      <c r="G717" s="2" t="s">
        <v>1138</v>
      </c>
      <c r="H717" s="10">
        <f>WORKDAY(G717,125,'[1]Feriados y Materias'!$B$21:$B$61)</f>
        <v>46162</v>
      </c>
      <c r="I717" s="2" t="s">
        <v>192</v>
      </c>
      <c r="J717" s="2" t="s">
        <v>200</v>
      </c>
      <c r="K717" s="2" t="s">
        <v>1093</v>
      </c>
    </row>
    <row r="718" spans="1:11" x14ac:dyDescent="0.35">
      <c r="A718">
        <v>712</v>
      </c>
      <c r="B718" s="90" t="s">
        <v>16</v>
      </c>
      <c r="C718" s="2" t="s">
        <v>8</v>
      </c>
      <c r="D718" s="2" t="s">
        <v>1135</v>
      </c>
      <c r="E718" s="2" t="s">
        <v>1136</v>
      </c>
      <c r="F718" s="2" t="s">
        <v>1143</v>
      </c>
      <c r="G718" s="2" t="s">
        <v>1138</v>
      </c>
      <c r="H718" s="10">
        <f>WORKDAY(G718,125,'[1]Feriados y Materias'!$B$21:$B$61)</f>
        <v>46162</v>
      </c>
      <c r="I718" s="2" t="s">
        <v>192</v>
      </c>
      <c r="J718" s="2" t="s">
        <v>200</v>
      </c>
      <c r="K718" s="2" t="s">
        <v>1093</v>
      </c>
    </row>
    <row r="719" spans="1:11" x14ac:dyDescent="0.35">
      <c r="A719">
        <v>713</v>
      </c>
      <c r="B719" s="90" t="s">
        <v>16</v>
      </c>
      <c r="C719" s="2" t="s">
        <v>8</v>
      </c>
      <c r="D719" s="2" t="s">
        <v>1135</v>
      </c>
      <c r="E719" s="2" t="s">
        <v>1136</v>
      </c>
      <c r="F719" s="2" t="s">
        <v>1144</v>
      </c>
      <c r="G719" s="2" t="s">
        <v>1138</v>
      </c>
      <c r="H719" s="10">
        <f>WORKDAY(G719,125,'[1]Feriados y Materias'!$B$21:$B$61)</f>
        <v>46162</v>
      </c>
      <c r="I719" s="2" t="s">
        <v>192</v>
      </c>
      <c r="J719" s="2" t="s">
        <v>195</v>
      </c>
      <c r="K719" s="2" t="s">
        <v>1093</v>
      </c>
    </row>
    <row r="720" spans="1:11" x14ac:dyDescent="0.35">
      <c r="A720">
        <v>714</v>
      </c>
      <c r="B720" s="93" t="s">
        <v>16</v>
      </c>
      <c r="C720" s="94" t="s">
        <v>793</v>
      </c>
      <c r="D720" s="94" t="s">
        <v>1145</v>
      </c>
      <c r="E720" s="94" t="s">
        <v>1146</v>
      </c>
      <c r="F720" s="94" t="s">
        <v>1147</v>
      </c>
      <c r="G720" s="94" t="s">
        <v>1148</v>
      </c>
      <c r="H720" s="95">
        <f>WORKDAY(G720,125,'[1]Feriados y Materias'!$B$21:$B$61)</f>
        <v>46164</v>
      </c>
      <c r="I720" s="94" t="s">
        <v>192</v>
      </c>
      <c r="J720" s="94" t="s">
        <v>195</v>
      </c>
      <c r="K720" s="94" t="s">
        <v>1093</v>
      </c>
    </row>
    <row r="721" spans="1:11" x14ac:dyDescent="0.35">
      <c r="A721" s="2">
        <v>715</v>
      </c>
      <c r="B721" s="64" t="s">
        <v>16</v>
      </c>
      <c r="C721" s="2" t="s">
        <v>8</v>
      </c>
      <c r="D721" s="2" t="s">
        <v>1149</v>
      </c>
      <c r="E721" s="2" t="s">
        <v>1150</v>
      </c>
      <c r="F721" s="2" t="s">
        <v>1151</v>
      </c>
      <c r="G721" s="2" t="s">
        <v>1152</v>
      </c>
      <c r="H721" s="10">
        <f>WORKDAY(G721,125,'[1]Feriados y Materias'!$B$21:$B$61)</f>
        <v>46167</v>
      </c>
      <c r="I721" s="2" t="s">
        <v>192</v>
      </c>
      <c r="J721" s="2" t="s">
        <v>200</v>
      </c>
      <c r="K721" s="2" t="s">
        <v>1093</v>
      </c>
    </row>
    <row r="722" spans="1:11" x14ac:dyDescent="0.35">
      <c r="A722" s="2">
        <v>716</v>
      </c>
      <c r="B722" s="64" t="s">
        <v>16</v>
      </c>
      <c r="C722" s="2" t="s">
        <v>8</v>
      </c>
      <c r="D722" s="2" t="s">
        <v>1149</v>
      </c>
      <c r="E722" s="2" t="s">
        <v>1150</v>
      </c>
      <c r="F722" s="2" t="s">
        <v>1153</v>
      </c>
      <c r="G722" s="2" t="s">
        <v>1152</v>
      </c>
      <c r="H722" s="10">
        <f>WORKDAY(G722,125,'[1]Feriados y Materias'!$B$21:$B$61)</f>
        <v>46167</v>
      </c>
      <c r="I722" s="2" t="s">
        <v>192</v>
      </c>
      <c r="J722" s="2" t="s">
        <v>200</v>
      </c>
      <c r="K722" s="2" t="s">
        <v>1093</v>
      </c>
    </row>
    <row r="723" spans="1:11" x14ac:dyDescent="0.35">
      <c r="A723" s="2">
        <v>717</v>
      </c>
      <c r="B723" s="64" t="s">
        <v>16</v>
      </c>
      <c r="C723" s="96" t="s">
        <v>8</v>
      </c>
      <c r="D723" s="96" t="s">
        <v>1154</v>
      </c>
      <c r="E723" s="96" t="s">
        <v>1155</v>
      </c>
      <c r="F723" s="96" t="s">
        <v>1156</v>
      </c>
      <c r="G723" s="96" t="s">
        <v>1157</v>
      </c>
      <c r="H723" s="10" t="s">
        <v>1158</v>
      </c>
      <c r="I723" s="2" t="s">
        <v>192</v>
      </c>
      <c r="J723" s="2"/>
      <c r="K723" s="2" t="s">
        <v>1093</v>
      </c>
    </row>
    <row r="724" spans="1:11" x14ac:dyDescent="0.35">
      <c r="B724" s="65"/>
      <c r="C724" s="97"/>
      <c r="D724" s="97"/>
      <c r="E724" s="97"/>
      <c r="F724" s="97"/>
      <c r="G724" s="97"/>
      <c r="H724" s="21"/>
    </row>
    <row r="725" spans="1:11" x14ac:dyDescent="0.35">
      <c r="B725" s="65"/>
      <c r="C725" s="97"/>
      <c r="D725" s="97"/>
      <c r="E725" s="97"/>
      <c r="F725" s="97"/>
      <c r="G725" s="97"/>
      <c r="H725" s="21"/>
    </row>
    <row r="727" spans="1:11" x14ac:dyDescent="0.35">
      <c r="B727" s="61" t="s">
        <v>1</v>
      </c>
      <c r="C727" s="62" t="s">
        <v>2</v>
      </c>
      <c r="D727" s="61" t="s">
        <v>3</v>
      </c>
      <c r="E727" s="62" t="s">
        <v>4</v>
      </c>
      <c r="F727" s="62" t="s">
        <v>5</v>
      </c>
      <c r="G727" s="63" t="s">
        <v>6</v>
      </c>
      <c r="H727" s="62" t="s">
        <v>7</v>
      </c>
      <c r="I727" s="62" t="s">
        <v>189</v>
      </c>
      <c r="J727" s="62" t="s">
        <v>190</v>
      </c>
      <c r="K727" s="62" t="s">
        <v>191</v>
      </c>
    </row>
    <row r="728" spans="1:11" x14ac:dyDescent="0.35">
      <c r="A728">
        <v>1</v>
      </c>
      <c r="B728" s="64" t="s">
        <v>16</v>
      </c>
      <c r="C728" s="2" t="s">
        <v>8</v>
      </c>
      <c r="D728" s="2" t="s">
        <v>1007</v>
      </c>
      <c r="E728" s="2" t="s">
        <v>1008</v>
      </c>
      <c r="F728" s="2" t="s">
        <v>1009</v>
      </c>
      <c r="G728" s="2" t="s">
        <v>986</v>
      </c>
      <c r="H728" s="10">
        <f>WORKDAY(G728,125,'[1]Feriados y Materias'!$B$21:$B$61)</f>
        <v>46115</v>
      </c>
      <c r="I728" s="2" t="s">
        <v>791</v>
      </c>
      <c r="J728" s="2" t="s">
        <v>792</v>
      </c>
      <c r="K728" s="2" t="s">
        <v>1159</v>
      </c>
    </row>
    <row r="729" spans="1:11" x14ac:dyDescent="0.35">
      <c r="A729">
        <v>2</v>
      </c>
      <c r="B729" s="64" t="s">
        <v>16</v>
      </c>
      <c r="C729" s="2" t="s">
        <v>8</v>
      </c>
      <c r="D729" s="2" t="s">
        <v>1040</v>
      </c>
      <c r="E729" s="2" t="s">
        <v>1041</v>
      </c>
      <c r="F729" s="2" t="s">
        <v>1042</v>
      </c>
      <c r="G729" s="2" t="s">
        <v>1068</v>
      </c>
      <c r="H729" s="10">
        <f>WORKDAY(G729,125,'[1]Feriados y Materias'!$B$21:$B$61)</f>
        <v>46132</v>
      </c>
      <c r="I729" s="2" t="s">
        <v>791</v>
      </c>
      <c r="J729" s="2" t="s">
        <v>1072</v>
      </c>
      <c r="K729" s="2" t="s">
        <v>1159</v>
      </c>
    </row>
    <row r="730" spans="1:11" x14ac:dyDescent="0.35">
      <c r="A730">
        <v>3</v>
      </c>
      <c r="B730" s="64" t="s">
        <v>16</v>
      </c>
      <c r="C730" s="2" t="s">
        <v>8</v>
      </c>
      <c r="D730" s="2" t="s">
        <v>1160</v>
      </c>
      <c r="E730" s="2" t="s">
        <v>1161</v>
      </c>
      <c r="F730" s="2" t="s">
        <v>1162</v>
      </c>
      <c r="G730" s="2" t="s">
        <v>1163</v>
      </c>
      <c r="H730" s="10">
        <f>WORKDAY(G730,125,'[1]Feriados y Materias'!$B$21:$B$61)</f>
        <v>46147</v>
      </c>
      <c r="I730" s="2" t="s">
        <v>791</v>
      </c>
      <c r="J730" s="2" t="s">
        <v>1072</v>
      </c>
      <c r="K730" s="2" t="s">
        <v>1159</v>
      </c>
    </row>
    <row r="731" spans="1:11" x14ac:dyDescent="0.35">
      <c r="A731">
        <v>4</v>
      </c>
      <c r="B731" s="64" t="s">
        <v>16</v>
      </c>
      <c r="C731" s="2" t="s">
        <v>8</v>
      </c>
      <c r="D731" s="2" t="s">
        <v>1160</v>
      </c>
      <c r="E731" s="2" t="s">
        <v>1161</v>
      </c>
      <c r="F731" s="2" t="s">
        <v>1164</v>
      </c>
      <c r="G731" s="2" t="s">
        <v>1163</v>
      </c>
      <c r="H731" s="10">
        <f>WORKDAY(G731,125,'[1]Feriados y Materias'!$B$21:$B$61)</f>
        <v>46147</v>
      </c>
      <c r="I731" s="2" t="s">
        <v>791</v>
      </c>
      <c r="J731" s="2" t="s">
        <v>1072</v>
      </c>
      <c r="K731" s="2" t="s">
        <v>1159</v>
      </c>
    </row>
    <row r="732" spans="1:11" x14ac:dyDescent="0.35">
      <c r="A732">
        <v>5</v>
      </c>
      <c r="B732" s="64" t="s">
        <v>16</v>
      </c>
      <c r="C732" s="2" t="s">
        <v>8</v>
      </c>
      <c r="D732" s="2" t="s">
        <v>1160</v>
      </c>
      <c r="E732" s="2" t="s">
        <v>1161</v>
      </c>
      <c r="F732" s="2" t="s">
        <v>1165</v>
      </c>
      <c r="G732" s="2" t="s">
        <v>1163</v>
      </c>
      <c r="H732" s="10">
        <f>WORKDAY(G732,125,'[1]Feriados y Materias'!$B$21:$B$61)</f>
        <v>46147</v>
      </c>
      <c r="I732" s="2" t="s">
        <v>791</v>
      </c>
      <c r="J732" s="2" t="s">
        <v>1072</v>
      </c>
      <c r="K732" s="2" t="s">
        <v>1159</v>
      </c>
    </row>
    <row r="733" spans="1:11" x14ac:dyDescent="0.35">
      <c r="A733">
        <v>6</v>
      </c>
      <c r="B733" s="64" t="s">
        <v>16</v>
      </c>
      <c r="C733" s="2" t="s">
        <v>8</v>
      </c>
      <c r="D733" s="2" t="s">
        <v>1160</v>
      </c>
      <c r="E733" s="2" t="s">
        <v>1161</v>
      </c>
      <c r="F733" s="2" t="s">
        <v>1166</v>
      </c>
      <c r="G733" s="2" t="s">
        <v>1163</v>
      </c>
      <c r="H733" s="10">
        <f>WORKDAY(G733,125,'[1]Feriados y Materias'!$B$21:$B$61)</f>
        <v>46147</v>
      </c>
      <c r="I733" s="2" t="s">
        <v>791</v>
      </c>
      <c r="J733" s="2" t="s">
        <v>1072</v>
      </c>
      <c r="K733" s="2" t="s">
        <v>1159</v>
      </c>
    </row>
    <row r="734" spans="1:11" x14ac:dyDescent="0.35">
      <c r="A734">
        <v>7</v>
      </c>
      <c r="B734" s="64" t="s">
        <v>16</v>
      </c>
      <c r="C734" s="2" t="s">
        <v>8</v>
      </c>
      <c r="D734" s="2" t="s">
        <v>1160</v>
      </c>
      <c r="E734" s="2" t="s">
        <v>1161</v>
      </c>
      <c r="F734" s="2" t="s">
        <v>1167</v>
      </c>
      <c r="G734" s="2" t="s">
        <v>1163</v>
      </c>
      <c r="H734" s="10">
        <f>WORKDAY(G734,125,'[1]Feriados y Materias'!$B$21:$B$61)</f>
        <v>46147</v>
      </c>
      <c r="I734" s="2" t="s">
        <v>791</v>
      </c>
      <c r="J734" s="2" t="s">
        <v>1072</v>
      </c>
      <c r="K734" s="2" t="s">
        <v>1159</v>
      </c>
    </row>
    <row r="735" spans="1:11" x14ac:dyDescent="0.35">
      <c r="A735">
        <v>8</v>
      </c>
      <c r="B735" s="64" t="s">
        <v>16</v>
      </c>
      <c r="C735" s="2" t="s">
        <v>8</v>
      </c>
      <c r="D735" s="2" t="s">
        <v>1160</v>
      </c>
      <c r="E735" s="2" t="s">
        <v>1161</v>
      </c>
      <c r="F735" s="2" t="s">
        <v>1168</v>
      </c>
      <c r="G735" s="2" t="s">
        <v>1163</v>
      </c>
      <c r="H735" s="10">
        <f>WORKDAY(G735,125,'[1]Feriados y Materias'!$B$21:$B$61)</f>
        <v>46147</v>
      </c>
      <c r="I735" s="2" t="s">
        <v>791</v>
      </c>
      <c r="J735" s="2" t="s">
        <v>1072</v>
      </c>
      <c r="K735" s="2" t="s">
        <v>1159</v>
      </c>
    </row>
    <row r="736" spans="1:11" x14ac:dyDescent="0.35">
      <c r="A736">
        <v>9</v>
      </c>
      <c r="B736" s="64" t="s">
        <v>16</v>
      </c>
      <c r="C736" s="2" t="s">
        <v>8</v>
      </c>
      <c r="D736" s="2" t="s">
        <v>1160</v>
      </c>
      <c r="E736" s="2" t="s">
        <v>1161</v>
      </c>
      <c r="F736" s="2" t="s">
        <v>1169</v>
      </c>
      <c r="G736" s="2" t="s">
        <v>1163</v>
      </c>
      <c r="H736" s="10">
        <f>WORKDAY(G736,125,'[1]Feriados y Materias'!$B$21:$B$61)</f>
        <v>46147</v>
      </c>
      <c r="I736" s="2" t="s">
        <v>791</v>
      </c>
      <c r="J736" s="2" t="s">
        <v>1072</v>
      </c>
      <c r="K736" s="2" t="s">
        <v>1159</v>
      </c>
    </row>
    <row r="737" spans="1:11" x14ac:dyDescent="0.35">
      <c r="A737">
        <v>10</v>
      </c>
      <c r="B737" s="64" t="s">
        <v>16</v>
      </c>
      <c r="C737" s="2" t="s">
        <v>8</v>
      </c>
      <c r="D737" s="2" t="s">
        <v>1160</v>
      </c>
      <c r="E737" s="2" t="s">
        <v>1161</v>
      </c>
      <c r="F737" s="2" t="s">
        <v>1170</v>
      </c>
      <c r="G737" s="2" t="s">
        <v>1163</v>
      </c>
      <c r="H737" s="10">
        <f>WORKDAY(G737,125,'[1]Feriados y Materias'!$B$21:$B$61)</f>
        <v>46147</v>
      </c>
      <c r="I737" s="2" t="s">
        <v>791</v>
      </c>
      <c r="J737" s="2" t="s">
        <v>1072</v>
      </c>
      <c r="K737" s="2" t="s">
        <v>1159</v>
      </c>
    </row>
    <row r="738" spans="1:11" x14ac:dyDescent="0.35">
      <c r="A738">
        <v>11</v>
      </c>
      <c r="B738" s="64" t="s">
        <v>16</v>
      </c>
      <c r="C738" s="2" t="s">
        <v>8</v>
      </c>
      <c r="D738" s="2" t="s">
        <v>1160</v>
      </c>
      <c r="E738" s="2" t="s">
        <v>1161</v>
      </c>
      <c r="F738" s="2" t="s">
        <v>1171</v>
      </c>
      <c r="G738" s="2" t="s">
        <v>1163</v>
      </c>
      <c r="H738" s="10">
        <f>WORKDAY(G738,125,'[1]Feriados y Materias'!$B$21:$B$61)</f>
        <v>46147</v>
      </c>
      <c r="I738" s="2" t="s">
        <v>791</v>
      </c>
      <c r="J738" s="2" t="s">
        <v>1072</v>
      </c>
      <c r="K738" s="2" t="s">
        <v>1159</v>
      </c>
    </row>
    <row r="739" spans="1:11" x14ac:dyDescent="0.35">
      <c r="A739">
        <v>12</v>
      </c>
      <c r="B739" s="64" t="s">
        <v>16</v>
      </c>
      <c r="C739" s="2" t="s">
        <v>8</v>
      </c>
      <c r="D739" s="2" t="s">
        <v>1160</v>
      </c>
      <c r="E739" s="2" t="s">
        <v>1161</v>
      </c>
      <c r="F739" s="2" t="s">
        <v>1172</v>
      </c>
      <c r="G739" s="2" t="s">
        <v>1163</v>
      </c>
      <c r="H739" s="10">
        <f>WORKDAY(G739,125,'[1]Feriados y Materias'!$B$21:$B$61)</f>
        <v>46147</v>
      </c>
      <c r="I739" s="2" t="s">
        <v>791</v>
      </c>
      <c r="J739" s="2" t="s">
        <v>1072</v>
      </c>
      <c r="K739" s="2" t="s">
        <v>1159</v>
      </c>
    </row>
    <row r="740" spans="1:11" x14ac:dyDescent="0.35">
      <c r="A740">
        <v>13</v>
      </c>
      <c r="B740" s="64" t="s">
        <v>16</v>
      </c>
      <c r="C740" s="2" t="s">
        <v>8</v>
      </c>
      <c r="D740" s="2" t="s">
        <v>1160</v>
      </c>
      <c r="E740" s="2" t="s">
        <v>1161</v>
      </c>
      <c r="F740" s="2" t="s">
        <v>1173</v>
      </c>
      <c r="G740" s="2" t="s">
        <v>1163</v>
      </c>
      <c r="H740" s="10">
        <f>WORKDAY(G740,125,'[1]Feriados y Materias'!$B$21:$B$61)</f>
        <v>46147</v>
      </c>
      <c r="I740" s="2" t="s">
        <v>791</v>
      </c>
      <c r="J740" s="2" t="s">
        <v>1072</v>
      </c>
      <c r="K740" s="2" t="s">
        <v>1159</v>
      </c>
    </row>
    <row r="741" spans="1:11" x14ac:dyDescent="0.35">
      <c r="A741">
        <v>14</v>
      </c>
      <c r="B741" s="64" t="s">
        <v>16</v>
      </c>
      <c r="C741" s="2" t="s">
        <v>8</v>
      </c>
      <c r="D741" s="2" t="s">
        <v>1160</v>
      </c>
      <c r="E741" s="2" t="s">
        <v>1161</v>
      </c>
      <c r="F741" s="2" t="s">
        <v>1174</v>
      </c>
      <c r="G741" s="2" t="s">
        <v>1163</v>
      </c>
      <c r="H741" s="10">
        <f>WORKDAY(G741,125,'[1]Feriados y Materias'!$B$21:$B$61)</f>
        <v>46147</v>
      </c>
      <c r="I741" s="2" t="s">
        <v>791</v>
      </c>
      <c r="J741" s="2" t="s">
        <v>1072</v>
      </c>
      <c r="K741" s="2" t="s">
        <v>1159</v>
      </c>
    </row>
    <row r="742" spans="1:11" x14ac:dyDescent="0.35">
      <c r="A742">
        <v>15</v>
      </c>
      <c r="B742" s="64" t="s">
        <v>16</v>
      </c>
      <c r="C742" s="2" t="s">
        <v>8</v>
      </c>
      <c r="D742" s="2" t="s">
        <v>1160</v>
      </c>
      <c r="E742" s="2" t="s">
        <v>1161</v>
      </c>
      <c r="F742" s="2" t="s">
        <v>1175</v>
      </c>
      <c r="G742" s="2" t="s">
        <v>1163</v>
      </c>
      <c r="H742" s="10">
        <f>WORKDAY(G742,125,'[1]Feriados y Materias'!$B$21:$B$61)</f>
        <v>46147</v>
      </c>
      <c r="I742" s="2" t="s">
        <v>791</v>
      </c>
      <c r="J742" s="2" t="s">
        <v>1072</v>
      </c>
      <c r="K742" s="2" t="s">
        <v>1159</v>
      </c>
    </row>
    <row r="743" spans="1:11" x14ac:dyDescent="0.35">
      <c r="A743">
        <v>16</v>
      </c>
      <c r="B743" s="64" t="s">
        <v>16</v>
      </c>
      <c r="C743" s="2" t="s">
        <v>8</v>
      </c>
      <c r="D743" s="2" t="s">
        <v>1160</v>
      </c>
      <c r="E743" s="2" t="s">
        <v>1161</v>
      </c>
      <c r="F743" s="2" t="s">
        <v>1176</v>
      </c>
      <c r="G743" s="2" t="s">
        <v>1163</v>
      </c>
      <c r="H743" s="10">
        <f>WORKDAY(G743,125,'[1]Feriados y Materias'!$B$21:$B$61)</f>
        <v>46147</v>
      </c>
      <c r="I743" s="2" t="s">
        <v>791</v>
      </c>
      <c r="J743" s="2" t="s">
        <v>1072</v>
      </c>
      <c r="K743" s="2" t="s">
        <v>1159</v>
      </c>
    </row>
    <row r="744" spans="1:11" x14ac:dyDescent="0.35">
      <c r="A744">
        <v>17</v>
      </c>
      <c r="B744" s="64" t="s">
        <v>16</v>
      </c>
      <c r="C744" s="2" t="s">
        <v>8</v>
      </c>
      <c r="D744" s="2" t="s">
        <v>1160</v>
      </c>
      <c r="E744" s="2" t="s">
        <v>1161</v>
      </c>
      <c r="F744" s="2" t="s">
        <v>1177</v>
      </c>
      <c r="G744" s="2" t="s">
        <v>1163</v>
      </c>
      <c r="H744" s="10">
        <f>WORKDAY(G744,125,'[1]Feriados y Materias'!$B$21:$B$61)</f>
        <v>46147</v>
      </c>
      <c r="I744" s="2" t="s">
        <v>791</v>
      </c>
      <c r="J744" s="2" t="s">
        <v>1072</v>
      </c>
      <c r="K744" s="2" t="s">
        <v>1159</v>
      </c>
    </row>
    <row r="745" spans="1:11" x14ac:dyDescent="0.35">
      <c r="A745">
        <v>18</v>
      </c>
      <c r="B745" s="64" t="s">
        <v>16</v>
      </c>
      <c r="C745" s="2" t="s">
        <v>8</v>
      </c>
      <c r="D745" s="2" t="s">
        <v>1160</v>
      </c>
      <c r="E745" s="2" t="s">
        <v>1161</v>
      </c>
      <c r="F745" s="2" t="s">
        <v>1178</v>
      </c>
      <c r="G745" s="2" t="s">
        <v>1163</v>
      </c>
      <c r="H745" s="10">
        <f>WORKDAY(G745,125,'[1]Feriados y Materias'!$B$21:$B$61)</f>
        <v>46147</v>
      </c>
      <c r="I745" s="2" t="s">
        <v>791</v>
      </c>
      <c r="J745" s="2" t="s">
        <v>1072</v>
      </c>
      <c r="K745" s="2" t="s">
        <v>1159</v>
      </c>
    </row>
    <row r="746" spans="1:11" x14ac:dyDescent="0.35">
      <c r="A746">
        <v>19</v>
      </c>
      <c r="B746" s="64" t="s">
        <v>16</v>
      </c>
      <c r="C746" s="2" t="s">
        <v>8</v>
      </c>
      <c r="D746" s="2" t="s">
        <v>1160</v>
      </c>
      <c r="E746" s="2" t="s">
        <v>1161</v>
      </c>
      <c r="F746" s="2" t="s">
        <v>1179</v>
      </c>
      <c r="G746" s="2" t="s">
        <v>1163</v>
      </c>
      <c r="H746" s="10">
        <f>WORKDAY(G746,125,'[1]Feriados y Materias'!$B$21:$B$61)</f>
        <v>46147</v>
      </c>
      <c r="I746" s="2" t="s">
        <v>791</v>
      </c>
      <c r="J746" s="2" t="s">
        <v>1072</v>
      </c>
      <c r="K746" s="2" t="s">
        <v>1159</v>
      </c>
    </row>
    <row r="747" spans="1:11" x14ac:dyDescent="0.35">
      <c r="A747">
        <v>20</v>
      </c>
      <c r="B747" s="64" t="s">
        <v>16</v>
      </c>
      <c r="C747" s="2" t="s">
        <v>8</v>
      </c>
      <c r="D747" s="2" t="s">
        <v>1160</v>
      </c>
      <c r="E747" s="2" t="s">
        <v>1161</v>
      </c>
      <c r="F747" s="2" t="s">
        <v>1180</v>
      </c>
      <c r="G747" s="2" t="s">
        <v>1163</v>
      </c>
      <c r="H747" s="10">
        <f>WORKDAY(G747,125,'[1]Feriados y Materias'!$B$21:$B$61)</f>
        <v>46147</v>
      </c>
      <c r="I747" s="2" t="s">
        <v>791</v>
      </c>
      <c r="J747" s="2" t="s">
        <v>1072</v>
      </c>
      <c r="K747" s="2" t="s">
        <v>1159</v>
      </c>
    </row>
    <row r="748" spans="1:11" x14ac:dyDescent="0.35">
      <c r="A748">
        <v>21</v>
      </c>
      <c r="B748" s="64" t="s">
        <v>16</v>
      </c>
      <c r="C748" s="2" t="s">
        <v>8</v>
      </c>
      <c r="D748" s="2" t="s">
        <v>1160</v>
      </c>
      <c r="E748" s="2" t="s">
        <v>1161</v>
      </c>
      <c r="F748" s="2" t="s">
        <v>1181</v>
      </c>
      <c r="G748" s="2" t="s">
        <v>1163</v>
      </c>
      <c r="H748" s="10">
        <f>WORKDAY(G748,125,'[1]Feriados y Materias'!$B$21:$B$61)</f>
        <v>46147</v>
      </c>
      <c r="I748" s="2" t="s">
        <v>791</v>
      </c>
      <c r="J748" s="2" t="s">
        <v>1072</v>
      </c>
      <c r="K748" s="2" t="s">
        <v>1159</v>
      </c>
    </row>
    <row r="749" spans="1:11" x14ac:dyDescent="0.35">
      <c r="A749">
        <v>22</v>
      </c>
      <c r="B749" s="64" t="s">
        <v>16</v>
      </c>
      <c r="C749" s="2" t="s">
        <v>8</v>
      </c>
      <c r="D749" s="2" t="s">
        <v>1160</v>
      </c>
      <c r="E749" s="2" t="s">
        <v>1161</v>
      </c>
      <c r="F749" s="2" t="s">
        <v>1182</v>
      </c>
      <c r="G749" s="2" t="s">
        <v>1163</v>
      </c>
      <c r="H749" s="10">
        <f>WORKDAY(G749,125,'[1]Feriados y Materias'!$B$21:$B$61)</f>
        <v>46147</v>
      </c>
      <c r="I749" s="2" t="s">
        <v>791</v>
      </c>
      <c r="J749" s="2" t="s">
        <v>1072</v>
      </c>
      <c r="K749" s="2" t="s">
        <v>1159</v>
      </c>
    </row>
    <row r="750" spans="1:11" x14ac:dyDescent="0.35">
      <c r="A750">
        <v>23</v>
      </c>
      <c r="B750" s="64" t="s">
        <v>16</v>
      </c>
      <c r="C750" s="2" t="s">
        <v>8</v>
      </c>
      <c r="D750" s="2" t="s">
        <v>1160</v>
      </c>
      <c r="E750" s="2" t="s">
        <v>1161</v>
      </c>
      <c r="F750" s="2" t="s">
        <v>1183</v>
      </c>
      <c r="G750" s="2" t="s">
        <v>1163</v>
      </c>
      <c r="H750" s="10">
        <f>WORKDAY(G750,125,'[1]Feriados y Materias'!$B$21:$B$61)</f>
        <v>46147</v>
      </c>
      <c r="I750" s="2" t="s">
        <v>791</v>
      </c>
      <c r="J750" s="2" t="s">
        <v>1072</v>
      </c>
      <c r="K750" s="2" t="s">
        <v>1159</v>
      </c>
    </row>
    <row r="751" spans="1:11" x14ac:dyDescent="0.35">
      <c r="A751">
        <v>24</v>
      </c>
      <c r="B751" s="64" t="s">
        <v>16</v>
      </c>
      <c r="C751" s="2" t="s">
        <v>8</v>
      </c>
      <c r="D751" s="2" t="s">
        <v>1184</v>
      </c>
      <c r="E751" s="2" t="s">
        <v>1185</v>
      </c>
      <c r="F751" s="2" t="s">
        <v>1186</v>
      </c>
      <c r="G751" s="2" t="s">
        <v>1163</v>
      </c>
      <c r="H751" s="10">
        <f>WORKDAY(G751,125,'[1]Feriados y Materias'!$B$21:$B$61)</f>
        <v>46147</v>
      </c>
      <c r="I751" s="2" t="s">
        <v>791</v>
      </c>
      <c r="J751" s="2" t="s">
        <v>1187</v>
      </c>
      <c r="K751" s="2" t="s">
        <v>1159</v>
      </c>
    </row>
    <row r="752" spans="1:11" x14ac:dyDescent="0.35">
      <c r="A752">
        <v>25</v>
      </c>
      <c r="B752" s="64" t="s">
        <v>16</v>
      </c>
      <c r="C752" s="2" t="s">
        <v>8</v>
      </c>
      <c r="D752" s="2" t="s">
        <v>1160</v>
      </c>
      <c r="E752" s="2" t="s">
        <v>1161</v>
      </c>
      <c r="F752" s="2" t="s">
        <v>1188</v>
      </c>
      <c r="G752" s="2" t="s">
        <v>1163</v>
      </c>
      <c r="H752" s="10">
        <f>WORKDAY(G752,125,'[1]Feriados y Materias'!$B$21:$B$61)</f>
        <v>46147</v>
      </c>
      <c r="I752" s="2" t="s">
        <v>791</v>
      </c>
      <c r="J752" s="2" t="s">
        <v>1072</v>
      </c>
      <c r="K752" s="2" t="s">
        <v>1159</v>
      </c>
    </row>
    <row r="753" spans="1:11" x14ac:dyDescent="0.35">
      <c r="A753">
        <v>26</v>
      </c>
      <c r="B753" s="64" t="s">
        <v>16</v>
      </c>
      <c r="C753" s="2" t="s">
        <v>8</v>
      </c>
      <c r="D753" s="2" t="s">
        <v>1189</v>
      </c>
      <c r="E753" s="2" t="s">
        <v>1190</v>
      </c>
      <c r="F753" s="2" t="s">
        <v>1191</v>
      </c>
      <c r="G753" s="2" t="s">
        <v>1192</v>
      </c>
      <c r="H753" s="10">
        <f>WORKDAY(G753,125,'[1]Feriados y Materias'!$B$21:$B$61)</f>
        <v>46148</v>
      </c>
      <c r="I753" s="2" t="s">
        <v>791</v>
      </c>
      <c r="J753" s="2" t="s">
        <v>1187</v>
      </c>
      <c r="K753" s="2" t="s">
        <v>1159</v>
      </c>
    </row>
    <row r="754" spans="1:11" x14ac:dyDescent="0.35">
      <c r="A754">
        <v>27</v>
      </c>
      <c r="B754" s="64" t="s">
        <v>16</v>
      </c>
      <c r="C754" s="2" t="s">
        <v>8</v>
      </c>
      <c r="D754" s="2" t="s">
        <v>1189</v>
      </c>
      <c r="E754" s="2" t="s">
        <v>1190</v>
      </c>
      <c r="F754" s="2" t="s">
        <v>1193</v>
      </c>
      <c r="G754" s="2" t="s">
        <v>1192</v>
      </c>
      <c r="H754" s="10">
        <f>WORKDAY(G754,125,'[1]Feriados y Materias'!$B$21:$B$61)</f>
        <v>46148</v>
      </c>
      <c r="I754" s="2" t="s">
        <v>791</v>
      </c>
      <c r="J754" s="2" t="s">
        <v>1187</v>
      </c>
      <c r="K754" s="2" t="s">
        <v>1159</v>
      </c>
    </row>
    <row r="755" spans="1:11" x14ac:dyDescent="0.35">
      <c r="A755">
        <v>28</v>
      </c>
      <c r="B755" s="64" t="s">
        <v>16</v>
      </c>
      <c r="C755" s="2" t="s">
        <v>8</v>
      </c>
      <c r="D755" s="2" t="s">
        <v>1194</v>
      </c>
      <c r="E755" s="2" t="s">
        <v>1195</v>
      </c>
      <c r="F755" s="2" t="s">
        <v>1196</v>
      </c>
      <c r="G755" s="2" t="s">
        <v>1192</v>
      </c>
      <c r="H755" s="10">
        <f>WORKDAY(G755,125,'[1]Feriados y Materias'!$B$21:$B$61)</f>
        <v>46148</v>
      </c>
      <c r="I755" s="2" t="s">
        <v>791</v>
      </c>
      <c r="J755" s="2" t="s">
        <v>1187</v>
      </c>
      <c r="K755" s="2" t="s">
        <v>1159</v>
      </c>
    </row>
    <row r="756" spans="1:11" x14ac:dyDescent="0.35">
      <c r="A756">
        <v>29</v>
      </c>
      <c r="B756" s="64" t="s">
        <v>16</v>
      </c>
      <c r="C756" s="2" t="s">
        <v>8</v>
      </c>
      <c r="D756" s="2" t="s">
        <v>1197</v>
      </c>
      <c r="E756" s="2" t="s">
        <v>1198</v>
      </c>
      <c r="F756" s="2" t="s">
        <v>1199</v>
      </c>
      <c r="G756" s="2" t="s">
        <v>1200</v>
      </c>
      <c r="H756" s="10">
        <f>WORKDAY(G756,125,'[1]Feriados y Materias'!$B$21:$B$61)</f>
        <v>46157</v>
      </c>
      <c r="I756" s="2" t="s">
        <v>791</v>
      </c>
      <c r="J756" s="2" t="s">
        <v>1187</v>
      </c>
      <c r="K756" s="2" t="s">
        <v>1159</v>
      </c>
    </row>
    <row r="757" spans="1:11" x14ac:dyDescent="0.35">
      <c r="A757">
        <v>30</v>
      </c>
      <c r="B757" s="64" t="s">
        <v>16</v>
      </c>
      <c r="C757" s="2" t="s">
        <v>8</v>
      </c>
      <c r="D757" s="2" t="s">
        <v>81</v>
      </c>
      <c r="E757" s="2" t="s">
        <v>82</v>
      </c>
      <c r="F757" s="2" t="s">
        <v>1201</v>
      </c>
      <c r="G757" s="2" t="s">
        <v>1202</v>
      </c>
      <c r="H757" s="10">
        <f>WORKDAY(G757,125,'[1]Feriados y Materias'!$B$21:$B$61)</f>
        <v>46161</v>
      </c>
      <c r="I757" s="2" t="s">
        <v>791</v>
      </c>
      <c r="J757" s="2" t="s">
        <v>1203</v>
      </c>
      <c r="K757" s="2" t="s">
        <v>1159</v>
      </c>
    </row>
    <row r="758" spans="1:11" x14ac:dyDescent="0.35">
      <c r="A758">
        <v>31</v>
      </c>
      <c r="B758" s="64" t="s">
        <v>16</v>
      </c>
      <c r="C758" s="2" t="s">
        <v>8</v>
      </c>
      <c r="D758" s="2" t="s">
        <v>1204</v>
      </c>
      <c r="E758" s="2" t="s">
        <v>1205</v>
      </c>
      <c r="F758" s="2" t="s">
        <v>1206</v>
      </c>
      <c r="G758" s="2" t="s">
        <v>1152</v>
      </c>
      <c r="H758" s="10">
        <f>WORKDAY(G758,125,'[1]Feriados y Materias'!$B$21:$B$61)</f>
        <v>46167</v>
      </c>
      <c r="I758" s="2" t="s">
        <v>791</v>
      </c>
      <c r="J758" s="2" t="s">
        <v>1187</v>
      </c>
      <c r="K758" s="2" t="s">
        <v>1159</v>
      </c>
    </row>
    <row r="759" spans="1:11" x14ac:dyDescent="0.35">
      <c r="A759">
        <v>32</v>
      </c>
      <c r="B759" s="64" t="s">
        <v>16</v>
      </c>
      <c r="C759" s="2" t="s">
        <v>8</v>
      </c>
      <c r="D759" s="2" t="s">
        <v>1204</v>
      </c>
      <c r="E759" s="2" t="s">
        <v>1205</v>
      </c>
      <c r="F759" s="2" t="s">
        <v>1207</v>
      </c>
      <c r="G759" s="2" t="s">
        <v>1152</v>
      </c>
      <c r="H759" s="10">
        <f>WORKDAY(G759,125,'[1]Feriados y Materias'!$B$21:$B$61)</f>
        <v>46167</v>
      </c>
      <c r="I759" s="2" t="s">
        <v>791</v>
      </c>
      <c r="J759" s="2" t="s">
        <v>1187</v>
      </c>
      <c r="K759" s="2" t="s">
        <v>1159</v>
      </c>
    </row>
    <row r="760" spans="1:11" x14ac:dyDescent="0.35">
      <c r="A760">
        <v>33</v>
      </c>
      <c r="B760" s="64" t="s">
        <v>16</v>
      </c>
      <c r="C760" s="2" t="s">
        <v>8</v>
      </c>
      <c r="D760" s="2" t="s">
        <v>1204</v>
      </c>
      <c r="E760" s="2" t="s">
        <v>1205</v>
      </c>
      <c r="F760" s="2" t="s">
        <v>1208</v>
      </c>
      <c r="G760" s="2" t="s">
        <v>1152</v>
      </c>
      <c r="H760" s="10">
        <f>WORKDAY(G760,125,'[1]Feriados y Materias'!$B$21:$B$61)</f>
        <v>46167</v>
      </c>
      <c r="I760" s="2" t="s">
        <v>791</v>
      </c>
      <c r="J760" s="2" t="s">
        <v>1187</v>
      </c>
      <c r="K760" s="2" t="s">
        <v>1159</v>
      </c>
    </row>
    <row r="761" spans="1:11" x14ac:dyDescent="0.35">
      <c r="A761">
        <v>34</v>
      </c>
      <c r="B761" s="64" t="s">
        <v>16</v>
      </c>
      <c r="C761" s="2" t="s">
        <v>8</v>
      </c>
      <c r="D761" s="2" t="s">
        <v>1204</v>
      </c>
      <c r="E761" s="2" t="s">
        <v>1205</v>
      </c>
      <c r="F761" s="2" t="s">
        <v>1209</v>
      </c>
      <c r="G761" s="2" t="s">
        <v>1152</v>
      </c>
      <c r="H761" s="10">
        <f>WORKDAY(G761,125,'[1]Feriados y Materias'!$B$21:$B$61)</f>
        <v>46167</v>
      </c>
      <c r="I761" s="2" t="s">
        <v>791</v>
      </c>
      <c r="J761" s="2" t="s">
        <v>1187</v>
      </c>
      <c r="K761" s="2" t="s">
        <v>1159</v>
      </c>
    </row>
    <row r="762" spans="1:11" x14ac:dyDescent="0.35">
      <c r="A762">
        <v>35</v>
      </c>
      <c r="B762" s="64" t="s">
        <v>16</v>
      </c>
      <c r="C762" s="2" t="s">
        <v>8</v>
      </c>
      <c r="D762" s="2" t="s">
        <v>1204</v>
      </c>
      <c r="E762" s="2" t="s">
        <v>1205</v>
      </c>
      <c r="F762" s="2" t="s">
        <v>1210</v>
      </c>
      <c r="G762" s="2" t="s">
        <v>1152</v>
      </c>
      <c r="H762" s="10">
        <f>WORKDAY(G762,125,'[1]Feriados y Materias'!$B$21:$B$61)</f>
        <v>46167</v>
      </c>
      <c r="I762" s="2" t="s">
        <v>791</v>
      </c>
      <c r="J762" s="2" t="s">
        <v>1187</v>
      </c>
      <c r="K762" s="2" t="s">
        <v>1159</v>
      </c>
    </row>
    <row r="763" spans="1:11" x14ac:dyDescent="0.35">
      <c r="A763">
        <v>36</v>
      </c>
      <c r="B763" s="64" t="s">
        <v>16</v>
      </c>
      <c r="C763" s="2" t="s">
        <v>8</v>
      </c>
      <c r="D763" s="2" t="s">
        <v>1204</v>
      </c>
      <c r="E763" s="2" t="s">
        <v>1205</v>
      </c>
      <c r="F763" s="2" t="s">
        <v>1211</v>
      </c>
      <c r="G763" s="2" t="s">
        <v>1152</v>
      </c>
      <c r="H763" s="10">
        <f>WORKDAY(G763,125,'[1]Feriados y Materias'!$B$21:$B$61)</f>
        <v>46167</v>
      </c>
      <c r="I763" s="2" t="s">
        <v>791</v>
      </c>
      <c r="J763" s="2" t="s">
        <v>1187</v>
      </c>
      <c r="K763" s="2" t="s">
        <v>1159</v>
      </c>
    </row>
    <row r="764" spans="1:11" x14ac:dyDescent="0.35">
      <c r="A764">
        <v>37</v>
      </c>
      <c r="B764" s="64" t="s">
        <v>16</v>
      </c>
      <c r="C764" s="2" t="s">
        <v>8</v>
      </c>
      <c r="D764" s="2" t="s">
        <v>1204</v>
      </c>
      <c r="E764" s="2" t="s">
        <v>1205</v>
      </c>
      <c r="F764" s="2" t="s">
        <v>1212</v>
      </c>
      <c r="G764" s="2" t="s">
        <v>1152</v>
      </c>
      <c r="H764" s="10">
        <f>WORKDAY(G764,125,'[1]Feriados y Materias'!$B$21:$B$61)</f>
        <v>46167</v>
      </c>
      <c r="I764" s="2" t="s">
        <v>791</v>
      </c>
      <c r="J764" s="2" t="s">
        <v>1187</v>
      </c>
      <c r="K764" s="2" t="s">
        <v>1159</v>
      </c>
    </row>
    <row r="765" spans="1:11" x14ac:dyDescent="0.35">
      <c r="A765">
        <v>38</v>
      </c>
      <c r="B765" s="64" t="s">
        <v>16</v>
      </c>
      <c r="C765" s="2" t="s">
        <v>8</v>
      </c>
      <c r="D765" s="2" t="s">
        <v>1204</v>
      </c>
      <c r="E765" s="2" t="s">
        <v>1205</v>
      </c>
      <c r="F765" s="2" t="s">
        <v>1213</v>
      </c>
      <c r="G765" s="2" t="s">
        <v>1152</v>
      </c>
      <c r="H765" s="10">
        <f>WORKDAY(G765,125,'[1]Feriados y Materias'!$B$21:$B$61)</f>
        <v>46167</v>
      </c>
      <c r="I765" s="2" t="s">
        <v>791</v>
      </c>
      <c r="J765" s="2" t="s">
        <v>1187</v>
      </c>
      <c r="K765" s="2" t="s">
        <v>1159</v>
      </c>
    </row>
    <row r="766" spans="1:11" x14ac:dyDescent="0.35">
      <c r="A766">
        <v>39</v>
      </c>
      <c r="B766" s="64" t="s">
        <v>16</v>
      </c>
      <c r="C766" s="2" t="s">
        <v>8</v>
      </c>
      <c r="D766" s="2" t="s">
        <v>1204</v>
      </c>
      <c r="E766" s="2" t="s">
        <v>1205</v>
      </c>
      <c r="F766" s="2" t="s">
        <v>1214</v>
      </c>
      <c r="G766" s="2" t="s">
        <v>1152</v>
      </c>
      <c r="H766" s="10">
        <f>WORKDAY(G766,125,'[1]Feriados y Materias'!$B$21:$B$61)</f>
        <v>46167</v>
      </c>
      <c r="I766" s="2" t="s">
        <v>791</v>
      </c>
      <c r="J766" s="2" t="s">
        <v>1187</v>
      </c>
      <c r="K766" s="2" t="s">
        <v>1159</v>
      </c>
    </row>
    <row r="767" spans="1:11" x14ac:dyDescent="0.35">
      <c r="A767">
        <v>40</v>
      </c>
      <c r="B767" s="64" t="s">
        <v>16</v>
      </c>
      <c r="C767" s="2" t="s">
        <v>8</v>
      </c>
      <c r="D767" s="2" t="s">
        <v>1204</v>
      </c>
      <c r="E767" s="2" t="s">
        <v>1205</v>
      </c>
      <c r="F767" s="2" t="s">
        <v>1215</v>
      </c>
      <c r="G767" s="2" t="s">
        <v>1152</v>
      </c>
      <c r="H767" s="10">
        <f>WORKDAY(G767,125,'[1]Feriados y Materias'!$B$21:$B$61)</f>
        <v>46167</v>
      </c>
      <c r="I767" s="2" t="s">
        <v>791</v>
      </c>
      <c r="J767" s="2" t="s">
        <v>1187</v>
      </c>
      <c r="K767" s="2" t="s">
        <v>1159</v>
      </c>
    </row>
    <row r="768" spans="1:11" x14ac:dyDescent="0.35">
      <c r="A768">
        <v>41</v>
      </c>
      <c r="B768" s="64" t="s">
        <v>16</v>
      </c>
      <c r="C768" s="2" t="s">
        <v>8</v>
      </c>
      <c r="D768" s="2" t="s">
        <v>1204</v>
      </c>
      <c r="E768" s="2" t="s">
        <v>1205</v>
      </c>
      <c r="F768" s="2" t="s">
        <v>1216</v>
      </c>
      <c r="G768" s="2" t="s">
        <v>1152</v>
      </c>
      <c r="H768" s="10">
        <f>WORKDAY(G768,125,'[1]Feriados y Materias'!$B$21:$B$61)</f>
        <v>46167</v>
      </c>
      <c r="I768" s="2" t="s">
        <v>791</v>
      </c>
      <c r="J768" s="2" t="s">
        <v>1187</v>
      </c>
      <c r="K768" s="2" t="s">
        <v>1159</v>
      </c>
    </row>
    <row r="769" spans="1:11" x14ac:dyDescent="0.35">
      <c r="A769">
        <v>42</v>
      </c>
      <c r="B769" s="64" t="s">
        <v>16</v>
      </c>
      <c r="C769" s="2" t="s">
        <v>8</v>
      </c>
      <c r="D769" s="2" t="s">
        <v>1204</v>
      </c>
      <c r="E769" s="2" t="s">
        <v>1205</v>
      </c>
      <c r="F769" s="2" t="s">
        <v>1217</v>
      </c>
      <c r="G769" s="2" t="s">
        <v>1152</v>
      </c>
      <c r="H769" s="10">
        <f>WORKDAY(G769,125,'[1]Feriados y Materias'!$B$21:$B$61)</f>
        <v>46167</v>
      </c>
      <c r="I769" s="2" t="s">
        <v>791</v>
      </c>
      <c r="J769" s="2" t="s">
        <v>1187</v>
      </c>
      <c r="K769" s="2" t="s">
        <v>1159</v>
      </c>
    </row>
    <row r="770" spans="1:11" x14ac:dyDescent="0.35">
      <c r="A770">
        <v>43</v>
      </c>
      <c r="B770" s="64" t="s">
        <v>16</v>
      </c>
      <c r="C770" s="2" t="s">
        <v>8</v>
      </c>
      <c r="D770" s="2" t="s">
        <v>1204</v>
      </c>
      <c r="E770" s="2" t="s">
        <v>1205</v>
      </c>
      <c r="F770" s="2" t="s">
        <v>1218</v>
      </c>
      <c r="G770" s="2" t="s">
        <v>1152</v>
      </c>
      <c r="H770" s="10">
        <f>WORKDAY(G770,125,'[1]Feriados y Materias'!$B$21:$B$61)</f>
        <v>46167</v>
      </c>
      <c r="I770" s="2" t="s">
        <v>791</v>
      </c>
      <c r="J770" s="2" t="s">
        <v>1187</v>
      </c>
      <c r="K770" s="2" t="s">
        <v>1159</v>
      </c>
    </row>
    <row r="771" spans="1:11" x14ac:dyDescent="0.35">
      <c r="A771">
        <v>44</v>
      </c>
      <c r="B771" s="64" t="s">
        <v>16</v>
      </c>
      <c r="C771" s="2" t="s">
        <v>8</v>
      </c>
      <c r="D771" s="2" t="s">
        <v>1204</v>
      </c>
      <c r="E771" s="2" t="s">
        <v>1205</v>
      </c>
      <c r="F771" s="2" t="s">
        <v>1219</v>
      </c>
      <c r="G771" s="2" t="s">
        <v>1152</v>
      </c>
      <c r="H771" s="10">
        <f>WORKDAY(G771,125,'[1]Feriados y Materias'!$B$21:$B$61)</f>
        <v>46167</v>
      </c>
      <c r="I771" s="2" t="s">
        <v>791</v>
      </c>
      <c r="J771" s="2" t="s">
        <v>1187</v>
      </c>
      <c r="K771" s="2" t="s">
        <v>1159</v>
      </c>
    </row>
    <row r="772" spans="1:11" x14ac:dyDescent="0.35">
      <c r="A772">
        <v>45</v>
      </c>
      <c r="B772" s="64" t="s">
        <v>16</v>
      </c>
      <c r="C772" s="2" t="s">
        <v>8</v>
      </c>
      <c r="D772" s="2" t="s">
        <v>1204</v>
      </c>
      <c r="E772" s="2" t="s">
        <v>1205</v>
      </c>
      <c r="F772" s="2" t="s">
        <v>1220</v>
      </c>
      <c r="G772" s="2" t="s">
        <v>1152</v>
      </c>
      <c r="H772" s="10">
        <f>WORKDAY(G772,125,'[1]Feriados y Materias'!$B$21:$B$61)</f>
        <v>46167</v>
      </c>
      <c r="I772" s="2" t="s">
        <v>791</v>
      </c>
      <c r="J772" s="2" t="s">
        <v>1187</v>
      </c>
      <c r="K772" s="2" t="s">
        <v>1159</v>
      </c>
    </row>
    <row r="773" spans="1:11" x14ac:dyDescent="0.35">
      <c r="A773">
        <v>46</v>
      </c>
      <c r="B773" s="64" t="s">
        <v>16</v>
      </c>
      <c r="C773" s="2" t="s">
        <v>8</v>
      </c>
      <c r="D773" s="2" t="s">
        <v>1204</v>
      </c>
      <c r="E773" s="2" t="s">
        <v>1205</v>
      </c>
      <c r="F773" s="2" t="s">
        <v>1221</v>
      </c>
      <c r="G773" s="2" t="s">
        <v>1152</v>
      </c>
      <c r="H773" s="10">
        <f>WORKDAY(G773,125,'[1]Feriados y Materias'!$B$21:$B$61)</f>
        <v>46167</v>
      </c>
      <c r="I773" s="2" t="s">
        <v>791</v>
      </c>
      <c r="J773" s="2" t="s">
        <v>1187</v>
      </c>
      <c r="K773" s="2" t="s">
        <v>1159</v>
      </c>
    </row>
    <row r="774" spans="1:11" x14ac:dyDescent="0.35">
      <c r="A774">
        <v>47</v>
      </c>
      <c r="B774" s="64" t="s">
        <v>16</v>
      </c>
      <c r="C774" s="2" t="s">
        <v>8</v>
      </c>
      <c r="D774" s="2" t="s">
        <v>1204</v>
      </c>
      <c r="E774" s="2" t="s">
        <v>1205</v>
      </c>
      <c r="F774" s="2" t="s">
        <v>1222</v>
      </c>
      <c r="G774" s="2" t="s">
        <v>1152</v>
      </c>
      <c r="H774" s="10">
        <f>WORKDAY(G774,125,'[1]Feriados y Materias'!$B$21:$B$61)</f>
        <v>46167</v>
      </c>
      <c r="I774" s="2" t="s">
        <v>791</v>
      </c>
      <c r="J774" s="2" t="s">
        <v>1187</v>
      </c>
      <c r="K774" s="2" t="s">
        <v>1159</v>
      </c>
    </row>
    <row r="775" spans="1:11" x14ac:dyDescent="0.35">
      <c r="A775">
        <v>48</v>
      </c>
      <c r="B775" s="64" t="s">
        <v>16</v>
      </c>
      <c r="C775" s="2" t="s">
        <v>8</v>
      </c>
      <c r="D775" s="2" t="s">
        <v>1204</v>
      </c>
      <c r="E775" s="2" t="s">
        <v>1205</v>
      </c>
      <c r="F775" s="2" t="s">
        <v>1223</v>
      </c>
      <c r="G775" s="2" t="s">
        <v>1152</v>
      </c>
      <c r="H775" s="10">
        <f>WORKDAY(G775,125,'[1]Feriados y Materias'!$B$21:$B$61)</f>
        <v>46167</v>
      </c>
      <c r="I775" s="2" t="s">
        <v>791</v>
      </c>
      <c r="J775" s="2" t="s">
        <v>1187</v>
      </c>
      <c r="K775" s="2" t="s">
        <v>1159</v>
      </c>
    </row>
    <row r="776" spans="1:11" x14ac:dyDescent="0.35">
      <c r="A776">
        <v>49</v>
      </c>
      <c r="B776" s="64" t="s">
        <v>16</v>
      </c>
      <c r="C776" s="2" t="s">
        <v>8</v>
      </c>
      <c r="D776" s="2" t="s">
        <v>1204</v>
      </c>
      <c r="E776" s="2" t="s">
        <v>1205</v>
      </c>
      <c r="F776" s="2" t="s">
        <v>1224</v>
      </c>
      <c r="G776" s="2" t="s">
        <v>1152</v>
      </c>
      <c r="H776" s="10">
        <f>WORKDAY(G776,125,'[1]Feriados y Materias'!$B$21:$B$61)</f>
        <v>46167</v>
      </c>
      <c r="I776" s="2" t="s">
        <v>791</v>
      </c>
      <c r="J776" s="2" t="s">
        <v>1187</v>
      </c>
      <c r="K776" s="2" t="s">
        <v>1159</v>
      </c>
    </row>
    <row r="777" spans="1:11" x14ac:dyDescent="0.35">
      <c r="A777">
        <v>50</v>
      </c>
      <c r="B777" s="64" t="s">
        <v>16</v>
      </c>
      <c r="C777" s="2" t="s">
        <v>8</v>
      </c>
      <c r="D777" s="2" t="s">
        <v>1204</v>
      </c>
      <c r="E777" s="2" t="s">
        <v>1205</v>
      </c>
      <c r="F777" s="2" t="s">
        <v>1225</v>
      </c>
      <c r="G777" s="2" t="s">
        <v>1152</v>
      </c>
      <c r="H777" s="10">
        <f>WORKDAY(G777,125,'[1]Feriados y Materias'!$B$21:$B$61)</f>
        <v>46167</v>
      </c>
      <c r="I777" s="2" t="s">
        <v>791</v>
      </c>
      <c r="J777" s="2" t="s">
        <v>1187</v>
      </c>
      <c r="K777" s="2" t="s">
        <v>1159</v>
      </c>
    </row>
    <row r="778" spans="1:11" x14ac:dyDescent="0.35">
      <c r="A778">
        <v>51</v>
      </c>
      <c r="B778" s="64" t="s">
        <v>16</v>
      </c>
      <c r="C778" s="2" t="s">
        <v>8</v>
      </c>
      <c r="D778" s="2" t="s">
        <v>1204</v>
      </c>
      <c r="E778" s="2" t="s">
        <v>1205</v>
      </c>
      <c r="F778" s="2" t="s">
        <v>1226</v>
      </c>
      <c r="G778" s="2" t="s">
        <v>1152</v>
      </c>
      <c r="H778" s="10">
        <f>WORKDAY(G778,125,'[1]Feriados y Materias'!$B$21:$B$61)</f>
        <v>46167</v>
      </c>
      <c r="I778" s="2" t="s">
        <v>791</v>
      </c>
      <c r="J778" s="2" t="s">
        <v>1187</v>
      </c>
      <c r="K778" s="2" t="s">
        <v>1159</v>
      </c>
    </row>
    <row r="779" spans="1:11" x14ac:dyDescent="0.35">
      <c r="A779">
        <v>52</v>
      </c>
      <c r="B779" s="64" t="s">
        <v>16</v>
      </c>
      <c r="C779" s="2" t="s">
        <v>8</v>
      </c>
      <c r="D779" s="2" t="s">
        <v>1204</v>
      </c>
      <c r="E779" s="2" t="s">
        <v>1205</v>
      </c>
      <c r="F779" s="2" t="s">
        <v>1227</v>
      </c>
      <c r="G779" s="2" t="s">
        <v>1152</v>
      </c>
      <c r="H779" s="10">
        <f>WORKDAY(G779,125,'[1]Feriados y Materias'!$B$21:$B$61)</f>
        <v>46167</v>
      </c>
      <c r="I779" s="2" t="s">
        <v>791</v>
      </c>
      <c r="J779" s="2" t="s">
        <v>1187</v>
      </c>
      <c r="K779" s="2" t="s">
        <v>1159</v>
      </c>
    </row>
    <row r="780" spans="1:11" x14ac:dyDescent="0.35">
      <c r="A780">
        <v>53</v>
      </c>
      <c r="B780" s="64" t="s">
        <v>16</v>
      </c>
      <c r="C780" s="2" t="s">
        <v>8</v>
      </c>
      <c r="D780" s="2" t="s">
        <v>1204</v>
      </c>
      <c r="E780" s="2" t="s">
        <v>1205</v>
      </c>
      <c r="F780" s="2" t="s">
        <v>1228</v>
      </c>
      <c r="G780" s="2" t="s">
        <v>1152</v>
      </c>
      <c r="H780" s="10">
        <f>WORKDAY(G780,125,'[1]Feriados y Materias'!$B$21:$B$61)</f>
        <v>46167</v>
      </c>
      <c r="I780" s="2" t="s">
        <v>791</v>
      </c>
      <c r="J780" s="2" t="s">
        <v>1187</v>
      </c>
      <c r="K780" s="2" t="s">
        <v>1159</v>
      </c>
    </row>
    <row r="781" spans="1:11" x14ac:dyDescent="0.35">
      <c r="A781">
        <v>54</v>
      </c>
      <c r="B781" s="64" t="s">
        <v>16</v>
      </c>
      <c r="C781" s="2" t="s">
        <v>8</v>
      </c>
      <c r="D781" s="2" t="s">
        <v>1204</v>
      </c>
      <c r="E781" s="2" t="s">
        <v>1205</v>
      </c>
      <c r="F781" s="2" t="s">
        <v>1229</v>
      </c>
      <c r="G781" s="2" t="s">
        <v>1152</v>
      </c>
      <c r="H781" s="10">
        <f>WORKDAY(G781,125,'[1]Feriados y Materias'!$B$21:$B$61)</f>
        <v>46167</v>
      </c>
      <c r="I781" s="2" t="s">
        <v>791</v>
      </c>
      <c r="J781" s="2" t="s">
        <v>1187</v>
      </c>
      <c r="K781" s="2" t="s">
        <v>1159</v>
      </c>
    </row>
    <row r="782" spans="1:11" x14ac:dyDescent="0.35">
      <c r="A782">
        <v>55</v>
      </c>
      <c r="B782" s="64" t="s">
        <v>16</v>
      </c>
      <c r="C782" s="2" t="s">
        <v>8</v>
      </c>
      <c r="D782" s="2" t="s">
        <v>1204</v>
      </c>
      <c r="E782" s="2" t="s">
        <v>1205</v>
      </c>
      <c r="F782" s="2" t="s">
        <v>1230</v>
      </c>
      <c r="G782" s="2" t="s">
        <v>1152</v>
      </c>
      <c r="H782" s="10">
        <f>WORKDAY(G782,125,'[1]Feriados y Materias'!$B$21:$B$61)</f>
        <v>46167</v>
      </c>
      <c r="I782" s="2" t="s">
        <v>791</v>
      </c>
      <c r="J782" s="2" t="s">
        <v>1187</v>
      </c>
      <c r="K782" s="2" t="s">
        <v>1159</v>
      </c>
    </row>
    <row r="783" spans="1:11" x14ac:dyDescent="0.35">
      <c r="A783">
        <v>56</v>
      </c>
      <c r="B783" s="64" t="s">
        <v>16</v>
      </c>
      <c r="C783" s="2" t="s">
        <v>8</v>
      </c>
      <c r="D783" s="2" t="s">
        <v>1204</v>
      </c>
      <c r="E783" s="2" t="s">
        <v>1205</v>
      </c>
      <c r="F783" s="2" t="s">
        <v>1231</v>
      </c>
      <c r="G783" s="2" t="s">
        <v>1152</v>
      </c>
      <c r="H783" s="10">
        <f>WORKDAY(G783,125,'[1]Feriados y Materias'!$B$21:$B$61)</f>
        <v>46167</v>
      </c>
      <c r="I783" s="2" t="s">
        <v>791</v>
      </c>
      <c r="J783" s="2" t="s">
        <v>1187</v>
      </c>
      <c r="K783" s="2" t="s">
        <v>1159</v>
      </c>
    </row>
    <row r="784" spans="1:11" x14ac:dyDescent="0.35">
      <c r="A784">
        <v>57</v>
      </c>
      <c r="B784" s="64" t="s">
        <v>16</v>
      </c>
      <c r="C784" s="2" t="s">
        <v>8</v>
      </c>
      <c r="D784" s="2" t="s">
        <v>1204</v>
      </c>
      <c r="E784" s="2" t="s">
        <v>1205</v>
      </c>
      <c r="F784" s="2" t="s">
        <v>1232</v>
      </c>
      <c r="G784" s="2" t="s">
        <v>1152</v>
      </c>
      <c r="H784" s="10">
        <f>WORKDAY(G784,125,'[1]Feriados y Materias'!$B$21:$B$61)</f>
        <v>46167</v>
      </c>
      <c r="I784" s="2" t="s">
        <v>791</v>
      </c>
      <c r="J784" s="2" t="s">
        <v>1187</v>
      </c>
      <c r="K784" s="2" t="s">
        <v>1159</v>
      </c>
    </row>
    <row r="785" spans="1:11" x14ac:dyDescent="0.35">
      <c r="A785">
        <v>58</v>
      </c>
      <c r="B785" s="64" t="s">
        <v>16</v>
      </c>
      <c r="C785" s="2" t="s">
        <v>8</v>
      </c>
      <c r="D785" s="2" t="s">
        <v>1204</v>
      </c>
      <c r="E785" s="2" t="s">
        <v>1205</v>
      </c>
      <c r="F785" s="2" t="s">
        <v>1233</v>
      </c>
      <c r="G785" s="2" t="s">
        <v>1152</v>
      </c>
      <c r="H785" s="10">
        <f>WORKDAY(G785,125,'[1]Feriados y Materias'!$B$21:$B$61)</f>
        <v>46167</v>
      </c>
      <c r="I785" s="2" t="s">
        <v>791</v>
      </c>
      <c r="J785" s="2" t="s">
        <v>1187</v>
      </c>
      <c r="K785" s="2" t="s">
        <v>1159</v>
      </c>
    </row>
    <row r="786" spans="1:11" x14ac:dyDescent="0.35">
      <c r="A786">
        <v>59</v>
      </c>
      <c r="B786" s="64" t="s">
        <v>16</v>
      </c>
      <c r="C786" s="2" t="s">
        <v>8</v>
      </c>
      <c r="D786" s="2" t="s">
        <v>1204</v>
      </c>
      <c r="E786" s="2" t="s">
        <v>1205</v>
      </c>
      <c r="F786" s="2" t="s">
        <v>1234</v>
      </c>
      <c r="G786" s="2" t="s">
        <v>1152</v>
      </c>
      <c r="H786" s="10">
        <f>WORKDAY(G786,125,'[1]Feriados y Materias'!$B$21:$B$61)</f>
        <v>46167</v>
      </c>
      <c r="I786" s="2" t="s">
        <v>791</v>
      </c>
      <c r="J786" s="2" t="s">
        <v>1187</v>
      </c>
      <c r="K786" s="2" t="s">
        <v>1159</v>
      </c>
    </row>
    <row r="787" spans="1:11" x14ac:dyDescent="0.35">
      <c r="A787">
        <v>60</v>
      </c>
      <c r="B787" s="64" t="s">
        <v>16</v>
      </c>
      <c r="C787" s="2" t="s">
        <v>8</v>
      </c>
      <c r="D787" s="2" t="s">
        <v>1204</v>
      </c>
      <c r="E787" s="2" t="s">
        <v>1205</v>
      </c>
      <c r="F787" s="2" t="s">
        <v>1235</v>
      </c>
      <c r="G787" s="2" t="s">
        <v>1152</v>
      </c>
      <c r="H787" s="10">
        <f>WORKDAY(G787,125,'[1]Feriados y Materias'!$B$21:$B$61)</f>
        <v>46167</v>
      </c>
      <c r="I787" s="2" t="s">
        <v>791</v>
      </c>
      <c r="J787" s="2" t="s">
        <v>1187</v>
      </c>
      <c r="K787" s="2" t="s">
        <v>1159</v>
      </c>
    </row>
    <row r="788" spans="1:11" x14ac:dyDescent="0.35">
      <c r="A788">
        <v>61</v>
      </c>
      <c r="B788" s="64" t="s">
        <v>16</v>
      </c>
      <c r="C788" s="2" t="s">
        <v>8</v>
      </c>
      <c r="D788" s="2" t="s">
        <v>1204</v>
      </c>
      <c r="E788" s="2" t="s">
        <v>1205</v>
      </c>
      <c r="F788" s="2" t="s">
        <v>1236</v>
      </c>
      <c r="G788" s="2" t="s">
        <v>1152</v>
      </c>
      <c r="H788" s="10">
        <f>WORKDAY(G788,125,'[1]Feriados y Materias'!$B$21:$B$61)</f>
        <v>46167</v>
      </c>
      <c r="I788" s="2" t="s">
        <v>791</v>
      </c>
      <c r="J788" s="2" t="s">
        <v>1187</v>
      </c>
      <c r="K788" s="2" t="s">
        <v>1159</v>
      </c>
    </row>
    <row r="789" spans="1:11" x14ac:dyDescent="0.35">
      <c r="A789">
        <v>62</v>
      </c>
      <c r="B789" s="64" t="s">
        <v>16</v>
      </c>
      <c r="C789" s="2" t="s">
        <v>8</v>
      </c>
      <c r="D789" s="2" t="s">
        <v>1204</v>
      </c>
      <c r="E789" s="2" t="s">
        <v>1205</v>
      </c>
      <c r="F789" s="2" t="s">
        <v>1237</v>
      </c>
      <c r="G789" s="2" t="s">
        <v>1152</v>
      </c>
      <c r="H789" s="10">
        <f>WORKDAY(G789,125,'[1]Feriados y Materias'!$B$21:$B$61)</f>
        <v>46167</v>
      </c>
      <c r="I789" s="2" t="s">
        <v>791</v>
      </c>
      <c r="J789" s="2" t="s">
        <v>1187</v>
      </c>
      <c r="K789" s="2" t="s">
        <v>1159</v>
      </c>
    </row>
    <row r="790" spans="1:11" x14ac:dyDescent="0.35">
      <c r="A790">
        <v>63</v>
      </c>
      <c r="B790" s="64" t="s">
        <v>16</v>
      </c>
      <c r="C790" s="2" t="s">
        <v>8</v>
      </c>
      <c r="D790" s="2" t="s">
        <v>1204</v>
      </c>
      <c r="E790" s="2" t="s">
        <v>1205</v>
      </c>
      <c r="F790" s="2" t="s">
        <v>1238</v>
      </c>
      <c r="G790" s="2" t="s">
        <v>1152</v>
      </c>
      <c r="H790" s="10">
        <f>WORKDAY(G790,125,'[1]Feriados y Materias'!$B$21:$B$61)</f>
        <v>46167</v>
      </c>
      <c r="I790" s="2" t="s">
        <v>791</v>
      </c>
      <c r="J790" s="2" t="s">
        <v>1187</v>
      </c>
      <c r="K790" s="2" t="s">
        <v>1159</v>
      </c>
    </row>
    <row r="791" spans="1:11" x14ac:dyDescent="0.35">
      <c r="A791">
        <v>64</v>
      </c>
      <c r="B791" s="64" t="s">
        <v>16</v>
      </c>
      <c r="C791" s="2" t="s">
        <v>8</v>
      </c>
      <c r="D791" s="2" t="s">
        <v>1204</v>
      </c>
      <c r="E791" s="2" t="s">
        <v>1205</v>
      </c>
      <c r="F791" s="2" t="s">
        <v>1239</v>
      </c>
      <c r="G791" s="2" t="s">
        <v>1240</v>
      </c>
      <c r="H791" s="10">
        <f>WORKDAY(G791,125,'[1]Feriados y Materias'!$B$21:$B$61)</f>
        <v>46168</v>
      </c>
      <c r="I791" s="2" t="s">
        <v>791</v>
      </c>
      <c r="J791" s="2" t="s">
        <v>1187</v>
      </c>
      <c r="K791" s="2" t="s">
        <v>1159</v>
      </c>
    </row>
    <row r="792" spans="1:11" x14ac:dyDescent="0.35">
      <c r="A792">
        <v>65</v>
      </c>
      <c r="B792" s="64" t="s">
        <v>16</v>
      </c>
      <c r="C792" s="2" t="s">
        <v>8</v>
      </c>
      <c r="D792" s="2" t="s">
        <v>1204</v>
      </c>
      <c r="E792" s="2" t="s">
        <v>1205</v>
      </c>
      <c r="F792" s="2" t="s">
        <v>1241</v>
      </c>
      <c r="G792" s="2" t="s">
        <v>1240</v>
      </c>
      <c r="H792" s="10">
        <f>WORKDAY(G792,125,'[1]Feriados y Materias'!$B$21:$B$61)</f>
        <v>46168</v>
      </c>
      <c r="I792" s="2" t="s">
        <v>791</v>
      </c>
      <c r="J792" s="2" t="s">
        <v>1187</v>
      </c>
      <c r="K792" s="2" t="s">
        <v>1159</v>
      </c>
    </row>
    <row r="793" spans="1:11" x14ac:dyDescent="0.35">
      <c r="A793">
        <v>66</v>
      </c>
      <c r="B793" s="64" t="s">
        <v>16</v>
      </c>
      <c r="C793" s="2" t="s">
        <v>8</v>
      </c>
      <c r="D793" s="2" t="s">
        <v>1204</v>
      </c>
      <c r="E793" s="2" t="s">
        <v>1205</v>
      </c>
      <c r="F793" s="2" t="s">
        <v>1242</v>
      </c>
      <c r="G793" s="2" t="s">
        <v>1240</v>
      </c>
      <c r="H793" s="10">
        <f>WORKDAY(G793,125,'[1]Feriados y Materias'!$B$21:$B$61)</f>
        <v>46168</v>
      </c>
      <c r="I793" s="2" t="s">
        <v>791</v>
      </c>
      <c r="J793" s="2" t="s">
        <v>1187</v>
      </c>
      <c r="K793" s="2" t="s">
        <v>1159</v>
      </c>
    </row>
    <row r="794" spans="1:11" x14ac:dyDescent="0.35">
      <c r="A794">
        <v>67</v>
      </c>
      <c r="B794" s="64" t="s">
        <v>16</v>
      </c>
      <c r="C794" s="2" t="s">
        <v>8</v>
      </c>
      <c r="D794" s="2" t="s">
        <v>1204</v>
      </c>
      <c r="E794" s="2" t="s">
        <v>1205</v>
      </c>
      <c r="F794" s="2" t="s">
        <v>1243</v>
      </c>
      <c r="G794" s="2" t="s">
        <v>1240</v>
      </c>
      <c r="H794" s="10">
        <f>WORKDAY(G794,125,'[1]Feriados y Materias'!$B$21:$B$61)</f>
        <v>46168</v>
      </c>
      <c r="I794" s="2" t="s">
        <v>791</v>
      </c>
      <c r="J794" s="2" t="s">
        <v>1187</v>
      </c>
      <c r="K794" s="2" t="s">
        <v>1159</v>
      </c>
    </row>
    <row r="795" spans="1:11" x14ac:dyDescent="0.35">
      <c r="A795">
        <v>68</v>
      </c>
      <c r="B795" s="64" t="s">
        <v>16</v>
      </c>
      <c r="C795" s="2" t="s">
        <v>8</v>
      </c>
      <c r="D795" s="2" t="s">
        <v>1204</v>
      </c>
      <c r="E795" s="2" t="s">
        <v>1205</v>
      </c>
      <c r="F795" s="2" t="s">
        <v>1244</v>
      </c>
      <c r="G795" s="2" t="s">
        <v>1240</v>
      </c>
      <c r="H795" s="10">
        <f>WORKDAY(G795,125,'[1]Feriados y Materias'!$B$21:$B$61)</f>
        <v>46168</v>
      </c>
      <c r="I795" s="2" t="s">
        <v>791</v>
      </c>
      <c r="J795" s="2" t="s">
        <v>1187</v>
      </c>
      <c r="K795" s="2" t="s">
        <v>1159</v>
      </c>
    </row>
    <row r="796" spans="1:11" x14ac:dyDescent="0.35">
      <c r="A796">
        <v>69</v>
      </c>
      <c r="B796" s="64" t="s">
        <v>16</v>
      </c>
      <c r="C796" s="2" t="s">
        <v>8</v>
      </c>
      <c r="D796" s="2" t="s">
        <v>1204</v>
      </c>
      <c r="E796" s="2" t="s">
        <v>1205</v>
      </c>
      <c r="F796" s="2" t="s">
        <v>1245</v>
      </c>
      <c r="G796" s="2" t="s">
        <v>1240</v>
      </c>
      <c r="H796" s="10">
        <f>WORKDAY(G796,125,'[1]Feriados y Materias'!$B$21:$B$61)</f>
        <v>46168</v>
      </c>
      <c r="I796" s="2" t="s">
        <v>791</v>
      </c>
      <c r="J796" s="2" t="s">
        <v>1187</v>
      </c>
      <c r="K796" s="2" t="s">
        <v>1159</v>
      </c>
    </row>
    <row r="797" spans="1:11" x14ac:dyDescent="0.35">
      <c r="A797">
        <v>70</v>
      </c>
      <c r="B797" s="64" t="s">
        <v>16</v>
      </c>
      <c r="C797" s="2" t="s">
        <v>8</v>
      </c>
      <c r="D797" s="2" t="s">
        <v>1204</v>
      </c>
      <c r="E797" s="2" t="s">
        <v>1205</v>
      </c>
      <c r="F797" s="2" t="s">
        <v>1246</v>
      </c>
      <c r="G797" s="2" t="s">
        <v>1240</v>
      </c>
      <c r="H797" s="10">
        <f>WORKDAY(G797,125,'[1]Feriados y Materias'!$B$21:$B$61)</f>
        <v>46168</v>
      </c>
      <c r="I797" s="2" t="s">
        <v>791</v>
      </c>
      <c r="J797" s="2" t="s">
        <v>1187</v>
      </c>
      <c r="K797" s="2" t="s">
        <v>1159</v>
      </c>
    </row>
    <row r="798" spans="1:11" x14ac:dyDescent="0.35">
      <c r="A798">
        <v>71</v>
      </c>
      <c r="B798" s="64" t="s">
        <v>16</v>
      </c>
      <c r="C798" s="2" t="s">
        <v>8</v>
      </c>
      <c r="D798" s="2" t="s">
        <v>1204</v>
      </c>
      <c r="E798" s="2" t="s">
        <v>1205</v>
      </c>
      <c r="F798" s="2" t="s">
        <v>1247</v>
      </c>
      <c r="G798" s="2" t="s">
        <v>1240</v>
      </c>
      <c r="H798" s="10">
        <f>WORKDAY(G798,125,'[1]Feriados y Materias'!$B$21:$B$61)</f>
        <v>46168</v>
      </c>
      <c r="I798" s="2" t="s">
        <v>791</v>
      </c>
      <c r="J798" s="2" t="s">
        <v>1187</v>
      </c>
      <c r="K798" s="2" t="s">
        <v>1159</v>
      </c>
    </row>
    <row r="799" spans="1:11" x14ac:dyDescent="0.35">
      <c r="A799">
        <v>72</v>
      </c>
      <c r="B799" s="64" t="s">
        <v>16</v>
      </c>
      <c r="C799" s="2" t="s">
        <v>8</v>
      </c>
      <c r="D799" s="2" t="s">
        <v>1204</v>
      </c>
      <c r="E799" s="2" t="s">
        <v>1205</v>
      </c>
      <c r="F799" s="2" t="s">
        <v>1248</v>
      </c>
      <c r="G799" s="2" t="s">
        <v>1240</v>
      </c>
      <c r="H799" s="10">
        <f>WORKDAY(G799,125,'[1]Feriados y Materias'!$B$21:$B$61)</f>
        <v>46168</v>
      </c>
      <c r="I799" s="2" t="s">
        <v>791</v>
      </c>
      <c r="J799" s="2" t="s">
        <v>1187</v>
      </c>
      <c r="K799" s="2" t="s">
        <v>1159</v>
      </c>
    </row>
    <row r="800" spans="1:11" x14ac:dyDescent="0.35">
      <c r="A800">
        <v>73</v>
      </c>
      <c r="B800" s="64" t="s">
        <v>16</v>
      </c>
      <c r="C800" s="2" t="s">
        <v>8</v>
      </c>
      <c r="D800" s="2" t="s">
        <v>1204</v>
      </c>
      <c r="E800" s="2" t="s">
        <v>1205</v>
      </c>
      <c r="F800" s="2" t="s">
        <v>1249</v>
      </c>
      <c r="G800" s="2" t="s">
        <v>1240</v>
      </c>
      <c r="H800" s="10">
        <f>WORKDAY(G800,125,'[1]Feriados y Materias'!$B$21:$B$61)</f>
        <v>46168</v>
      </c>
      <c r="I800" s="2" t="s">
        <v>791</v>
      </c>
      <c r="J800" s="2" t="s">
        <v>1187</v>
      </c>
      <c r="K800" s="2" t="s">
        <v>1159</v>
      </c>
    </row>
    <row r="801" spans="1:11" x14ac:dyDescent="0.35">
      <c r="A801">
        <v>74</v>
      </c>
      <c r="B801" s="64" t="s">
        <v>16</v>
      </c>
      <c r="C801" s="2" t="s">
        <v>8</v>
      </c>
      <c r="D801" s="2" t="s">
        <v>1204</v>
      </c>
      <c r="E801" s="2" t="s">
        <v>1205</v>
      </c>
      <c r="F801" s="2" t="s">
        <v>1250</v>
      </c>
      <c r="G801" s="2" t="s">
        <v>1240</v>
      </c>
      <c r="H801" s="10">
        <f>WORKDAY(G801,125,'[1]Feriados y Materias'!$B$21:$B$61)</f>
        <v>46168</v>
      </c>
      <c r="I801" s="2" t="s">
        <v>791</v>
      </c>
      <c r="J801" s="2" t="s">
        <v>1187</v>
      </c>
      <c r="K801" s="2" t="s">
        <v>1159</v>
      </c>
    </row>
    <row r="802" spans="1:11" x14ac:dyDescent="0.35">
      <c r="A802">
        <v>75</v>
      </c>
      <c r="B802" s="64" t="s">
        <v>16</v>
      </c>
      <c r="C802" s="2" t="s">
        <v>8</v>
      </c>
      <c r="D802" s="2" t="s">
        <v>1204</v>
      </c>
      <c r="E802" s="2" t="s">
        <v>1205</v>
      </c>
      <c r="F802" s="2" t="s">
        <v>1251</v>
      </c>
      <c r="G802" s="2" t="s">
        <v>1240</v>
      </c>
      <c r="H802" s="10">
        <f>WORKDAY(G802,125,'[1]Feriados y Materias'!$B$21:$B$61)</f>
        <v>46168</v>
      </c>
      <c r="I802" s="2" t="s">
        <v>791</v>
      </c>
      <c r="J802" s="2" t="s">
        <v>1187</v>
      </c>
      <c r="K802" s="2" t="s">
        <v>1159</v>
      </c>
    </row>
    <row r="803" spans="1:11" x14ac:dyDescent="0.35">
      <c r="A803">
        <v>76</v>
      </c>
      <c r="B803" s="64" t="s">
        <v>16</v>
      </c>
      <c r="C803" s="2" t="s">
        <v>8</v>
      </c>
      <c r="D803" s="2" t="s">
        <v>1204</v>
      </c>
      <c r="E803" s="2" t="s">
        <v>1205</v>
      </c>
      <c r="F803" s="2" t="s">
        <v>1252</v>
      </c>
      <c r="G803" s="2" t="s">
        <v>1240</v>
      </c>
      <c r="H803" s="10">
        <f>WORKDAY(G803,125,'[1]Feriados y Materias'!$B$21:$B$61)</f>
        <v>46168</v>
      </c>
      <c r="I803" s="2" t="s">
        <v>791</v>
      </c>
      <c r="J803" s="2" t="s">
        <v>1187</v>
      </c>
      <c r="K803" s="2" t="s">
        <v>1159</v>
      </c>
    </row>
    <row r="804" spans="1:11" x14ac:dyDescent="0.35">
      <c r="A804">
        <v>77</v>
      </c>
      <c r="B804" s="64" t="s">
        <v>16</v>
      </c>
      <c r="C804" s="2" t="s">
        <v>8</v>
      </c>
      <c r="D804" s="2" t="s">
        <v>1204</v>
      </c>
      <c r="E804" s="2" t="s">
        <v>1205</v>
      </c>
      <c r="F804" s="2" t="s">
        <v>1253</v>
      </c>
      <c r="G804" s="2" t="s">
        <v>1240</v>
      </c>
      <c r="H804" s="10">
        <f>WORKDAY(G804,125,'[1]Feriados y Materias'!$B$21:$B$61)</f>
        <v>46168</v>
      </c>
      <c r="I804" s="2" t="s">
        <v>791</v>
      </c>
      <c r="J804" s="2" t="s">
        <v>1187</v>
      </c>
      <c r="K804" s="2" t="s">
        <v>1159</v>
      </c>
    </row>
    <row r="805" spans="1:11" x14ac:dyDescent="0.35">
      <c r="A805">
        <v>78</v>
      </c>
      <c r="B805" s="64" t="s">
        <v>16</v>
      </c>
      <c r="C805" s="2" t="s">
        <v>8</v>
      </c>
      <c r="D805" s="2" t="s">
        <v>1204</v>
      </c>
      <c r="E805" s="2" t="s">
        <v>1205</v>
      </c>
      <c r="F805" s="2" t="s">
        <v>1254</v>
      </c>
      <c r="G805" s="2" t="s">
        <v>1240</v>
      </c>
      <c r="H805" s="10">
        <f>WORKDAY(G805,125,'[1]Feriados y Materias'!$B$21:$B$61)</f>
        <v>46168</v>
      </c>
      <c r="I805" s="2" t="s">
        <v>791</v>
      </c>
      <c r="J805" s="2" t="s">
        <v>1187</v>
      </c>
      <c r="K805" s="2" t="s">
        <v>1159</v>
      </c>
    </row>
    <row r="806" spans="1:11" x14ac:dyDescent="0.35">
      <c r="A806">
        <v>79</v>
      </c>
      <c r="B806" s="64" t="s">
        <v>16</v>
      </c>
      <c r="C806" s="2" t="s">
        <v>8</v>
      </c>
      <c r="D806" s="2" t="s">
        <v>1204</v>
      </c>
      <c r="E806" s="2" t="s">
        <v>1205</v>
      </c>
      <c r="F806" s="2" t="s">
        <v>1255</v>
      </c>
      <c r="G806" s="2" t="s">
        <v>1240</v>
      </c>
      <c r="H806" s="10">
        <f>WORKDAY(G806,125,'[1]Feriados y Materias'!$B$21:$B$61)</f>
        <v>46168</v>
      </c>
      <c r="I806" s="2" t="s">
        <v>791</v>
      </c>
      <c r="J806" s="2" t="s">
        <v>1187</v>
      </c>
      <c r="K806" s="2" t="s">
        <v>1159</v>
      </c>
    </row>
    <row r="807" spans="1:11" x14ac:dyDescent="0.35">
      <c r="A807">
        <v>80</v>
      </c>
      <c r="B807" s="64" t="s">
        <v>16</v>
      </c>
      <c r="C807" s="2" t="s">
        <v>8</v>
      </c>
      <c r="D807" s="2" t="s">
        <v>1204</v>
      </c>
      <c r="E807" s="2" t="s">
        <v>1205</v>
      </c>
      <c r="F807" s="2" t="s">
        <v>1256</v>
      </c>
      <c r="G807" s="2" t="s">
        <v>1240</v>
      </c>
      <c r="H807" s="10">
        <f>WORKDAY(G807,125,'[1]Feriados y Materias'!$B$21:$B$61)</f>
        <v>46168</v>
      </c>
      <c r="I807" s="2" t="s">
        <v>791</v>
      </c>
      <c r="J807" s="2" t="s">
        <v>1187</v>
      </c>
      <c r="K807" s="2" t="s">
        <v>1159</v>
      </c>
    </row>
    <row r="808" spans="1:11" x14ac:dyDescent="0.35">
      <c r="A808">
        <v>81</v>
      </c>
      <c r="B808" s="64" t="s">
        <v>16</v>
      </c>
      <c r="C808" s="2" t="s">
        <v>8</v>
      </c>
      <c r="D808" s="2" t="s">
        <v>1204</v>
      </c>
      <c r="E808" s="2" t="s">
        <v>1205</v>
      </c>
      <c r="F808" s="2" t="s">
        <v>1257</v>
      </c>
      <c r="G808" s="2" t="s">
        <v>1240</v>
      </c>
      <c r="H808" s="10">
        <f>WORKDAY(G808,125,'[1]Feriados y Materias'!$B$21:$B$61)</f>
        <v>46168</v>
      </c>
      <c r="I808" s="2" t="s">
        <v>791</v>
      </c>
      <c r="J808" s="2" t="s">
        <v>1187</v>
      </c>
      <c r="K808" s="2" t="s">
        <v>1159</v>
      </c>
    </row>
    <row r="809" spans="1:11" x14ac:dyDescent="0.35">
      <c r="A809">
        <v>82</v>
      </c>
      <c r="B809" s="64" t="s">
        <v>16</v>
      </c>
      <c r="C809" s="2" t="s">
        <v>8</v>
      </c>
      <c r="D809" s="2" t="s">
        <v>1204</v>
      </c>
      <c r="E809" s="2" t="s">
        <v>1205</v>
      </c>
      <c r="F809" s="2" t="s">
        <v>1258</v>
      </c>
      <c r="G809" s="2" t="s">
        <v>1240</v>
      </c>
      <c r="H809" s="10">
        <f>WORKDAY(G809,125,'[1]Feriados y Materias'!$B$21:$B$61)</f>
        <v>46168</v>
      </c>
      <c r="I809" s="2" t="s">
        <v>791</v>
      </c>
      <c r="J809" s="2" t="s">
        <v>1187</v>
      </c>
      <c r="K809" s="2" t="s">
        <v>1159</v>
      </c>
    </row>
    <row r="810" spans="1:11" x14ac:dyDescent="0.35">
      <c r="A810">
        <v>83</v>
      </c>
      <c r="B810" s="64" t="s">
        <v>16</v>
      </c>
      <c r="C810" s="2" t="s">
        <v>8</v>
      </c>
      <c r="D810" s="2" t="s">
        <v>1204</v>
      </c>
      <c r="E810" s="2" t="s">
        <v>1205</v>
      </c>
      <c r="F810" s="2" t="s">
        <v>1259</v>
      </c>
      <c r="G810" s="2" t="s">
        <v>1240</v>
      </c>
      <c r="H810" s="10">
        <f>WORKDAY(G810,125,'[1]Feriados y Materias'!$B$21:$B$61)</f>
        <v>46168</v>
      </c>
      <c r="I810" s="2" t="s">
        <v>791</v>
      </c>
      <c r="J810" s="2" t="s">
        <v>1187</v>
      </c>
      <c r="K810" s="2" t="s">
        <v>1159</v>
      </c>
    </row>
    <row r="811" spans="1:11" x14ac:dyDescent="0.35">
      <c r="A811">
        <v>84</v>
      </c>
      <c r="B811" s="64" t="s">
        <v>16</v>
      </c>
      <c r="C811" s="2" t="s">
        <v>8</v>
      </c>
      <c r="D811" s="2" t="s">
        <v>1204</v>
      </c>
      <c r="E811" s="2" t="s">
        <v>1205</v>
      </c>
      <c r="F811" s="2" t="s">
        <v>1260</v>
      </c>
      <c r="G811" s="2" t="s">
        <v>1240</v>
      </c>
      <c r="H811" s="10">
        <f>WORKDAY(G811,125,'[1]Feriados y Materias'!$B$21:$B$61)</f>
        <v>46168</v>
      </c>
      <c r="I811" s="2" t="s">
        <v>791</v>
      </c>
      <c r="J811" s="2" t="s">
        <v>1187</v>
      </c>
      <c r="K811" s="2" t="s">
        <v>1159</v>
      </c>
    </row>
    <row r="812" spans="1:11" x14ac:dyDescent="0.35">
      <c r="A812">
        <v>85</v>
      </c>
      <c r="B812" s="64" t="s">
        <v>16</v>
      </c>
      <c r="C812" s="2" t="s">
        <v>8</v>
      </c>
      <c r="D812" s="2" t="s">
        <v>1204</v>
      </c>
      <c r="E812" s="2" t="s">
        <v>1205</v>
      </c>
      <c r="F812" s="2" t="s">
        <v>1261</v>
      </c>
      <c r="G812" s="2" t="s">
        <v>1240</v>
      </c>
      <c r="H812" s="10">
        <f>WORKDAY(G812,125,'[1]Feriados y Materias'!$B$21:$B$61)</f>
        <v>46168</v>
      </c>
      <c r="I812" s="2" t="s">
        <v>791</v>
      </c>
      <c r="J812" s="2" t="s">
        <v>1187</v>
      </c>
      <c r="K812" s="2" t="s">
        <v>1159</v>
      </c>
    </row>
    <row r="813" spans="1:11" x14ac:dyDescent="0.35">
      <c r="A813">
        <v>86</v>
      </c>
      <c r="B813" s="64" t="s">
        <v>16</v>
      </c>
      <c r="C813" s="2" t="s">
        <v>8</v>
      </c>
      <c r="D813" s="2" t="s">
        <v>1204</v>
      </c>
      <c r="E813" s="2" t="s">
        <v>1205</v>
      </c>
      <c r="F813" s="2" t="s">
        <v>1262</v>
      </c>
      <c r="G813" s="2" t="s">
        <v>1240</v>
      </c>
      <c r="H813" s="10">
        <f>WORKDAY(G813,125,'[1]Feriados y Materias'!$B$21:$B$61)</f>
        <v>46168</v>
      </c>
      <c r="I813" s="2" t="s">
        <v>791</v>
      </c>
      <c r="J813" s="2" t="s">
        <v>1187</v>
      </c>
      <c r="K813" s="2" t="s">
        <v>1159</v>
      </c>
    </row>
    <row r="814" spans="1:11" x14ac:dyDescent="0.35">
      <c r="A814">
        <v>87</v>
      </c>
      <c r="B814" s="64" t="s">
        <v>16</v>
      </c>
      <c r="C814" s="2" t="s">
        <v>8</v>
      </c>
      <c r="D814" s="2" t="s">
        <v>1204</v>
      </c>
      <c r="E814" s="2" t="s">
        <v>1205</v>
      </c>
      <c r="F814" s="2" t="s">
        <v>1263</v>
      </c>
      <c r="G814" s="2" t="s">
        <v>1240</v>
      </c>
      <c r="H814" s="10">
        <f>WORKDAY(G814,125,'[1]Feriados y Materias'!$B$21:$B$61)</f>
        <v>46168</v>
      </c>
      <c r="I814" s="2" t="s">
        <v>791</v>
      </c>
      <c r="J814" s="2" t="s">
        <v>1187</v>
      </c>
      <c r="K814" s="2" t="s">
        <v>1159</v>
      </c>
    </row>
    <row r="815" spans="1:11" x14ac:dyDescent="0.35">
      <c r="A815">
        <v>88</v>
      </c>
      <c r="B815" s="64" t="s">
        <v>16</v>
      </c>
      <c r="C815" s="2" t="s">
        <v>8</v>
      </c>
      <c r="D815" s="2" t="s">
        <v>1204</v>
      </c>
      <c r="E815" s="2" t="s">
        <v>1205</v>
      </c>
      <c r="F815" s="2" t="s">
        <v>1264</v>
      </c>
      <c r="G815" s="2" t="s">
        <v>1240</v>
      </c>
      <c r="H815" s="10">
        <f>WORKDAY(G815,125,'[1]Feriados y Materias'!$B$21:$B$61)</f>
        <v>46168</v>
      </c>
      <c r="I815" s="2" t="s">
        <v>791</v>
      </c>
      <c r="J815" s="2" t="s">
        <v>1187</v>
      </c>
      <c r="K815" s="2" t="s">
        <v>1159</v>
      </c>
    </row>
    <row r="816" spans="1:11" x14ac:dyDescent="0.35">
      <c r="A816">
        <v>89</v>
      </c>
      <c r="B816" s="64" t="s">
        <v>16</v>
      </c>
      <c r="C816" s="2" t="s">
        <v>8</v>
      </c>
      <c r="D816" s="2" t="s">
        <v>1204</v>
      </c>
      <c r="E816" s="2" t="s">
        <v>1205</v>
      </c>
      <c r="F816" s="2" t="s">
        <v>1265</v>
      </c>
      <c r="G816" s="2" t="s">
        <v>1240</v>
      </c>
      <c r="H816" s="10">
        <f>WORKDAY(G816,125,'[1]Feriados y Materias'!$B$21:$B$61)</f>
        <v>46168</v>
      </c>
      <c r="I816" s="2" t="s">
        <v>791</v>
      </c>
      <c r="J816" s="2" t="s">
        <v>1187</v>
      </c>
      <c r="K816" s="2" t="s">
        <v>1159</v>
      </c>
    </row>
    <row r="817" spans="1:11" x14ac:dyDescent="0.35">
      <c r="A817">
        <v>90</v>
      </c>
      <c r="B817" s="64" t="s">
        <v>16</v>
      </c>
      <c r="C817" s="2" t="s">
        <v>8</v>
      </c>
      <c r="D817" s="2" t="s">
        <v>1204</v>
      </c>
      <c r="E817" s="2" t="s">
        <v>1205</v>
      </c>
      <c r="F817" s="2" t="s">
        <v>1266</v>
      </c>
      <c r="G817" s="2" t="s">
        <v>1240</v>
      </c>
      <c r="H817" s="10">
        <f>WORKDAY(G817,125,'[1]Feriados y Materias'!$B$21:$B$61)</f>
        <v>46168</v>
      </c>
      <c r="I817" s="2" t="s">
        <v>791</v>
      </c>
      <c r="J817" s="2" t="s">
        <v>1187</v>
      </c>
      <c r="K817" s="2" t="s">
        <v>1159</v>
      </c>
    </row>
    <row r="818" spans="1:11" x14ac:dyDescent="0.35">
      <c r="A818">
        <v>91</v>
      </c>
      <c r="B818" s="64" t="s">
        <v>16</v>
      </c>
      <c r="C818" s="2" t="s">
        <v>8</v>
      </c>
      <c r="D818" s="2" t="s">
        <v>1204</v>
      </c>
      <c r="E818" s="2" t="s">
        <v>1205</v>
      </c>
      <c r="F818" s="2" t="s">
        <v>1267</v>
      </c>
      <c r="G818" s="2" t="s">
        <v>1240</v>
      </c>
      <c r="H818" s="10">
        <f>WORKDAY(G818,125,'[1]Feriados y Materias'!$B$21:$B$61)</f>
        <v>46168</v>
      </c>
      <c r="I818" s="2" t="s">
        <v>791</v>
      </c>
      <c r="J818" s="2" t="s">
        <v>1187</v>
      </c>
      <c r="K818" s="2" t="s">
        <v>1159</v>
      </c>
    </row>
    <row r="819" spans="1:11" x14ac:dyDescent="0.35">
      <c r="A819">
        <v>92</v>
      </c>
      <c r="B819" s="64" t="s">
        <v>16</v>
      </c>
      <c r="C819" s="2" t="s">
        <v>8</v>
      </c>
      <c r="D819" s="2" t="s">
        <v>1204</v>
      </c>
      <c r="E819" s="2" t="s">
        <v>1205</v>
      </c>
      <c r="F819" s="2" t="s">
        <v>1268</v>
      </c>
      <c r="G819" s="2" t="s">
        <v>1240</v>
      </c>
      <c r="H819" s="10">
        <f>WORKDAY(G819,125,'[1]Feriados y Materias'!$B$21:$B$61)</f>
        <v>46168</v>
      </c>
      <c r="I819" s="2" t="s">
        <v>791</v>
      </c>
      <c r="J819" s="2" t="s">
        <v>1187</v>
      </c>
      <c r="K819" s="2" t="s">
        <v>1159</v>
      </c>
    </row>
    <row r="820" spans="1:11" x14ac:dyDescent="0.35">
      <c r="A820">
        <v>93</v>
      </c>
      <c r="B820" s="64" t="s">
        <v>16</v>
      </c>
      <c r="C820" s="2" t="s">
        <v>8</v>
      </c>
      <c r="D820" s="2" t="s">
        <v>1204</v>
      </c>
      <c r="E820" s="2" t="s">
        <v>1205</v>
      </c>
      <c r="F820" s="2" t="s">
        <v>1269</v>
      </c>
      <c r="G820" s="2" t="s">
        <v>1240</v>
      </c>
      <c r="H820" s="10">
        <f>WORKDAY(G820,125,'[1]Feriados y Materias'!$B$21:$B$61)</f>
        <v>46168</v>
      </c>
      <c r="I820" s="2" t="s">
        <v>791</v>
      </c>
      <c r="J820" s="2" t="s">
        <v>1187</v>
      </c>
      <c r="K820" s="2" t="s">
        <v>1159</v>
      </c>
    </row>
    <row r="821" spans="1:11" x14ac:dyDescent="0.35">
      <c r="A821">
        <v>94</v>
      </c>
      <c r="B821" s="64" t="s">
        <v>16</v>
      </c>
      <c r="C821" s="2" t="s">
        <v>8</v>
      </c>
      <c r="D821" s="2" t="s">
        <v>1204</v>
      </c>
      <c r="E821" s="2" t="s">
        <v>1205</v>
      </c>
      <c r="F821" s="2" t="s">
        <v>1270</v>
      </c>
      <c r="G821" s="2" t="s">
        <v>1240</v>
      </c>
      <c r="H821" s="10">
        <f>WORKDAY(G821,125,'[1]Feriados y Materias'!$B$21:$B$61)</f>
        <v>46168</v>
      </c>
      <c r="I821" s="2" t="s">
        <v>791</v>
      </c>
      <c r="J821" s="2" t="s">
        <v>1187</v>
      </c>
      <c r="K821" s="2" t="s">
        <v>1159</v>
      </c>
    </row>
    <row r="822" spans="1:11" x14ac:dyDescent="0.35">
      <c r="A822">
        <v>95</v>
      </c>
      <c r="B822" s="64" t="s">
        <v>16</v>
      </c>
      <c r="C822" s="2" t="s">
        <v>8</v>
      </c>
      <c r="D822" s="2" t="s">
        <v>1204</v>
      </c>
      <c r="E822" s="2" t="s">
        <v>1205</v>
      </c>
      <c r="F822" s="2" t="s">
        <v>1271</v>
      </c>
      <c r="G822" s="2" t="s">
        <v>1240</v>
      </c>
      <c r="H822" s="10">
        <f>WORKDAY(G822,125,'[1]Feriados y Materias'!$B$21:$B$61)</f>
        <v>46168</v>
      </c>
      <c r="I822" s="2" t="s">
        <v>791</v>
      </c>
      <c r="J822" s="2" t="s">
        <v>1187</v>
      </c>
      <c r="K822" s="2" t="s">
        <v>1159</v>
      </c>
    </row>
    <row r="823" spans="1:11" x14ac:dyDescent="0.35">
      <c r="A823">
        <v>96</v>
      </c>
      <c r="B823" s="64" t="s">
        <v>16</v>
      </c>
      <c r="C823" s="2" t="s">
        <v>8</v>
      </c>
      <c r="D823" s="2" t="s">
        <v>1204</v>
      </c>
      <c r="E823" s="2" t="s">
        <v>1205</v>
      </c>
      <c r="F823" s="2" t="s">
        <v>1272</v>
      </c>
      <c r="G823" s="2" t="s">
        <v>1240</v>
      </c>
      <c r="H823" s="10">
        <f>WORKDAY(G823,125,'[1]Feriados y Materias'!$B$21:$B$61)</f>
        <v>46168</v>
      </c>
      <c r="I823" s="2" t="s">
        <v>791</v>
      </c>
      <c r="J823" s="2" t="s">
        <v>1187</v>
      </c>
      <c r="K823" s="2" t="s">
        <v>1159</v>
      </c>
    </row>
    <row r="824" spans="1:11" x14ac:dyDescent="0.35">
      <c r="A824">
        <v>97</v>
      </c>
      <c r="B824" s="64" t="s">
        <v>16</v>
      </c>
      <c r="C824" s="2" t="s">
        <v>8</v>
      </c>
      <c r="D824" s="2" t="s">
        <v>1204</v>
      </c>
      <c r="E824" s="2" t="s">
        <v>1205</v>
      </c>
      <c r="F824" s="2" t="s">
        <v>1273</v>
      </c>
      <c r="G824" s="2" t="s">
        <v>1240</v>
      </c>
      <c r="H824" s="10">
        <f>WORKDAY(G824,125,'[1]Feriados y Materias'!$B$21:$B$61)</f>
        <v>46168</v>
      </c>
      <c r="I824" s="2" t="s">
        <v>791</v>
      </c>
      <c r="J824" s="2" t="s">
        <v>1187</v>
      </c>
      <c r="K824" s="2" t="s">
        <v>1159</v>
      </c>
    </row>
    <row r="825" spans="1:11" x14ac:dyDescent="0.35">
      <c r="A825">
        <v>98</v>
      </c>
      <c r="B825" s="64" t="s">
        <v>16</v>
      </c>
      <c r="C825" s="2" t="s">
        <v>8</v>
      </c>
      <c r="D825" s="2" t="s">
        <v>1204</v>
      </c>
      <c r="E825" s="2" t="s">
        <v>1205</v>
      </c>
      <c r="F825" s="2" t="s">
        <v>1274</v>
      </c>
      <c r="G825" s="2" t="s">
        <v>1240</v>
      </c>
      <c r="H825" s="10">
        <f>WORKDAY(G825,125,'[1]Feriados y Materias'!$B$21:$B$61)</f>
        <v>46168</v>
      </c>
      <c r="I825" s="2" t="s">
        <v>791</v>
      </c>
      <c r="J825" s="2" t="s">
        <v>1187</v>
      </c>
      <c r="K825" s="2" t="s">
        <v>1159</v>
      </c>
    </row>
    <row r="826" spans="1:11" x14ac:dyDescent="0.35">
      <c r="A826">
        <v>99</v>
      </c>
      <c r="B826" s="64" t="s">
        <v>16</v>
      </c>
      <c r="C826" s="2" t="s">
        <v>8</v>
      </c>
      <c r="D826" s="2" t="s">
        <v>1204</v>
      </c>
      <c r="E826" s="2" t="s">
        <v>1205</v>
      </c>
      <c r="F826" s="2" t="s">
        <v>1275</v>
      </c>
      <c r="G826" s="2" t="s">
        <v>1240</v>
      </c>
      <c r="H826" s="10">
        <f>WORKDAY(G826,125,'[1]Feriados y Materias'!$B$21:$B$61)</f>
        <v>46168</v>
      </c>
      <c r="I826" s="2" t="s">
        <v>791</v>
      </c>
      <c r="J826" s="2" t="s">
        <v>1187</v>
      </c>
      <c r="K826" s="2" t="s">
        <v>1159</v>
      </c>
    </row>
    <row r="827" spans="1:11" x14ac:dyDescent="0.35">
      <c r="A827">
        <v>100</v>
      </c>
      <c r="B827" s="64" t="s">
        <v>16</v>
      </c>
      <c r="C827" s="2" t="s">
        <v>8</v>
      </c>
      <c r="D827" s="2" t="s">
        <v>1204</v>
      </c>
      <c r="E827" s="2" t="s">
        <v>1205</v>
      </c>
      <c r="F827" s="2" t="s">
        <v>1276</v>
      </c>
      <c r="G827" s="2" t="s">
        <v>1240</v>
      </c>
      <c r="H827" s="10">
        <f>WORKDAY(G827,125,'[1]Feriados y Materias'!$B$21:$B$61)</f>
        <v>46168</v>
      </c>
      <c r="I827" s="2" t="s">
        <v>791</v>
      </c>
      <c r="J827" s="2" t="s">
        <v>1187</v>
      </c>
      <c r="K827" s="2" t="s">
        <v>1159</v>
      </c>
    </row>
    <row r="828" spans="1:11" x14ac:dyDescent="0.35">
      <c r="A828">
        <v>101</v>
      </c>
      <c r="B828" s="64" t="s">
        <v>16</v>
      </c>
      <c r="C828" s="2" t="s">
        <v>8</v>
      </c>
      <c r="D828" s="2" t="s">
        <v>1204</v>
      </c>
      <c r="E828" s="2" t="s">
        <v>1205</v>
      </c>
      <c r="F828" s="2" t="s">
        <v>1277</v>
      </c>
      <c r="G828" s="2" t="s">
        <v>1240</v>
      </c>
      <c r="H828" s="10">
        <f>WORKDAY(G828,125,'[1]Feriados y Materias'!$B$21:$B$61)</f>
        <v>46168</v>
      </c>
      <c r="I828" s="2" t="s">
        <v>791</v>
      </c>
      <c r="J828" s="2" t="s">
        <v>1187</v>
      </c>
      <c r="K828" s="2" t="s">
        <v>1159</v>
      </c>
    </row>
    <row r="829" spans="1:11" x14ac:dyDescent="0.35">
      <c r="A829">
        <v>102</v>
      </c>
      <c r="B829" s="64" t="s">
        <v>16</v>
      </c>
      <c r="C829" s="2" t="s">
        <v>8</v>
      </c>
      <c r="D829" s="2" t="s">
        <v>1204</v>
      </c>
      <c r="E829" s="2" t="s">
        <v>1205</v>
      </c>
      <c r="F829" s="2" t="s">
        <v>1278</v>
      </c>
      <c r="G829" s="2" t="s">
        <v>1240</v>
      </c>
      <c r="H829" s="10">
        <f>WORKDAY(G829,125,'[1]Feriados y Materias'!$B$21:$B$61)</f>
        <v>46168</v>
      </c>
      <c r="I829" s="2" t="s">
        <v>791</v>
      </c>
      <c r="J829" s="2" t="s">
        <v>1187</v>
      </c>
      <c r="K829" s="2" t="s">
        <v>1159</v>
      </c>
    </row>
    <row r="830" spans="1:11" x14ac:dyDescent="0.35">
      <c r="A830">
        <v>103</v>
      </c>
      <c r="B830" s="64" t="s">
        <v>16</v>
      </c>
      <c r="C830" s="2" t="s">
        <v>8</v>
      </c>
      <c r="D830" s="2" t="s">
        <v>1204</v>
      </c>
      <c r="E830" s="2" t="s">
        <v>1205</v>
      </c>
      <c r="F830" s="2" t="s">
        <v>1279</v>
      </c>
      <c r="G830" s="2" t="s">
        <v>1240</v>
      </c>
      <c r="H830" s="10">
        <f>WORKDAY(G830,125,'[1]Feriados y Materias'!$B$21:$B$61)</f>
        <v>46168</v>
      </c>
      <c r="I830" s="2" t="s">
        <v>791</v>
      </c>
      <c r="J830" s="2" t="s">
        <v>1187</v>
      </c>
      <c r="K830" s="2" t="s">
        <v>1159</v>
      </c>
    </row>
    <row r="831" spans="1:11" x14ac:dyDescent="0.35">
      <c r="A831">
        <v>104</v>
      </c>
      <c r="B831" s="64" t="s">
        <v>16</v>
      </c>
      <c r="C831" s="2" t="s">
        <v>8</v>
      </c>
      <c r="D831" s="2" t="s">
        <v>1204</v>
      </c>
      <c r="E831" s="2" t="s">
        <v>1205</v>
      </c>
      <c r="F831" s="2" t="s">
        <v>1280</v>
      </c>
      <c r="G831" s="2" t="s">
        <v>1240</v>
      </c>
      <c r="H831" s="10">
        <f>WORKDAY(G831,125,'[1]Feriados y Materias'!$B$21:$B$61)</f>
        <v>46168</v>
      </c>
      <c r="I831" s="2" t="s">
        <v>791</v>
      </c>
      <c r="J831" s="2" t="s">
        <v>1187</v>
      </c>
      <c r="K831" s="2" t="s">
        <v>1159</v>
      </c>
    </row>
    <row r="832" spans="1:11" x14ac:dyDescent="0.35">
      <c r="A832">
        <v>105</v>
      </c>
      <c r="B832" s="64" t="s">
        <v>16</v>
      </c>
      <c r="C832" s="2" t="s">
        <v>8</v>
      </c>
      <c r="D832" s="2" t="s">
        <v>1204</v>
      </c>
      <c r="E832" s="2" t="s">
        <v>1205</v>
      </c>
      <c r="F832" s="2" t="s">
        <v>1281</v>
      </c>
      <c r="G832" s="2" t="s">
        <v>1240</v>
      </c>
      <c r="H832" s="10">
        <f>WORKDAY(G832,125,'[1]Feriados y Materias'!$B$21:$B$61)</f>
        <v>46168</v>
      </c>
      <c r="I832" s="2" t="s">
        <v>791</v>
      </c>
      <c r="J832" s="2" t="s">
        <v>1187</v>
      </c>
      <c r="K832" s="2" t="s">
        <v>1159</v>
      </c>
    </row>
    <row r="833" spans="1:11" x14ac:dyDescent="0.35">
      <c r="A833">
        <v>106</v>
      </c>
      <c r="B833" s="64" t="s">
        <v>16</v>
      </c>
      <c r="C833" s="2" t="s">
        <v>8</v>
      </c>
      <c r="D833" s="2" t="s">
        <v>1204</v>
      </c>
      <c r="E833" s="2" t="s">
        <v>1205</v>
      </c>
      <c r="F833" s="2" t="s">
        <v>1282</v>
      </c>
      <c r="G833" s="2" t="s">
        <v>1240</v>
      </c>
      <c r="H833" s="10">
        <f>WORKDAY(G833,125,'[1]Feriados y Materias'!$B$21:$B$61)</f>
        <v>46168</v>
      </c>
      <c r="I833" s="2" t="s">
        <v>791</v>
      </c>
      <c r="J833" s="2" t="s">
        <v>1187</v>
      </c>
      <c r="K833" s="2" t="s">
        <v>1159</v>
      </c>
    </row>
    <row r="834" spans="1:11" x14ac:dyDescent="0.35">
      <c r="A834">
        <v>107</v>
      </c>
      <c r="B834" s="64" t="s">
        <v>16</v>
      </c>
      <c r="C834" s="2" t="s">
        <v>8</v>
      </c>
      <c r="D834" s="2" t="s">
        <v>1204</v>
      </c>
      <c r="E834" s="2" t="s">
        <v>1205</v>
      </c>
      <c r="F834" s="2" t="s">
        <v>1283</v>
      </c>
      <c r="G834" s="2" t="s">
        <v>1240</v>
      </c>
      <c r="H834" s="10">
        <f>WORKDAY(G834,125,'[1]Feriados y Materias'!$B$21:$B$61)</f>
        <v>46168</v>
      </c>
      <c r="I834" s="2" t="s">
        <v>791</v>
      </c>
      <c r="J834" s="2" t="s">
        <v>1187</v>
      </c>
      <c r="K834" s="2" t="s">
        <v>1159</v>
      </c>
    </row>
    <row r="835" spans="1:11" x14ac:dyDescent="0.35">
      <c r="A835">
        <v>108</v>
      </c>
      <c r="B835" s="64" t="s">
        <v>16</v>
      </c>
      <c r="C835" s="2" t="s">
        <v>8</v>
      </c>
      <c r="D835" s="2" t="s">
        <v>1204</v>
      </c>
      <c r="E835" s="2" t="s">
        <v>1205</v>
      </c>
      <c r="F835" s="2" t="s">
        <v>1284</v>
      </c>
      <c r="G835" s="2" t="s">
        <v>1240</v>
      </c>
      <c r="H835" s="10">
        <f>WORKDAY(G835,125,'[1]Feriados y Materias'!$B$21:$B$61)</f>
        <v>46168</v>
      </c>
      <c r="I835" s="2" t="s">
        <v>791</v>
      </c>
      <c r="J835" s="2" t="s">
        <v>1187</v>
      </c>
      <c r="K835" s="2" t="s">
        <v>1159</v>
      </c>
    </row>
    <row r="836" spans="1:11" x14ac:dyDescent="0.35">
      <c r="A836">
        <v>109</v>
      </c>
      <c r="B836" s="64" t="s">
        <v>16</v>
      </c>
      <c r="C836" s="2" t="s">
        <v>8</v>
      </c>
      <c r="D836" s="2" t="s">
        <v>1204</v>
      </c>
      <c r="E836" s="2" t="s">
        <v>1205</v>
      </c>
      <c r="F836" s="2" t="s">
        <v>1285</v>
      </c>
      <c r="G836" s="2" t="s">
        <v>1240</v>
      </c>
      <c r="H836" s="10">
        <f>WORKDAY(G836,125,'[1]Feriados y Materias'!$B$21:$B$61)</f>
        <v>46168</v>
      </c>
      <c r="I836" s="2" t="s">
        <v>791</v>
      </c>
      <c r="J836" s="2" t="s">
        <v>1187</v>
      </c>
      <c r="K836" s="2" t="s">
        <v>1159</v>
      </c>
    </row>
    <row r="837" spans="1:11" x14ac:dyDescent="0.35">
      <c r="A837">
        <v>110</v>
      </c>
      <c r="B837" s="64" t="s">
        <v>16</v>
      </c>
      <c r="C837" s="2" t="s">
        <v>8</v>
      </c>
      <c r="D837" s="2" t="s">
        <v>1204</v>
      </c>
      <c r="E837" s="2" t="s">
        <v>1205</v>
      </c>
      <c r="F837" s="2" t="s">
        <v>1286</v>
      </c>
      <c r="G837" s="2" t="s">
        <v>1240</v>
      </c>
      <c r="H837" s="10">
        <f>WORKDAY(G837,125,'[1]Feriados y Materias'!$B$21:$B$61)</f>
        <v>46168</v>
      </c>
      <c r="I837" s="2" t="s">
        <v>791</v>
      </c>
      <c r="J837" s="2" t="s">
        <v>1187</v>
      </c>
      <c r="K837" s="2" t="s">
        <v>1159</v>
      </c>
    </row>
    <row r="838" spans="1:11" x14ac:dyDescent="0.35">
      <c r="A838">
        <v>111</v>
      </c>
      <c r="B838" s="64" t="s">
        <v>16</v>
      </c>
      <c r="C838" s="2" t="s">
        <v>8</v>
      </c>
      <c r="D838" s="2" t="s">
        <v>1204</v>
      </c>
      <c r="E838" s="2" t="s">
        <v>1205</v>
      </c>
      <c r="F838" s="2" t="s">
        <v>1287</v>
      </c>
      <c r="G838" s="2" t="s">
        <v>1240</v>
      </c>
      <c r="H838" s="10">
        <f>WORKDAY(G838,125,'[1]Feriados y Materias'!$B$21:$B$61)</f>
        <v>46168</v>
      </c>
      <c r="I838" s="2" t="s">
        <v>791</v>
      </c>
      <c r="J838" s="2" t="s">
        <v>1187</v>
      </c>
      <c r="K838" s="2" t="s">
        <v>1159</v>
      </c>
    </row>
    <row r="839" spans="1:11" x14ac:dyDescent="0.35">
      <c r="A839">
        <v>112</v>
      </c>
      <c r="B839" s="64" t="s">
        <v>16</v>
      </c>
      <c r="C839" s="2" t="s">
        <v>8</v>
      </c>
      <c r="D839" s="2" t="s">
        <v>1204</v>
      </c>
      <c r="E839" s="2" t="s">
        <v>1205</v>
      </c>
      <c r="F839" s="2" t="s">
        <v>1288</v>
      </c>
      <c r="G839" s="2" t="s">
        <v>1240</v>
      </c>
      <c r="H839" s="10">
        <f>WORKDAY(G839,125,'[1]Feriados y Materias'!$B$21:$B$61)</f>
        <v>46168</v>
      </c>
      <c r="I839" s="2" t="s">
        <v>791</v>
      </c>
      <c r="J839" s="2" t="s">
        <v>1187</v>
      </c>
      <c r="K839" s="2" t="s">
        <v>1159</v>
      </c>
    </row>
    <row r="840" spans="1:11" x14ac:dyDescent="0.35">
      <c r="A840">
        <v>113</v>
      </c>
      <c r="B840" s="64" t="s">
        <v>16</v>
      </c>
      <c r="C840" s="2" t="s">
        <v>8</v>
      </c>
      <c r="D840" s="2" t="s">
        <v>1204</v>
      </c>
      <c r="E840" s="2" t="s">
        <v>1205</v>
      </c>
      <c r="F840" s="2" t="s">
        <v>1289</v>
      </c>
      <c r="G840" s="2" t="s">
        <v>1240</v>
      </c>
      <c r="H840" s="10">
        <f>WORKDAY(G840,125,'[1]Feriados y Materias'!$B$21:$B$61)</f>
        <v>46168</v>
      </c>
      <c r="I840" s="2" t="s">
        <v>791</v>
      </c>
      <c r="J840" s="2" t="s">
        <v>1187</v>
      </c>
      <c r="K840" s="2" t="s">
        <v>1159</v>
      </c>
    </row>
    <row r="841" spans="1:11" x14ac:dyDescent="0.35">
      <c r="A841">
        <v>114</v>
      </c>
      <c r="B841" s="64" t="s">
        <v>16</v>
      </c>
      <c r="C841" s="2" t="s">
        <v>8</v>
      </c>
      <c r="D841" s="2" t="s">
        <v>1204</v>
      </c>
      <c r="E841" s="2" t="s">
        <v>1205</v>
      </c>
      <c r="F841" s="2" t="s">
        <v>1290</v>
      </c>
      <c r="G841" s="2" t="s">
        <v>1240</v>
      </c>
      <c r="H841" s="10">
        <f>WORKDAY(G841,125,'[1]Feriados y Materias'!$B$21:$B$61)</f>
        <v>46168</v>
      </c>
      <c r="I841" s="2" t="s">
        <v>791</v>
      </c>
      <c r="J841" s="2" t="s">
        <v>1187</v>
      </c>
      <c r="K841" s="2" t="s">
        <v>1159</v>
      </c>
    </row>
    <row r="842" spans="1:11" x14ac:dyDescent="0.35">
      <c r="A842">
        <v>115</v>
      </c>
      <c r="B842" s="64" t="s">
        <v>16</v>
      </c>
      <c r="C842" s="2" t="s">
        <v>8</v>
      </c>
      <c r="D842" s="2" t="s">
        <v>1204</v>
      </c>
      <c r="E842" s="2" t="s">
        <v>1205</v>
      </c>
      <c r="F842" s="2" t="s">
        <v>1291</v>
      </c>
      <c r="G842" s="2" t="s">
        <v>1240</v>
      </c>
      <c r="H842" s="10">
        <f>WORKDAY(G842,125,'[1]Feriados y Materias'!$B$21:$B$61)</f>
        <v>46168</v>
      </c>
      <c r="I842" s="2" t="s">
        <v>791</v>
      </c>
      <c r="J842" s="2" t="s">
        <v>1187</v>
      </c>
      <c r="K842" s="2" t="s">
        <v>1159</v>
      </c>
    </row>
    <row r="843" spans="1:11" x14ac:dyDescent="0.35">
      <c r="A843">
        <v>116</v>
      </c>
      <c r="B843" s="64" t="s">
        <v>16</v>
      </c>
      <c r="C843" s="2" t="s">
        <v>8</v>
      </c>
      <c r="D843" s="2" t="s">
        <v>1204</v>
      </c>
      <c r="E843" s="2" t="s">
        <v>1205</v>
      </c>
      <c r="F843" s="2" t="s">
        <v>1292</v>
      </c>
      <c r="G843" s="2" t="s">
        <v>1240</v>
      </c>
      <c r="H843" s="10">
        <f>WORKDAY(G843,125,'[1]Feriados y Materias'!$B$21:$B$61)</f>
        <v>46168</v>
      </c>
      <c r="I843" s="2" t="s">
        <v>791</v>
      </c>
      <c r="J843" s="2" t="s">
        <v>1187</v>
      </c>
      <c r="K843" s="2" t="s">
        <v>1159</v>
      </c>
    </row>
    <row r="844" spans="1:11" x14ac:dyDescent="0.35">
      <c r="A844">
        <v>117</v>
      </c>
      <c r="B844" s="64" t="s">
        <v>16</v>
      </c>
      <c r="C844" s="2" t="s">
        <v>8</v>
      </c>
      <c r="D844" s="2" t="s">
        <v>1204</v>
      </c>
      <c r="E844" s="2" t="s">
        <v>1205</v>
      </c>
      <c r="F844" s="2" t="s">
        <v>1293</v>
      </c>
      <c r="G844" s="2" t="s">
        <v>1240</v>
      </c>
      <c r="H844" s="10">
        <f>WORKDAY(G844,125,'[1]Feriados y Materias'!$B$21:$B$61)</f>
        <v>46168</v>
      </c>
      <c r="I844" s="2" t="s">
        <v>791</v>
      </c>
      <c r="J844" s="2" t="s">
        <v>1187</v>
      </c>
      <c r="K844" s="2" t="s">
        <v>1159</v>
      </c>
    </row>
    <row r="845" spans="1:11" x14ac:dyDescent="0.35">
      <c r="A845">
        <v>118</v>
      </c>
      <c r="B845" s="64" t="s">
        <v>16</v>
      </c>
      <c r="C845" s="2" t="s">
        <v>8</v>
      </c>
      <c r="D845" s="2" t="s">
        <v>1204</v>
      </c>
      <c r="E845" s="2" t="s">
        <v>1205</v>
      </c>
      <c r="F845" s="2" t="s">
        <v>1294</v>
      </c>
      <c r="G845" s="2" t="s">
        <v>1240</v>
      </c>
      <c r="H845" s="10">
        <f>WORKDAY(G845,125,'[1]Feriados y Materias'!$B$21:$B$61)</f>
        <v>46168</v>
      </c>
      <c r="I845" s="2" t="s">
        <v>791</v>
      </c>
      <c r="J845" s="2" t="s">
        <v>1187</v>
      </c>
      <c r="K845" s="2" t="s">
        <v>1159</v>
      </c>
    </row>
    <row r="846" spans="1:11" x14ac:dyDescent="0.35">
      <c r="A846">
        <v>119</v>
      </c>
      <c r="B846" s="64" t="s">
        <v>16</v>
      </c>
      <c r="C846" s="2" t="s">
        <v>8</v>
      </c>
      <c r="D846" s="2" t="s">
        <v>1204</v>
      </c>
      <c r="E846" s="2" t="s">
        <v>1205</v>
      </c>
      <c r="F846" s="2" t="s">
        <v>1295</v>
      </c>
      <c r="G846" s="2" t="s">
        <v>1240</v>
      </c>
      <c r="H846" s="10">
        <f>WORKDAY(G846,125,'[1]Feriados y Materias'!$B$21:$B$61)</f>
        <v>46168</v>
      </c>
      <c r="I846" s="2" t="s">
        <v>791</v>
      </c>
      <c r="J846" s="2" t="s">
        <v>1187</v>
      </c>
      <c r="K846" s="2" t="s">
        <v>1159</v>
      </c>
    </row>
    <row r="847" spans="1:11" x14ac:dyDescent="0.35">
      <c r="A847">
        <v>120</v>
      </c>
      <c r="B847" s="64" t="s">
        <v>16</v>
      </c>
      <c r="C847" s="2" t="s">
        <v>8</v>
      </c>
      <c r="D847" s="2" t="s">
        <v>1204</v>
      </c>
      <c r="E847" s="2" t="s">
        <v>1205</v>
      </c>
      <c r="F847" s="2" t="s">
        <v>1296</v>
      </c>
      <c r="G847" s="2" t="s">
        <v>1240</v>
      </c>
      <c r="H847" s="10">
        <f>WORKDAY(G847,125,'[1]Feriados y Materias'!$B$21:$B$61)</f>
        <v>46168</v>
      </c>
      <c r="I847" s="2" t="s">
        <v>791</v>
      </c>
      <c r="J847" s="2" t="s">
        <v>1187</v>
      </c>
      <c r="K847" s="2" t="s">
        <v>1159</v>
      </c>
    </row>
    <row r="848" spans="1:11" x14ac:dyDescent="0.35">
      <c r="A848">
        <v>121</v>
      </c>
      <c r="B848" s="64" t="s">
        <v>16</v>
      </c>
      <c r="C848" s="2" t="s">
        <v>8</v>
      </c>
      <c r="D848" s="2" t="s">
        <v>1204</v>
      </c>
      <c r="E848" s="2" t="s">
        <v>1205</v>
      </c>
      <c r="F848" s="2" t="s">
        <v>1297</v>
      </c>
      <c r="G848" s="2" t="s">
        <v>1240</v>
      </c>
      <c r="H848" s="10">
        <f>WORKDAY(G848,125,'[1]Feriados y Materias'!$B$21:$B$61)</f>
        <v>46168</v>
      </c>
      <c r="I848" s="2" t="s">
        <v>791</v>
      </c>
      <c r="J848" s="2" t="s">
        <v>1187</v>
      </c>
      <c r="K848" s="2" t="s">
        <v>1159</v>
      </c>
    </row>
    <row r="849" spans="1:11" x14ac:dyDescent="0.35">
      <c r="A849">
        <v>122</v>
      </c>
      <c r="B849" s="64" t="s">
        <v>16</v>
      </c>
      <c r="C849" s="2" t="s">
        <v>8</v>
      </c>
      <c r="D849" s="2" t="s">
        <v>1204</v>
      </c>
      <c r="E849" s="2" t="s">
        <v>1205</v>
      </c>
      <c r="F849" s="2" t="s">
        <v>1298</v>
      </c>
      <c r="G849" s="2" t="s">
        <v>1240</v>
      </c>
      <c r="H849" s="10">
        <f>WORKDAY(G849,125,'[1]Feriados y Materias'!$B$21:$B$61)</f>
        <v>46168</v>
      </c>
      <c r="I849" s="2" t="s">
        <v>791</v>
      </c>
      <c r="J849" s="2" t="s">
        <v>1187</v>
      </c>
      <c r="K849" s="2" t="s">
        <v>1159</v>
      </c>
    </row>
    <row r="850" spans="1:11" x14ac:dyDescent="0.35">
      <c r="A850">
        <v>123</v>
      </c>
      <c r="B850" s="64" t="s">
        <v>16</v>
      </c>
      <c r="C850" s="2" t="s">
        <v>8</v>
      </c>
      <c r="D850" s="2" t="s">
        <v>1204</v>
      </c>
      <c r="E850" s="2" t="s">
        <v>1205</v>
      </c>
      <c r="F850" s="2" t="s">
        <v>1299</v>
      </c>
      <c r="G850" s="2" t="s">
        <v>1240</v>
      </c>
      <c r="H850" s="10">
        <f>WORKDAY(G850,125,'[1]Feriados y Materias'!$B$21:$B$61)</f>
        <v>46168</v>
      </c>
      <c r="I850" s="2" t="s">
        <v>791</v>
      </c>
      <c r="J850" s="2" t="s">
        <v>1187</v>
      </c>
      <c r="K850" s="2" t="s">
        <v>1159</v>
      </c>
    </row>
    <row r="851" spans="1:11" x14ac:dyDescent="0.35">
      <c r="A851">
        <v>124</v>
      </c>
      <c r="B851" s="64" t="s">
        <v>16</v>
      </c>
      <c r="C851" s="2" t="s">
        <v>8</v>
      </c>
      <c r="D851" s="2" t="s">
        <v>1204</v>
      </c>
      <c r="E851" s="2" t="s">
        <v>1205</v>
      </c>
      <c r="F851" s="2" t="s">
        <v>1300</v>
      </c>
      <c r="G851" s="2" t="s">
        <v>1240</v>
      </c>
      <c r="H851" s="10">
        <f>WORKDAY(G851,125,'[1]Feriados y Materias'!$B$21:$B$61)</f>
        <v>46168</v>
      </c>
      <c r="I851" s="2" t="s">
        <v>791</v>
      </c>
      <c r="J851" s="2" t="s">
        <v>1187</v>
      </c>
      <c r="K851" s="2" t="s">
        <v>1159</v>
      </c>
    </row>
    <row r="852" spans="1:11" x14ac:dyDescent="0.35">
      <c r="A852">
        <v>125</v>
      </c>
      <c r="B852" s="64" t="s">
        <v>16</v>
      </c>
      <c r="C852" s="2" t="s">
        <v>8</v>
      </c>
      <c r="D852" s="2" t="s">
        <v>1204</v>
      </c>
      <c r="E852" s="2" t="s">
        <v>1205</v>
      </c>
      <c r="F852" s="2" t="s">
        <v>1301</v>
      </c>
      <c r="G852" s="2" t="s">
        <v>1240</v>
      </c>
      <c r="H852" s="10">
        <f>WORKDAY(G852,125,'[1]Feriados y Materias'!$B$21:$B$61)</f>
        <v>46168</v>
      </c>
      <c r="I852" s="2" t="s">
        <v>791</v>
      </c>
      <c r="J852" s="2" t="s">
        <v>1187</v>
      </c>
      <c r="K852" s="2" t="s">
        <v>1159</v>
      </c>
    </row>
    <row r="853" spans="1:11" x14ac:dyDescent="0.35">
      <c r="A853">
        <v>126</v>
      </c>
      <c r="B853" s="64" t="s">
        <v>16</v>
      </c>
      <c r="C853" s="2" t="s">
        <v>8</v>
      </c>
      <c r="D853" s="2" t="s">
        <v>1204</v>
      </c>
      <c r="E853" s="2" t="s">
        <v>1205</v>
      </c>
      <c r="F853" s="2" t="s">
        <v>1302</v>
      </c>
      <c r="G853" s="2" t="s">
        <v>1240</v>
      </c>
      <c r="H853" s="10">
        <f>WORKDAY(G853,125,'[1]Feriados y Materias'!$B$21:$B$61)</f>
        <v>46168</v>
      </c>
      <c r="I853" s="2" t="s">
        <v>791</v>
      </c>
      <c r="J853" s="2" t="s">
        <v>1187</v>
      </c>
      <c r="K853" s="2" t="s">
        <v>1159</v>
      </c>
    </row>
    <row r="854" spans="1:11" x14ac:dyDescent="0.35">
      <c r="A854">
        <v>127</v>
      </c>
      <c r="B854" s="64" t="s">
        <v>16</v>
      </c>
      <c r="C854" s="2" t="s">
        <v>8</v>
      </c>
      <c r="D854" s="2" t="s">
        <v>1204</v>
      </c>
      <c r="E854" s="2" t="s">
        <v>1205</v>
      </c>
      <c r="F854" s="2" t="s">
        <v>1303</v>
      </c>
      <c r="G854" s="2" t="s">
        <v>1240</v>
      </c>
      <c r="H854" s="10">
        <f>WORKDAY(G854,125,'[1]Feriados y Materias'!$B$21:$B$61)</f>
        <v>46168</v>
      </c>
      <c r="I854" s="2" t="s">
        <v>791</v>
      </c>
      <c r="J854" s="2" t="s">
        <v>1187</v>
      </c>
      <c r="K854" s="2" t="s">
        <v>1159</v>
      </c>
    </row>
    <row r="855" spans="1:11" x14ac:dyDescent="0.35">
      <c r="A855">
        <v>128</v>
      </c>
      <c r="B855" s="64" t="s">
        <v>16</v>
      </c>
      <c r="C855" s="2" t="s">
        <v>8</v>
      </c>
      <c r="D855" s="2" t="s">
        <v>1204</v>
      </c>
      <c r="E855" s="2" t="s">
        <v>1205</v>
      </c>
      <c r="F855" s="2" t="s">
        <v>1304</v>
      </c>
      <c r="G855" s="2" t="s">
        <v>1240</v>
      </c>
      <c r="H855" s="10">
        <f>WORKDAY(G855,125,'[1]Feriados y Materias'!$B$21:$B$61)</f>
        <v>46168</v>
      </c>
      <c r="I855" s="2" t="s">
        <v>791</v>
      </c>
      <c r="J855" s="2" t="s">
        <v>1187</v>
      </c>
      <c r="K855" s="2" t="s">
        <v>1159</v>
      </c>
    </row>
    <row r="856" spans="1:11" x14ac:dyDescent="0.35">
      <c r="A856">
        <v>129</v>
      </c>
      <c r="B856" s="64" t="s">
        <v>16</v>
      </c>
      <c r="C856" s="2" t="s">
        <v>8</v>
      </c>
      <c r="D856" s="2" t="s">
        <v>1204</v>
      </c>
      <c r="E856" s="2" t="s">
        <v>1205</v>
      </c>
      <c r="F856" s="2" t="s">
        <v>1305</v>
      </c>
      <c r="G856" s="2" t="s">
        <v>1240</v>
      </c>
      <c r="H856" s="10">
        <f>WORKDAY(G856,125,'[1]Feriados y Materias'!$B$21:$B$61)</f>
        <v>46168</v>
      </c>
      <c r="I856" s="2" t="s">
        <v>791</v>
      </c>
      <c r="J856" s="2" t="s">
        <v>1187</v>
      </c>
      <c r="K856" s="2" t="s">
        <v>1159</v>
      </c>
    </row>
    <row r="857" spans="1:11" x14ac:dyDescent="0.35">
      <c r="A857">
        <v>130</v>
      </c>
      <c r="B857" s="64" t="s">
        <v>16</v>
      </c>
      <c r="C857" s="2" t="s">
        <v>8</v>
      </c>
      <c r="D857" s="2" t="s">
        <v>1204</v>
      </c>
      <c r="E857" s="2" t="s">
        <v>1205</v>
      </c>
      <c r="F857" s="2" t="s">
        <v>1306</v>
      </c>
      <c r="G857" s="2" t="s">
        <v>1240</v>
      </c>
      <c r="H857" s="10">
        <f>WORKDAY(G857,125,'[1]Feriados y Materias'!$B$21:$B$61)</f>
        <v>46168</v>
      </c>
      <c r="I857" s="2" t="s">
        <v>791</v>
      </c>
      <c r="J857" s="2" t="s">
        <v>1187</v>
      </c>
      <c r="K857" s="2" t="s">
        <v>1159</v>
      </c>
    </row>
    <row r="858" spans="1:11" x14ac:dyDescent="0.35">
      <c r="A858">
        <v>131</v>
      </c>
      <c r="B858" s="64" t="s">
        <v>16</v>
      </c>
      <c r="C858" s="2" t="s">
        <v>8</v>
      </c>
      <c r="D858" s="2" t="s">
        <v>1204</v>
      </c>
      <c r="E858" s="2" t="s">
        <v>1205</v>
      </c>
      <c r="F858" s="2" t="s">
        <v>1307</v>
      </c>
      <c r="G858" s="2" t="s">
        <v>1240</v>
      </c>
      <c r="H858" s="10">
        <f>WORKDAY(G858,125,'[1]Feriados y Materias'!$B$21:$B$61)</f>
        <v>46168</v>
      </c>
      <c r="I858" s="2" t="s">
        <v>791</v>
      </c>
      <c r="J858" s="2" t="s">
        <v>1187</v>
      </c>
      <c r="K858" s="2" t="s">
        <v>1159</v>
      </c>
    </row>
    <row r="859" spans="1:11" x14ac:dyDescent="0.35">
      <c r="A859">
        <v>132</v>
      </c>
      <c r="B859" s="64" t="s">
        <v>16</v>
      </c>
      <c r="C859" s="2" t="s">
        <v>8</v>
      </c>
      <c r="D859" s="2" t="s">
        <v>1204</v>
      </c>
      <c r="E859" s="2" t="s">
        <v>1205</v>
      </c>
      <c r="F859" s="2" t="s">
        <v>1308</v>
      </c>
      <c r="G859" s="2" t="s">
        <v>1240</v>
      </c>
      <c r="H859" s="10">
        <f>WORKDAY(G859,125,'[1]Feriados y Materias'!$B$21:$B$61)</f>
        <v>46168</v>
      </c>
      <c r="I859" s="2" t="s">
        <v>791</v>
      </c>
      <c r="J859" s="2" t="s">
        <v>1187</v>
      </c>
      <c r="K859" s="2" t="s">
        <v>1159</v>
      </c>
    </row>
    <row r="860" spans="1:11" x14ac:dyDescent="0.35">
      <c r="A860">
        <v>133</v>
      </c>
      <c r="B860" s="64" t="s">
        <v>16</v>
      </c>
      <c r="C860" s="2" t="s">
        <v>8</v>
      </c>
      <c r="D860" s="2" t="s">
        <v>1204</v>
      </c>
      <c r="E860" s="2" t="s">
        <v>1205</v>
      </c>
      <c r="F860" s="2" t="s">
        <v>1309</v>
      </c>
      <c r="G860" s="2" t="s">
        <v>1240</v>
      </c>
      <c r="H860" s="10">
        <f>WORKDAY(G860,125,'[1]Feriados y Materias'!$B$21:$B$61)</f>
        <v>46168</v>
      </c>
      <c r="I860" s="2" t="s">
        <v>791</v>
      </c>
      <c r="J860" s="2" t="s">
        <v>1187</v>
      </c>
      <c r="K860" s="2" t="s">
        <v>1159</v>
      </c>
    </row>
    <row r="861" spans="1:11" x14ac:dyDescent="0.35">
      <c r="A861">
        <v>134</v>
      </c>
      <c r="B861" s="64" t="s">
        <v>16</v>
      </c>
      <c r="C861" s="2" t="s">
        <v>8</v>
      </c>
      <c r="D861" s="2" t="s">
        <v>1204</v>
      </c>
      <c r="E861" s="2" t="s">
        <v>1205</v>
      </c>
      <c r="F861" s="2" t="s">
        <v>1310</v>
      </c>
      <c r="G861" s="2" t="s">
        <v>1240</v>
      </c>
      <c r="H861" s="10">
        <f>WORKDAY(G861,125,'[1]Feriados y Materias'!$B$21:$B$61)</f>
        <v>46168</v>
      </c>
      <c r="I861" s="2" t="s">
        <v>791</v>
      </c>
      <c r="J861" s="2" t="s">
        <v>1187</v>
      </c>
      <c r="K861" s="2" t="s">
        <v>1159</v>
      </c>
    </row>
    <row r="862" spans="1:11" x14ac:dyDescent="0.35">
      <c r="A862">
        <v>135</v>
      </c>
      <c r="B862" s="64" t="s">
        <v>16</v>
      </c>
      <c r="C862" s="2" t="s">
        <v>8</v>
      </c>
      <c r="D862" s="2" t="s">
        <v>1204</v>
      </c>
      <c r="E862" s="2" t="s">
        <v>1205</v>
      </c>
      <c r="F862" s="2" t="s">
        <v>1311</v>
      </c>
      <c r="G862" s="2" t="s">
        <v>1240</v>
      </c>
      <c r="H862" s="10">
        <f>WORKDAY(G862,125,'[1]Feriados y Materias'!$B$21:$B$61)</f>
        <v>46168</v>
      </c>
      <c r="I862" s="2" t="s">
        <v>791</v>
      </c>
      <c r="J862" s="2" t="s">
        <v>1187</v>
      </c>
      <c r="K862" s="2" t="s">
        <v>1159</v>
      </c>
    </row>
    <row r="863" spans="1:11" x14ac:dyDescent="0.35">
      <c r="A863">
        <v>136</v>
      </c>
      <c r="B863" s="64" t="s">
        <v>16</v>
      </c>
      <c r="C863" s="2" t="s">
        <v>8</v>
      </c>
      <c r="D863" s="2" t="s">
        <v>1204</v>
      </c>
      <c r="E863" s="2" t="s">
        <v>1205</v>
      </c>
      <c r="F863" s="2" t="s">
        <v>1312</v>
      </c>
      <c r="G863" s="2" t="s">
        <v>1240</v>
      </c>
      <c r="H863" s="10">
        <f>WORKDAY(G863,125,'[1]Feriados y Materias'!$B$21:$B$61)</f>
        <v>46168</v>
      </c>
      <c r="I863" s="2" t="s">
        <v>791</v>
      </c>
      <c r="J863" s="2" t="s">
        <v>1187</v>
      </c>
      <c r="K863" s="2" t="s">
        <v>1159</v>
      </c>
    </row>
    <row r="864" spans="1:11" x14ac:dyDescent="0.35">
      <c r="A864">
        <v>137</v>
      </c>
      <c r="B864" s="64" t="s">
        <v>16</v>
      </c>
      <c r="C864" s="2" t="s">
        <v>8</v>
      </c>
      <c r="D864" s="2" t="s">
        <v>1204</v>
      </c>
      <c r="E864" s="2" t="s">
        <v>1205</v>
      </c>
      <c r="F864" s="2" t="s">
        <v>1313</v>
      </c>
      <c r="G864" s="2" t="s">
        <v>1240</v>
      </c>
      <c r="H864" s="10">
        <f>WORKDAY(G864,125,'[1]Feriados y Materias'!$B$21:$B$61)</f>
        <v>46168</v>
      </c>
      <c r="I864" s="2" t="s">
        <v>791</v>
      </c>
      <c r="J864" s="2" t="s">
        <v>1187</v>
      </c>
      <c r="K864" s="2" t="s">
        <v>1159</v>
      </c>
    </row>
    <row r="865" spans="1:11" x14ac:dyDescent="0.35">
      <c r="A865">
        <v>138</v>
      </c>
      <c r="B865" s="64" t="s">
        <v>16</v>
      </c>
      <c r="C865" s="2" t="s">
        <v>8</v>
      </c>
      <c r="D865" s="2" t="s">
        <v>1204</v>
      </c>
      <c r="E865" s="2" t="s">
        <v>1205</v>
      </c>
      <c r="F865" s="2" t="s">
        <v>1314</v>
      </c>
      <c r="G865" s="2" t="s">
        <v>1240</v>
      </c>
      <c r="H865" s="10">
        <f>WORKDAY(G865,125,'[1]Feriados y Materias'!$B$21:$B$61)</f>
        <v>46168</v>
      </c>
      <c r="I865" s="2" t="s">
        <v>791</v>
      </c>
      <c r="J865" s="2" t="s">
        <v>1187</v>
      </c>
      <c r="K865" s="2" t="s">
        <v>1159</v>
      </c>
    </row>
    <row r="866" spans="1:11" x14ac:dyDescent="0.35">
      <c r="A866">
        <v>139</v>
      </c>
      <c r="B866" s="64" t="s">
        <v>16</v>
      </c>
      <c r="C866" s="2" t="s">
        <v>8</v>
      </c>
      <c r="D866" s="2" t="s">
        <v>1204</v>
      </c>
      <c r="E866" s="2" t="s">
        <v>1205</v>
      </c>
      <c r="F866" s="2" t="s">
        <v>1315</v>
      </c>
      <c r="G866" s="2" t="s">
        <v>1240</v>
      </c>
      <c r="H866" s="10">
        <f>WORKDAY(G866,125,'[1]Feriados y Materias'!$B$21:$B$61)</f>
        <v>46168</v>
      </c>
      <c r="I866" s="2" t="s">
        <v>791</v>
      </c>
      <c r="J866" s="2" t="s">
        <v>1187</v>
      </c>
      <c r="K866" s="2" t="s">
        <v>1159</v>
      </c>
    </row>
    <row r="867" spans="1:11" x14ac:dyDescent="0.35">
      <c r="A867">
        <v>140</v>
      </c>
      <c r="B867" s="64" t="s">
        <v>16</v>
      </c>
      <c r="C867" s="2" t="s">
        <v>8</v>
      </c>
      <c r="D867" s="2" t="s">
        <v>1204</v>
      </c>
      <c r="E867" s="2" t="s">
        <v>1205</v>
      </c>
      <c r="F867" s="2" t="s">
        <v>1316</v>
      </c>
      <c r="G867" s="2" t="s">
        <v>1240</v>
      </c>
      <c r="H867" s="10">
        <f>WORKDAY(G867,125,'[1]Feriados y Materias'!$B$21:$B$61)</f>
        <v>46168</v>
      </c>
      <c r="I867" s="2" t="s">
        <v>791</v>
      </c>
      <c r="J867" s="2" t="s">
        <v>1187</v>
      </c>
      <c r="K867" s="2" t="s">
        <v>1159</v>
      </c>
    </row>
    <row r="868" spans="1:11" x14ac:dyDescent="0.35">
      <c r="A868">
        <v>141</v>
      </c>
      <c r="B868" s="64" t="s">
        <v>16</v>
      </c>
      <c r="C868" s="2" t="s">
        <v>8</v>
      </c>
      <c r="D868" s="2" t="s">
        <v>1204</v>
      </c>
      <c r="E868" s="2" t="s">
        <v>1205</v>
      </c>
      <c r="F868" s="2" t="s">
        <v>1317</v>
      </c>
      <c r="G868" s="2" t="s">
        <v>1240</v>
      </c>
      <c r="H868" s="10">
        <f>WORKDAY(G868,125,'[1]Feriados y Materias'!$B$21:$B$61)</f>
        <v>46168</v>
      </c>
      <c r="I868" s="2" t="s">
        <v>791</v>
      </c>
      <c r="J868" s="2" t="s">
        <v>1187</v>
      </c>
      <c r="K868" s="2" t="s">
        <v>1159</v>
      </c>
    </row>
    <row r="869" spans="1:11" x14ac:dyDescent="0.35">
      <c r="A869">
        <v>142</v>
      </c>
      <c r="B869" s="64" t="s">
        <v>16</v>
      </c>
      <c r="C869" s="2" t="s">
        <v>8</v>
      </c>
      <c r="D869" s="2" t="s">
        <v>1204</v>
      </c>
      <c r="E869" s="2" t="s">
        <v>1205</v>
      </c>
      <c r="F869" s="2" t="s">
        <v>1318</v>
      </c>
      <c r="G869" s="2" t="s">
        <v>1240</v>
      </c>
      <c r="H869" s="10">
        <f>WORKDAY(G869,125,'[1]Feriados y Materias'!$B$21:$B$61)</f>
        <v>46168</v>
      </c>
      <c r="I869" s="2" t="s">
        <v>791</v>
      </c>
      <c r="J869" s="2" t="s">
        <v>1187</v>
      </c>
      <c r="K869" s="2" t="s">
        <v>1159</v>
      </c>
    </row>
    <row r="870" spans="1:11" x14ac:dyDescent="0.35">
      <c r="A870">
        <v>143</v>
      </c>
      <c r="B870" s="64" t="s">
        <v>16</v>
      </c>
      <c r="C870" s="2" t="s">
        <v>8</v>
      </c>
      <c r="D870" s="2" t="s">
        <v>1204</v>
      </c>
      <c r="E870" s="2" t="s">
        <v>1205</v>
      </c>
      <c r="F870" s="2" t="s">
        <v>1319</v>
      </c>
      <c r="G870" s="2" t="s">
        <v>1240</v>
      </c>
      <c r="H870" s="10">
        <f>WORKDAY(G870,125,'[1]Feriados y Materias'!$B$21:$B$61)</f>
        <v>46168</v>
      </c>
      <c r="I870" s="2" t="s">
        <v>791</v>
      </c>
      <c r="J870" s="2" t="s">
        <v>1187</v>
      </c>
      <c r="K870" s="2" t="s">
        <v>1159</v>
      </c>
    </row>
    <row r="871" spans="1:11" x14ac:dyDescent="0.35">
      <c r="A871">
        <v>144</v>
      </c>
      <c r="B871" s="64" t="s">
        <v>16</v>
      </c>
      <c r="C871" s="2" t="s">
        <v>8</v>
      </c>
      <c r="D871" s="2" t="s">
        <v>1204</v>
      </c>
      <c r="E871" s="2" t="s">
        <v>1205</v>
      </c>
      <c r="F871" s="2" t="s">
        <v>1320</v>
      </c>
      <c r="G871" s="2" t="s">
        <v>1240</v>
      </c>
      <c r="H871" s="10">
        <f>WORKDAY(G871,125,'[1]Feriados y Materias'!$B$21:$B$61)</f>
        <v>46168</v>
      </c>
      <c r="I871" s="2" t="s">
        <v>791</v>
      </c>
      <c r="J871" s="2" t="s">
        <v>1187</v>
      </c>
      <c r="K871" s="2" t="s">
        <v>1159</v>
      </c>
    </row>
    <row r="872" spans="1:11" x14ac:dyDescent="0.35">
      <c r="A872">
        <v>145</v>
      </c>
      <c r="B872" s="64" t="s">
        <v>16</v>
      </c>
      <c r="C872" s="2" t="s">
        <v>8</v>
      </c>
      <c r="D872" s="2" t="s">
        <v>1204</v>
      </c>
      <c r="E872" s="2" t="s">
        <v>1205</v>
      </c>
      <c r="F872" s="2" t="s">
        <v>1321</v>
      </c>
      <c r="G872" s="2" t="s">
        <v>1240</v>
      </c>
      <c r="H872" s="10">
        <f>WORKDAY(G872,125,'[1]Feriados y Materias'!$B$21:$B$61)</f>
        <v>46168</v>
      </c>
      <c r="I872" s="2" t="s">
        <v>791</v>
      </c>
      <c r="J872" s="2" t="s">
        <v>1187</v>
      </c>
      <c r="K872" s="2" t="s">
        <v>1159</v>
      </c>
    </row>
    <row r="873" spans="1:11" x14ac:dyDescent="0.35">
      <c r="A873">
        <v>146</v>
      </c>
      <c r="B873" s="64" t="s">
        <v>16</v>
      </c>
      <c r="C873" s="2" t="s">
        <v>8</v>
      </c>
      <c r="D873" s="2" t="s">
        <v>1204</v>
      </c>
      <c r="E873" s="2" t="s">
        <v>1205</v>
      </c>
      <c r="F873" s="2" t="s">
        <v>1322</v>
      </c>
      <c r="G873" s="2" t="s">
        <v>1240</v>
      </c>
      <c r="H873" s="10">
        <f>WORKDAY(G873,125,'[1]Feriados y Materias'!$B$21:$B$61)</f>
        <v>46168</v>
      </c>
      <c r="I873" s="2" t="s">
        <v>791</v>
      </c>
      <c r="J873" s="2" t="s">
        <v>1187</v>
      </c>
      <c r="K873" s="2" t="s">
        <v>1159</v>
      </c>
    </row>
    <row r="874" spans="1:11" x14ac:dyDescent="0.35">
      <c r="A874">
        <v>147</v>
      </c>
      <c r="B874" s="64" t="s">
        <v>16</v>
      </c>
      <c r="C874" s="2" t="s">
        <v>8</v>
      </c>
      <c r="D874" s="2" t="s">
        <v>1204</v>
      </c>
      <c r="E874" s="2" t="s">
        <v>1205</v>
      </c>
      <c r="F874" s="2" t="s">
        <v>1323</v>
      </c>
      <c r="G874" s="2" t="s">
        <v>1240</v>
      </c>
      <c r="H874" s="10">
        <f>WORKDAY(G874,125,'[1]Feriados y Materias'!$B$21:$B$61)</f>
        <v>46168</v>
      </c>
      <c r="I874" s="2" t="s">
        <v>791</v>
      </c>
      <c r="J874" s="2" t="s">
        <v>1187</v>
      </c>
      <c r="K874" s="2" t="s">
        <v>1159</v>
      </c>
    </row>
    <row r="875" spans="1:11" x14ac:dyDescent="0.35">
      <c r="A875">
        <v>148</v>
      </c>
      <c r="B875" s="64" t="s">
        <v>16</v>
      </c>
      <c r="C875" s="2" t="s">
        <v>8</v>
      </c>
      <c r="D875" s="2" t="s">
        <v>1204</v>
      </c>
      <c r="E875" s="2" t="s">
        <v>1205</v>
      </c>
      <c r="F875" s="2" t="s">
        <v>1324</v>
      </c>
      <c r="G875" s="2" t="s">
        <v>1240</v>
      </c>
      <c r="H875" s="10">
        <f>WORKDAY(G875,125,'[1]Feriados y Materias'!$B$21:$B$61)</f>
        <v>46168</v>
      </c>
      <c r="I875" s="2" t="s">
        <v>791</v>
      </c>
      <c r="J875" s="2" t="s">
        <v>1187</v>
      </c>
      <c r="K875" s="2" t="s">
        <v>1159</v>
      </c>
    </row>
    <row r="876" spans="1:11" x14ac:dyDescent="0.35">
      <c r="A876">
        <v>149</v>
      </c>
      <c r="B876" s="64" t="s">
        <v>16</v>
      </c>
      <c r="C876" s="2" t="s">
        <v>8</v>
      </c>
      <c r="D876" s="2" t="s">
        <v>1204</v>
      </c>
      <c r="E876" s="2" t="s">
        <v>1205</v>
      </c>
      <c r="F876" s="2" t="s">
        <v>1325</v>
      </c>
      <c r="G876" s="2" t="s">
        <v>1240</v>
      </c>
      <c r="H876" s="10">
        <f>WORKDAY(G876,125,'[1]Feriados y Materias'!$B$21:$B$61)</f>
        <v>46168</v>
      </c>
      <c r="I876" s="2" t="s">
        <v>791</v>
      </c>
      <c r="J876" s="2" t="s">
        <v>1187</v>
      </c>
      <c r="K876" s="2" t="s">
        <v>1159</v>
      </c>
    </row>
    <row r="877" spans="1:11" x14ac:dyDescent="0.35">
      <c r="A877">
        <v>150</v>
      </c>
      <c r="B877" s="64" t="s">
        <v>16</v>
      </c>
      <c r="C877" s="2" t="s">
        <v>8</v>
      </c>
      <c r="D877" s="2" t="s">
        <v>1204</v>
      </c>
      <c r="E877" s="2" t="s">
        <v>1205</v>
      </c>
      <c r="F877" s="2" t="s">
        <v>1326</v>
      </c>
      <c r="G877" s="2" t="s">
        <v>1240</v>
      </c>
      <c r="H877" s="10">
        <f>WORKDAY(G877,125,'[1]Feriados y Materias'!$B$21:$B$61)</f>
        <v>46168</v>
      </c>
      <c r="I877" s="2" t="s">
        <v>791</v>
      </c>
      <c r="J877" s="2" t="s">
        <v>1187</v>
      </c>
      <c r="K877" s="2" t="s">
        <v>1159</v>
      </c>
    </row>
    <row r="878" spans="1:11" x14ac:dyDescent="0.35">
      <c r="A878">
        <v>151</v>
      </c>
      <c r="B878" s="64" t="s">
        <v>16</v>
      </c>
      <c r="C878" s="2" t="s">
        <v>8</v>
      </c>
      <c r="D878" s="2" t="s">
        <v>1204</v>
      </c>
      <c r="E878" s="2" t="s">
        <v>1205</v>
      </c>
      <c r="F878" s="2" t="s">
        <v>1327</v>
      </c>
      <c r="G878" s="2" t="s">
        <v>1240</v>
      </c>
      <c r="H878" s="10">
        <f>WORKDAY(G878,125,'[1]Feriados y Materias'!$B$21:$B$61)</f>
        <v>46168</v>
      </c>
      <c r="I878" s="2" t="s">
        <v>791</v>
      </c>
      <c r="J878" s="2" t="s">
        <v>1187</v>
      </c>
      <c r="K878" s="2" t="s">
        <v>1159</v>
      </c>
    </row>
    <row r="879" spans="1:11" x14ac:dyDescent="0.35">
      <c r="A879">
        <v>152</v>
      </c>
      <c r="B879" s="64" t="s">
        <v>16</v>
      </c>
      <c r="C879" s="2" t="s">
        <v>8</v>
      </c>
      <c r="D879" s="2" t="s">
        <v>1204</v>
      </c>
      <c r="E879" s="2" t="s">
        <v>1205</v>
      </c>
      <c r="F879" s="2" t="s">
        <v>1328</v>
      </c>
      <c r="G879" s="2" t="s">
        <v>1240</v>
      </c>
      <c r="H879" s="10">
        <f>WORKDAY(G879,125,'[1]Feriados y Materias'!$B$21:$B$61)</f>
        <v>46168</v>
      </c>
      <c r="I879" s="2" t="s">
        <v>791</v>
      </c>
      <c r="J879" s="2" t="s">
        <v>1187</v>
      </c>
      <c r="K879" s="2" t="s">
        <v>1159</v>
      </c>
    </row>
    <row r="880" spans="1:11" x14ac:dyDescent="0.35">
      <c r="A880">
        <v>153</v>
      </c>
      <c r="B880" s="64" t="s">
        <v>16</v>
      </c>
      <c r="C880" s="2" t="s">
        <v>8</v>
      </c>
      <c r="D880" s="2" t="s">
        <v>1204</v>
      </c>
      <c r="E880" s="2" t="s">
        <v>1205</v>
      </c>
      <c r="F880" s="2" t="s">
        <v>1329</v>
      </c>
      <c r="G880" s="2" t="s">
        <v>1240</v>
      </c>
      <c r="H880" s="10">
        <f>WORKDAY(G880,125,'[1]Feriados y Materias'!$B$21:$B$61)</f>
        <v>46168</v>
      </c>
      <c r="I880" s="2" t="s">
        <v>791</v>
      </c>
      <c r="J880" s="2" t="s">
        <v>1187</v>
      </c>
      <c r="K880" s="2" t="s">
        <v>1159</v>
      </c>
    </row>
    <row r="881" spans="1:11" x14ac:dyDescent="0.35">
      <c r="A881">
        <v>154</v>
      </c>
      <c r="B881" s="64" t="s">
        <v>16</v>
      </c>
      <c r="C881" s="2" t="s">
        <v>8</v>
      </c>
      <c r="D881" s="2" t="s">
        <v>1204</v>
      </c>
      <c r="E881" s="2" t="s">
        <v>1205</v>
      </c>
      <c r="F881" s="2" t="s">
        <v>1330</v>
      </c>
      <c r="G881" s="2" t="s">
        <v>1240</v>
      </c>
      <c r="H881" s="10">
        <f>WORKDAY(G881,125,'[1]Feriados y Materias'!$B$21:$B$61)</f>
        <v>46168</v>
      </c>
      <c r="I881" s="2" t="s">
        <v>791</v>
      </c>
      <c r="J881" s="2" t="s">
        <v>1187</v>
      </c>
      <c r="K881" s="2" t="s">
        <v>1159</v>
      </c>
    </row>
    <row r="882" spans="1:11" x14ac:dyDescent="0.35">
      <c r="A882">
        <v>155</v>
      </c>
      <c r="B882" s="64" t="s">
        <v>16</v>
      </c>
      <c r="C882" s="2" t="s">
        <v>8</v>
      </c>
      <c r="D882" s="2" t="s">
        <v>1204</v>
      </c>
      <c r="E882" s="2" t="s">
        <v>1205</v>
      </c>
      <c r="F882" s="2" t="s">
        <v>1331</v>
      </c>
      <c r="G882" s="2" t="s">
        <v>1240</v>
      </c>
      <c r="H882" s="10">
        <f>WORKDAY(G882,125,'[1]Feriados y Materias'!$B$21:$B$61)</f>
        <v>46168</v>
      </c>
      <c r="I882" s="2" t="s">
        <v>791</v>
      </c>
      <c r="J882" s="2" t="s">
        <v>1187</v>
      </c>
      <c r="K882" s="2" t="s">
        <v>1159</v>
      </c>
    </row>
    <row r="883" spans="1:11" x14ac:dyDescent="0.35">
      <c r="A883">
        <v>156</v>
      </c>
      <c r="B883" s="64" t="s">
        <v>16</v>
      </c>
      <c r="C883" s="2" t="s">
        <v>8</v>
      </c>
      <c r="D883" s="2" t="s">
        <v>1204</v>
      </c>
      <c r="E883" s="2" t="s">
        <v>1205</v>
      </c>
      <c r="F883" s="2" t="s">
        <v>1332</v>
      </c>
      <c r="G883" s="2" t="s">
        <v>1240</v>
      </c>
      <c r="H883" s="10">
        <f>WORKDAY(G883,125,'[1]Feriados y Materias'!$B$21:$B$61)</f>
        <v>46168</v>
      </c>
      <c r="I883" s="2" t="s">
        <v>791</v>
      </c>
      <c r="J883" s="2" t="s">
        <v>1187</v>
      </c>
      <c r="K883" s="2" t="s">
        <v>1159</v>
      </c>
    </row>
    <row r="884" spans="1:11" x14ac:dyDescent="0.35">
      <c r="A884">
        <v>157</v>
      </c>
      <c r="B884" s="64" t="s">
        <v>16</v>
      </c>
      <c r="C884" s="2" t="s">
        <v>8</v>
      </c>
      <c r="D884" s="2" t="s">
        <v>1204</v>
      </c>
      <c r="E884" s="2" t="s">
        <v>1205</v>
      </c>
      <c r="F884" s="2" t="s">
        <v>1333</v>
      </c>
      <c r="G884" s="2" t="s">
        <v>1240</v>
      </c>
      <c r="H884" s="10">
        <f>WORKDAY(G884,125,'[1]Feriados y Materias'!$B$21:$B$61)</f>
        <v>46168</v>
      </c>
      <c r="I884" s="2" t="s">
        <v>791</v>
      </c>
      <c r="J884" s="2" t="s">
        <v>1187</v>
      </c>
      <c r="K884" s="2" t="s">
        <v>1159</v>
      </c>
    </row>
    <row r="885" spans="1:11" x14ac:dyDescent="0.35">
      <c r="A885">
        <v>158</v>
      </c>
      <c r="B885" s="64" t="s">
        <v>16</v>
      </c>
      <c r="C885" s="2" t="s">
        <v>8</v>
      </c>
      <c r="D885" s="2" t="s">
        <v>1204</v>
      </c>
      <c r="E885" s="2" t="s">
        <v>1205</v>
      </c>
      <c r="F885" s="2" t="s">
        <v>1334</v>
      </c>
      <c r="G885" s="2" t="s">
        <v>1240</v>
      </c>
      <c r="H885" s="10">
        <f>WORKDAY(G885,125,'[1]Feriados y Materias'!$B$21:$B$61)</f>
        <v>46168</v>
      </c>
      <c r="I885" s="2" t="s">
        <v>791</v>
      </c>
      <c r="J885" s="2" t="s">
        <v>1187</v>
      </c>
      <c r="K885" s="2" t="s">
        <v>1159</v>
      </c>
    </row>
    <row r="886" spans="1:11" x14ac:dyDescent="0.35">
      <c r="A886">
        <v>159</v>
      </c>
      <c r="B886" s="64" t="s">
        <v>16</v>
      </c>
      <c r="C886" s="2" t="s">
        <v>8</v>
      </c>
      <c r="D886" s="2" t="s">
        <v>1204</v>
      </c>
      <c r="E886" s="2" t="s">
        <v>1205</v>
      </c>
      <c r="F886" s="2" t="s">
        <v>1335</v>
      </c>
      <c r="G886" s="2" t="s">
        <v>1240</v>
      </c>
      <c r="H886" s="10">
        <f>WORKDAY(G886,125,'[1]Feriados y Materias'!$B$21:$B$61)</f>
        <v>46168</v>
      </c>
      <c r="I886" s="2" t="s">
        <v>791</v>
      </c>
      <c r="J886" s="2" t="s">
        <v>1187</v>
      </c>
      <c r="K886" s="2" t="s">
        <v>1159</v>
      </c>
    </row>
    <row r="887" spans="1:11" x14ac:dyDescent="0.35">
      <c r="A887">
        <v>160</v>
      </c>
      <c r="B887" s="64" t="s">
        <v>16</v>
      </c>
      <c r="C887" s="2" t="s">
        <v>8</v>
      </c>
      <c r="D887" s="2" t="s">
        <v>1204</v>
      </c>
      <c r="E887" s="2" t="s">
        <v>1205</v>
      </c>
      <c r="F887" s="2" t="s">
        <v>1336</v>
      </c>
      <c r="G887" s="2" t="s">
        <v>1240</v>
      </c>
      <c r="H887" s="10">
        <f>WORKDAY(G887,125,'[1]Feriados y Materias'!$B$21:$B$61)</f>
        <v>46168</v>
      </c>
      <c r="I887" s="2" t="s">
        <v>791</v>
      </c>
      <c r="J887" s="2" t="s">
        <v>1187</v>
      </c>
      <c r="K887" s="2" t="s">
        <v>1159</v>
      </c>
    </row>
    <row r="888" spans="1:11" x14ac:dyDescent="0.35">
      <c r="A888">
        <v>161</v>
      </c>
      <c r="B888" s="64" t="s">
        <v>16</v>
      </c>
      <c r="C888" s="2" t="s">
        <v>8</v>
      </c>
      <c r="D888" s="2" t="s">
        <v>1204</v>
      </c>
      <c r="E888" s="2" t="s">
        <v>1205</v>
      </c>
      <c r="F888" s="2" t="s">
        <v>1337</v>
      </c>
      <c r="G888" s="2" t="s">
        <v>1240</v>
      </c>
      <c r="H888" s="10">
        <f>WORKDAY(G888,125,'[1]Feriados y Materias'!$B$21:$B$61)</f>
        <v>46168</v>
      </c>
      <c r="I888" s="2" t="s">
        <v>791</v>
      </c>
      <c r="J888" s="2" t="s">
        <v>1187</v>
      </c>
      <c r="K888" s="2" t="s">
        <v>1159</v>
      </c>
    </row>
    <row r="889" spans="1:11" x14ac:dyDescent="0.35">
      <c r="A889">
        <v>162</v>
      </c>
      <c r="B889" s="64" t="s">
        <v>16</v>
      </c>
      <c r="C889" s="2" t="s">
        <v>8</v>
      </c>
      <c r="D889" s="2" t="s">
        <v>1204</v>
      </c>
      <c r="E889" s="2" t="s">
        <v>1205</v>
      </c>
      <c r="F889" s="2" t="s">
        <v>1338</v>
      </c>
      <c r="G889" s="2" t="s">
        <v>1240</v>
      </c>
      <c r="H889" s="10">
        <f>WORKDAY(G889,125,'[1]Feriados y Materias'!$B$21:$B$61)</f>
        <v>46168</v>
      </c>
      <c r="I889" s="2" t="s">
        <v>791</v>
      </c>
      <c r="J889" s="2" t="s">
        <v>1187</v>
      </c>
      <c r="K889" s="2" t="s">
        <v>1159</v>
      </c>
    </row>
    <row r="890" spans="1:11" x14ac:dyDescent="0.35">
      <c r="A890">
        <v>163</v>
      </c>
      <c r="B890" s="64" t="s">
        <v>16</v>
      </c>
      <c r="C890" s="2" t="s">
        <v>8</v>
      </c>
      <c r="D890" s="2" t="s">
        <v>1204</v>
      </c>
      <c r="E890" s="2" t="s">
        <v>1205</v>
      </c>
      <c r="F890" s="2" t="s">
        <v>1339</v>
      </c>
      <c r="G890" s="2" t="s">
        <v>1240</v>
      </c>
      <c r="H890" s="10">
        <f>WORKDAY(G890,125,'[1]Feriados y Materias'!$B$21:$B$61)</f>
        <v>46168</v>
      </c>
      <c r="I890" s="2" t="s">
        <v>791</v>
      </c>
      <c r="J890" s="2" t="s">
        <v>1187</v>
      </c>
      <c r="K890" s="2" t="s">
        <v>1159</v>
      </c>
    </row>
    <row r="891" spans="1:11" x14ac:dyDescent="0.35">
      <c r="A891">
        <v>164</v>
      </c>
      <c r="B891" s="64" t="s">
        <v>16</v>
      </c>
      <c r="C891" s="2" t="s">
        <v>8</v>
      </c>
      <c r="D891" s="2" t="s">
        <v>1204</v>
      </c>
      <c r="E891" s="2" t="s">
        <v>1205</v>
      </c>
      <c r="F891" s="2" t="s">
        <v>1340</v>
      </c>
      <c r="G891" s="2" t="s">
        <v>1240</v>
      </c>
      <c r="H891" s="10">
        <f>WORKDAY(G891,125,'[1]Feriados y Materias'!$B$21:$B$61)</f>
        <v>46168</v>
      </c>
      <c r="I891" s="2" t="s">
        <v>791</v>
      </c>
      <c r="J891" s="2" t="s">
        <v>1187</v>
      </c>
      <c r="K891" s="2" t="s">
        <v>1159</v>
      </c>
    </row>
    <row r="892" spans="1:11" x14ac:dyDescent="0.35">
      <c r="A892">
        <v>165</v>
      </c>
      <c r="B892" s="64" t="s">
        <v>16</v>
      </c>
      <c r="C892" s="2" t="s">
        <v>8</v>
      </c>
      <c r="D892" s="2" t="s">
        <v>1204</v>
      </c>
      <c r="E892" s="2" t="s">
        <v>1205</v>
      </c>
      <c r="F892" s="2" t="s">
        <v>1341</v>
      </c>
      <c r="G892" s="2" t="s">
        <v>1240</v>
      </c>
      <c r="H892" s="10">
        <f>WORKDAY(G892,125,'[1]Feriados y Materias'!$B$21:$B$61)</f>
        <v>46168</v>
      </c>
      <c r="I892" s="2" t="s">
        <v>791</v>
      </c>
      <c r="J892" s="2" t="s">
        <v>1187</v>
      </c>
      <c r="K892" s="2" t="s">
        <v>1159</v>
      </c>
    </row>
    <row r="893" spans="1:11" x14ac:dyDescent="0.35">
      <c r="A893">
        <v>166</v>
      </c>
      <c r="B893" s="64" t="s">
        <v>16</v>
      </c>
      <c r="C893" s="2" t="s">
        <v>8</v>
      </c>
      <c r="D893" s="2" t="s">
        <v>1204</v>
      </c>
      <c r="E893" s="2" t="s">
        <v>1205</v>
      </c>
      <c r="F893" s="2" t="s">
        <v>1342</v>
      </c>
      <c r="G893" s="2" t="s">
        <v>1240</v>
      </c>
      <c r="H893" s="10">
        <f>WORKDAY(G893,125,'[1]Feriados y Materias'!$B$21:$B$61)</f>
        <v>46168</v>
      </c>
      <c r="I893" s="2" t="s">
        <v>791</v>
      </c>
      <c r="J893" s="2" t="s">
        <v>1187</v>
      </c>
      <c r="K893" s="2" t="s">
        <v>1159</v>
      </c>
    </row>
    <row r="894" spans="1:11" x14ac:dyDescent="0.35">
      <c r="A894">
        <v>167</v>
      </c>
      <c r="B894" s="64" t="s">
        <v>16</v>
      </c>
      <c r="C894" s="2" t="s">
        <v>8</v>
      </c>
      <c r="D894" s="2" t="s">
        <v>1204</v>
      </c>
      <c r="E894" s="2" t="s">
        <v>1205</v>
      </c>
      <c r="F894" s="2" t="s">
        <v>1343</v>
      </c>
      <c r="G894" s="2" t="s">
        <v>1240</v>
      </c>
      <c r="H894" s="10">
        <f>WORKDAY(G894,125,'[1]Feriados y Materias'!$B$21:$B$61)</f>
        <v>46168</v>
      </c>
      <c r="I894" s="2" t="s">
        <v>791</v>
      </c>
      <c r="J894" s="2" t="s">
        <v>1187</v>
      </c>
      <c r="K894" s="2" t="s">
        <v>1159</v>
      </c>
    </row>
    <row r="895" spans="1:11" x14ac:dyDescent="0.35">
      <c r="A895">
        <v>168</v>
      </c>
      <c r="B895" s="64" t="s">
        <v>16</v>
      </c>
      <c r="C895" s="2" t="s">
        <v>8</v>
      </c>
      <c r="D895" s="2" t="s">
        <v>1204</v>
      </c>
      <c r="E895" s="2" t="s">
        <v>1205</v>
      </c>
      <c r="F895" s="2" t="s">
        <v>1344</v>
      </c>
      <c r="G895" s="2" t="s">
        <v>1240</v>
      </c>
      <c r="H895" s="10">
        <f>WORKDAY(G895,125,'[1]Feriados y Materias'!$B$21:$B$61)</f>
        <v>46168</v>
      </c>
      <c r="I895" s="2" t="s">
        <v>791</v>
      </c>
      <c r="J895" s="2" t="s">
        <v>1187</v>
      </c>
      <c r="K895" s="2" t="s">
        <v>1159</v>
      </c>
    </row>
    <row r="896" spans="1:11" x14ac:dyDescent="0.35">
      <c r="A896">
        <v>169</v>
      </c>
      <c r="B896" s="64" t="s">
        <v>16</v>
      </c>
      <c r="C896" s="2" t="s">
        <v>8</v>
      </c>
      <c r="D896" s="2" t="s">
        <v>1204</v>
      </c>
      <c r="E896" s="2" t="s">
        <v>1205</v>
      </c>
      <c r="F896" s="2" t="s">
        <v>1345</v>
      </c>
      <c r="G896" s="2" t="s">
        <v>1240</v>
      </c>
      <c r="H896" s="10">
        <f>WORKDAY(G896,125,'[1]Feriados y Materias'!$B$21:$B$61)</f>
        <v>46168</v>
      </c>
      <c r="I896" s="2" t="s">
        <v>791</v>
      </c>
      <c r="J896" s="2" t="s">
        <v>1187</v>
      </c>
      <c r="K896" s="2" t="s">
        <v>1159</v>
      </c>
    </row>
    <row r="897" spans="1:11" x14ac:dyDescent="0.35">
      <c r="A897">
        <v>170</v>
      </c>
      <c r="B897" s="64" t="s">
        <v>16</v>
      </c>
      <c r="C897" s="2" t="s">
        <v>8</v>
      </c>
      <c r="D897" s="2" t="s">
        <v>1204</v>
      </c>
      <c r="E897" s="2" t="s">
        <v>1205</v>
      </c>
      <c r="F897" s="2" t="s">
        <v>1346</v>
      </c>
      <c r="G897" s="2" t="s">
        <v>1240</v>
      </c>
      <c r="H897" s="10">
        <f>WORKDAY(G897,125,'[1]Feriados y Materias'!$B$21:$B$61)</f>
        <v>46168</v>
      </c>
      <c r="I897" s="2" t="s">
        <v>791</v>
      </c>
      <c r="J897" s="2" t="s">
        <v>1187</v>
      </c>
      <c r="K897" s="2" t="s">
        <v>1159</v>
      </c>
    </row>
    <row r="898" spans="1:11" x14ac:dyDescent="0.35">
      <c r="A898">
        <v>171</v>
      </c>
      <c r="B898" s="64" t="s">
        <v>16</v>
      </c>
      <c r="C898" s="2" t="s">
        <v>8</v>
      </c>
      <c r="D898" s="2" t="s">
        <v>1204</v>
      </c>
      <c r="E898" s="2" t="s">
        <v>1205</v>
      </c>
      <c r="F898" s="2" t="s">
        <v>1347</v>
      </c>
      <c r="G898" s="2" t="s">
        <v>1240</v>
      </c>
      <c r="H898" s="10">
        <f>WORKDAY(G898,125,'[1]Feriados y Materias'!$B$21:$B$61)</f>
        <v>46168</v>
      </c>
      <c r="I898" s="2" t="s">
        <v>791</v>
      </c>
      <c r="J898" s="2" t="s">
        <v>1187</v>
      </c>
      <c r="K898" s="2" t="s">
        <v>1159</v>
      </c>
    </row>
    <row r="899" spans="1:11" x14ac:dyDescent="0.35">
      <c r="A899">
        <v>172</v>
      </c>
      <c r="B899" s="64" t="s">
        <v>16</v>
      </c>
      <c r="C899" s="2" t="s">
        <v>8</v>
      </c>
      <c r="D899" s="2" t="s">
        <v>1204</v>
      </c>
      <c r="E899" s="2" t="s">
        <v>1205</v>
      </c>
      <c r="F899" s="2" t="s">
        <v>1348</v>
      </c>
      <c r="G899" s="2" t="s">
        <v>1240</v>
      </c>
      <c r="H899" s="10">
        <f>WORKDAY(G899,125,'[1]Feriados y Materias'!$B$21:$B$61)</f>
        <v>46168</v>
      </c>
      <c r="I899" s="2" t="s">
        <v>791</v>
      </c>
      <c r="J899" s="2" t="s">
        <v>1187</v>
      </c>
      <c r="K899" s="2" t="s">
        <v>1159</v>
      </c>
    </row>
    <row r="900" spans="1:11" x14ac:dyDescent="0.35">
      <c r="A900">
        <v>173</v>
      </c>
      <c r="B900" s="64" t="s">
        <v>16</v>
      </c>
      <c r="C900" s="2" t="s">
        <v>8</v>
      </c>
      <c r="D900" s="2" t="s">
        <v>1204</v>
      </c>
      <c r="E900" s="2" t="s">
        <v>1205</v>
      </c>
      <c r="F900" s="2" t="s">
        <v>1349</v>
      </c>
      <c r="G900" s="2" t="s">
        <v>1240</v>
      </c>
      <c r="H900" s="10">
        <f>WORKDAY(G900,125,'[1]Feriados y Materias'!$B$21:$B$61)</f>
        <v>46168</v>
      </c>
      <c r="I900" s="2" t="s">
        <v>791</v>
      </c>
      <c r="J900" s="2" t="s">
        <v>1187</v>
      </c>
      <c r="K900" s="2" t="s">
        <v>1159</v>
      </c>
    </row>
    <row r="901" spans="1:11" x14ac:dyDescent="0.35">
      <c r="A901">
        <v>174</v>
      </c>
      <c r="B901" s="64" t="s">
        <v>16</v>
      </c>
      <c r="C901" s="2" t="s">
        <v>8</v>
      </c>
      <c r="D901" s="2" t="s">
        <v>1204</v>
      </c>
      <c r="E901" s="2" t="s">
        <v>1205</v>
      </c>
      <c r="F901" s="2" t="s">
        <v>1350</v>
      </c>
      <c r="G901" s="2" t="s">
        <v>1240</v>
      </c>
      <c r="H901" s="10">
        <f>WORKDAY(G901,125,'[1]Feriados y Materias'!$B$21:$B$61)</f>
        <v>46168</v>
      </c>
      <c r="I901" s="2" t="s">
        <v>791</v>
      </c>
      <c r="J901" s="2" t="s">
        <v>1187</v>
      </c>
      <c r="K901" s="2" t="s">
        <v>1159</v>
      </c>
    </row>
    <row r="902" spans="1:11" x14ac:dyDescent="0.35">
      <c r="A902">
        <v>175</v>
      </c>
      <c r="B902" s="64" t="s">
        <v>16</v>
      </c>
      <c r="C902" s="2" t="s">
        <v>8</v>
      </c>
      <c r="D902" s="2" t="s">
        <v>1204</v>
      </c>
      <c r="E902" s="2" t="s">
        <v>1205</v>
      </c>
      <c r="F902" s="2" t="s">
        <v>1351</v>
      </c>
      <c r="G902" s="2" t="s">
        <v>1240</v>
      </c>
      <c r="H902" s="10">
        <f>WORKDAY(G902,125,'[1]Feriados y Materias'!$B$21:$B$61)</f>
        <v>46168</v>
      </c>
      <c r="I902" s="2" t="s">
        <v>791</v>
      </c>
      <c r="J902" s="2" t="s">
        <v>1187</v>
      </c>
      <c r="K902" s="2" t="s">
        <v>1159</v>
      </c>
    </row>
    <row r="903" spans="1:11" x14ac:dyDescent="0.35">
      <c r="A903">
        <v>176</v>
      </c>
      <c r="B903" s="64" t="s">
        <v>16</v>
      </c>
      <c r="C903" s="2" t="s">
        <v>8</v>
      </c>
      <c r="D903" s="2" t="s">
        <v>1204</v>
      </c>
      <c r="E903" s="2" t="s">
        <v>1205</v>
      </c>
      <c r="F903" s="2" t="s">
        <v>1352</v>
      </c>
      <c r="G903" s="2" t="s">
        <v>1240</v>
      </c>
      <c r="H903" s="10">
        <f>WORKDAY(G903,125,'[1]Feriados y Materias'!$B$21:$B$61)</f>
        <v>46168</v>
      </c>
      <c r="I903" s="2" t="s">
        <v>791</v>
      </c>
      <c r="J903" s="2" t="s">
        <v>1187</v>
      </c>
      <c r="K903" s="2" t="s">
        <v>1159</v>
      </c>
    </row>
    <row r="904" spans="1:11" x14ac:dyDescent="0.35">
      <c r="A904">
        <v>177</v>
      </c>
      <c r="B904" s="64" t="s">
        <v>16</v>
      </c>
      <c r="C904" s="2" t="s">
        <v>8</v>
      </c>
      <c r="D904" s="2" t="s">
        <v>1204</v>
      </c>
      <c r="E904" s="2" t="s">
        <v>1205</v>
      </c>
      <c r="F904" s="2" t="s">
        <v>1353</v>
      </c>
      <c r="G904" s="2" t="s">
        <v>1240</v>
      </c>
      <c r="H904" s="10">
        <f>WORKDAY(G904,125,'[1]Feriados y Materias'!$B$21:$B$61)</f>
        <v>46168</v>
      </c>
      <c r="I904" s="2" t="s">
        <v>791</v>
      </c>
      <c r="J904" s="2" t="s">
        <v>1187</v>
      </c>
      <c r="K904" s="2" t="s">
        <v>1159</v>
      </c>
    </row>
    <row r="905" spans="1:11" x14ac:dyDescent="0.35">
      <c r="A905">
        <v>178</v>
      </c>
      <c r="B905" s="64" t="s">
        <v>16</v>
      </c>
      <c r="C905" s="2" t="s">
        <v>8</v>
      </c>
      <c r="D905" s="2" t="s">
        <v>1204</v>
      </c>
      <c r="E905" s="2" t="s">
        <v>1205</v>
      </c>
      <c r="F905" s="2" t="s">
        <v>1354</v>
      </c>
      <c r="G905" s="2" t="s">
        <v>1240</v>
      </c>
      <c r="H905" s="10">
        <f>WORKDAY(G905,125,'[1]Feriados y Materias'!$B$21:$B$61)</f>
        <v>46168</v>
      </c>
      <c r="I905" s="2" t="s">
        <v>791</v>
      </c>
      <c r="J905" s="2" t="s">
        <v>1187</v>
      </c>
      <c r="K905" s="2" t="s">
        <v>1159</v>
      </c>
    </row>
    <row r="906" spans="1:11" x14ac:dyDescent="0.35">
      <c r="A906">
        <v>179</v>
      </c>
      <c r="B906" s="64" t="s">
        <v>16</v>
      </c>
      <c r="C906" s="2" t="s">
        <v>8</v>
      </c>
      <c r="D906" s="2" t="s">
        <v>1204</v>
      </c>
      <c r="E906" s="2" t="s">
        <v>1205</v>
      </c>
      <c r="F906" s="2" t="s">
        <v>1355</v>
      </c>
      <c r="G906" s="2" t="s">
        <v>1240</v>
      </c>
      <c r="H906" s="10">
        <f>WORKDAY(G906,125,'[1]Feriados y Materias'!$B$21:$B$61)</f>
        <v>46168</v>
      </c>
      <c r="I906" s="2" t="s">
        <v>791</v>
      </c>
      <c r="J906" s="2" t="s">
        <v>1187</v>
      </c>
      <c r="K906" s="2" t="s">
        <v>1159</v>
      </c>
    </row>
    <row r="907" spans="1:11" x14ac:dyDescent="0.35">
      <c r="A907">
        <v>180</v>
      </c>
      <c r="B907" s="64" t="s">
        <v>16</v>
      </c>
      <c r="C907" s="2" t="s">
        <v>8</v>
      </c>
      <c r="D907" s="2" t="s">
        <v>1204</v>
      </c>
      <c r="E907" s="2" t="s">
        <v>1205</v>
      </c>
      <c r="F907" s="2" t="s">
        <v>1356</v>
      </c>
      <c r="G907" s="2" t="s">
        <v>1240</v>
      </c>
      <c r="H907" s="10">
        <f>WORKDAY(G907,125,'[1]Feriados y Materias'!$B$21:$B$61)</f>
        <v>46168</v>
      </c>
      <c r="I907" s="2" t="s">
        <v>791</v>
      </c>
      <c r="J907" s="2" t="s">
        <v>1187</v>
      </c>
      <c r="K907" s="2" t="s">
        <v>1159</v>
      </c>
    </row>
    <row r="908" spans="1:11" x14ac:dyDescent="0.35">
      <c r="A908">
        <v>181</v>
      </c>
      <c r="B908" s="64" t="s">
        <v>16</v>
      </c>
      <c r="C908" s="2" t="s">
        <v>8</v>
      </c>
      <c r="D908" s="2" t="s">
        <v>1204</v>
      </c>
      <c r="E908" s="2" t="s">
        <v>1205</v>
      </c>
      <c r="F908" s="2" t="s">
        <v>1357</v>
      </c>
      <c r="G908" s="2" t="s">
        <v>1240</v>
      </c>
      <c r="H908" s="10">
        <f>WORKDAY(G908,125,'[1]Feriados y Materias'!$B$21:$B$61)</f>
        <v>46168</v>
      </c>
      <c r="I908" s="2" t="s">
        <v>791</v>
      </c>
      <c r="J908" s="2" t="s">
        <v>1187</v>
      </c>
      <c r="K908" s="2" t="s">
        <v>1159</v>
      </c>
    </row>
    <row r="909" spans="1:11" x14ac:dyDescent="0.35">
      <c r="A909">
        <v>182</v>
      </c>
      <c r="B909" s="64" t="s">
        <v>16</v>
      </c>
      <c r="C909" s="2" t="s">
        <v>8</v>
      </c>
      <c r="D909" s="2" t="s">
        <v>1204</v>
      </c>
      <c r="E909" s="2" t="s">
        <v>1205</v>
      </c>
      <c r="F909" s="2" t="s">
        <v>1358</v>
      </c>
      <c r="G909" s="2" t="s">
        <v>1240</v>
      </c>
      <c r="H909" s="10">
        <f>WORKDAY(G909,125,'[1]Feriados y Materias'!$B$21:$B$61)</f>
        <v>46168</v>
      </c>
      <c r="I909" s="2" t="s">
        <v>791</v>
      </c>
      <c r="J909" s="2" t="s">
        <v>1187</v>
      </c>
      <c r="K909" s="2" t="s">
        <v>1159</v>
      </c>
    </row>
    <row r="910" spans="1:11" x14ac:dyDescent="0.35">
      <c r="A910">
        <v>183</v>
      </c>
      <c r="B910" s="64" t="s">
        <v>16</v>
      </c>
      <c r="C910" s="2" t="s">
        <v>8</v>
      </c>
      <c r="D910" s="2" t="s">
        <v>1204</v>
      </c>
      <c r="E910" s="2" t="s">
        <v>1205</v>
      </c>
      <c r="F910" s="2" t="s">
        <v>1359</v>
      </c>
      <c r="G910" s="2" t="s">
        <v>1240</v>
      </c>
      <c r="H910" s="10">
        <f>WORKDAY(G910,125,'[1]Feriados y Materias'!$B$21:$B$61)</f>
        <v>46168</v>
      </c>
      <c r="I910" s="2" t="s">
        <v>791</v>
      </c>
      <c r="J910" s="2" t="s">
        <v>1187</v>
      </c>
      <c r="K910" s="2" t="s">
        <v>1159</v>
      </c>
    </row>
    <row r="911" spans="1:11" x14ac:dyDescent="0.35">
      <c r="A911">
        <v>184</v>
      </c>
      <c r="B911" s="64" t="s">
        <v>16</v>
      </c>
      <c r="C911" s="2" t="s">
        <v>8</v>
      </c>
      <c r="D911" s="2" t="s">
        <v>1204</v>
      </c>
      <c r="E911" s="2" t="s">
        <v>1205</v>
      </c>
      <c r="F911" s="2" t="s">
        <v>1360</v>
      </c>
      <c r="G911" s="2" t="s">
        <v>1240</v>
      </c>
      <c r="H911" s="10">
        <f>WORKDAY(G911,125,'[1]Feriados y Materias'!$B$21:$B$61)</f>
        <v>46168</v>
      </c>
      <c r="I911" s="2" t="s">
        <v>791</v>
      </c>
      <c r="J911" s="2" t="s">
        <v>1187</v>
      </c>
      <c r="K911" s="2" t="s">
        <v>1159</v>
      </c>
    </row>
    <row r="912" spans="1:11" x14ac:dyDescent="0.35">
      <c r="A912">
        <v>185</v>
      </c>
      <c r="B912" s="64" t="s">
        <v>16</v>
      </c>
      <c r="C912" s="2" t="s">
        <v>8</v>
      </c>
      <c r="D912" s="2" t="s">
        <v>1204</v>
      </c>
      <c r="E912" s="2" t="s">
        <v>1205</v>
      </c>
      <c r="F912" s="2" t="s">
        <v>1361</v>
      </c>
      <c r="G912" s="2" t="s">
        <v>1240</v>
      </c>
      <c r="H912" s="10">
        <f>WORKDAY(G912,125,'[1]Feriados y Materias'!$B$21:$B$61)</f>
        <v>46168</v>
      </c>
      <c r="I912" s="2" t="s">
        <v>791</v>
      </c>
      <c r="J912" s="2" t="s">
        <v>1187</v>
      </c>
      <c r="K912" s="2" t="s">
        <v>1159</v>
      </c>
    </row>
    <row r="913" spans="1:11" x14ac:dyDescent="0.35">
      <c r="A913">
        <v>186</v>
      </c>
      <c r="B913" s="64" t="s">
        <v>16</v>
      </c>
      <c r="C913" s="2" t="s">
        <v>8</v>
      </c>
      <c r="D913" s="2" t="s">
        <v>1204</v>
      </c>
      <c r="E913" s="2" t="s">
        <v>1205</v>
      </c>
      <c r="F913" s="2" t="s">
        <v>1362</v>
      </c>
      <c r="G913" s="2" t="s">
        <v>1240</v>
      </c>
      <c r="H913" s="10">
        <f>WORKDAY(G913,125,'[1]Feriados y Materias'!$B$21:$B$61)</f>
        <v>46168</v>
      </c>
      <c r="I913" s="2" t="s">
        <v>791</v>
      </c>
      <c r="J913" s="2" t="s">
        <v>1187</v>
      </c>
      <c r="K913" s="2" t="s">
        <v>1159</v>
      </c>
    </row>
    <row r="914" spans="1:11" x14ac:dyDescent="0.35">
      <c r="A914">
        <v>187</v>
      </c>
      <c r="B914" s="64" t="s">
        <v>16</v>
      </c>
      <c r="C914" s="2" t="s">
        <v>8</v>
      </c>
      <c r="D914" s="2" t="s">
        <v>1204</v>
      </c>
      <c r="E914" s="2" t="s">
        <v>1205</v>
      </c>
      <c r="F914" s="2" t="s">
        <v>1363</v>
      </c>
      <c r="G914" s="2" t="s">
        <v>1240</v>
      </c>
      <c r="H914" s="10">
        <f>WORKDAY(G914,125,'[1]Feriados y Materias'!$B$21:$B$61)</f>
        <v>46168</v>
      </c>
      <c r="I914" s="2" t="s">
        <v>791</v>
      </c>
      <c r="J914" s="2" t="s">
        <v>1187</v>
      </c>
      <c r="K914" s="2" t="s">
        <v>1159</v>
      </c>
    </row>
    <row r="915" spans="1:11" x14ac:dyDescent="0.35">
      <c r="A915">
        <v>188</v>
      </c>
      <c r="B915" s="64" t="s">
        <v>16</v>
      </c>
      <c r="C915" s="2" t="s">
        <v>8</v>
      </c>
      <c r="D915" s="2" t="s">
        <v>1204</v>
      </c>
      <c r="E915" s="2" t="s">
        <v>1205</v>
      </c>
      <c r="F915" s="2" t="s">
        <v>1364</v>
      </c>
      <c r="G915" s="2" t="s">
        <v>1240</v>
      </c>
      <c r="H915" s="10">
        <f>WORKDAY(G915,125,'[1]Feriados y Materias'!$B$21:$B$61)</f>
        <v>46168</v>
      </c>
      <c r="I915" s="2" t="s">
        <v>791</v>
      </c>
      <c r="J915" s="2" t="s">
        <v>1187</v>
      </c>
      <c r="K915" s="2" t="s">
        <v>1159</v>
      </c>
    </row>
    <row r="916" spans="1:11" x14ac:dyDescent="0.35">
      <c r="A916">
        <v>189</v>
      </c>
      <c r="B916" s="64" t="s">
        <v>16</v>
      </c>
      <c r="C916" s="2" t="s">
        <v>8</v>
      </c>
      <c r="D916" s="2" t="s">
        <v>1204</v>
      </c>
      <c r="E916" s="2" t="s">
        <v>1205</v>
      </c>
      <c r="F916" s="2" t="s">
        <v>1365</v>
      </c>
      <c r="G916" s="2" t="s">
        <v>1240</v>
      </c>
      <c r="H916" s="10">
        <f>WORKDAY(G916,125,'[1]Feriados y Materias'!$B$21:$B$61)</f>
        <v>46168</v>
      </c>
      <c r="I916" s="2" t="s">
        <v>791</v>
      </c>
      <c r="J916" s="2" t="s">
        <v>1187</v>
      </c>
      <c r="K916" s="2" t="s">
        <v>1159</v>
      </c>
    </row>
    <row r="917" spans="1:11" x14ac:dyDescent="0.35">
      <c r="A917">
        <v>190</v>
      </c>
      <c r="B917" s="64" t="s">
        <v>16</v>
      </c>
      <c r="C917" s="2" t="s">
        <v>8</v>
      </c>
      <c r="D917" s="2" t="s">
        <v>1204</v>
      </c>
      <c r="E917" s="2" t="s">
        <v>1205</v>
      </c>
      <c r="F917" s="2" t="s">
        <v>1366</v>
      </c>
      <c r="G917" s="2" t="s">
        <v>1240</v>
      </c>
      <c r="H917" s="10">
        <f>WORKDAY(G917,125,'[1]Feriados y Materias'!$B$21:$B$61)</f>
        <v>46168</v>
      </c>
      <c r="I917" s="2" t="s">
        <v>791</v>
      </c>
      <c r="J917" s="2" t="s">
        <v>1187</v>
      </c>
      <c r="K917" s="2" t="s">
        <v>1159</v>
      </c>
    </row>
    <row r="918" spans="1:11" x14ac:dyDescent="0.35">
      <c r="A918">
        <v>191</v>
      </c>
      <c r="B918" s="64" t="s">
        <v>16</v>
      </c>
      <c r="C918" s="2" t="s">
        <v>8</v>
      </c>
      <c r="D918" s="2" t="s">
        <v>1204</v>
      </c>
      <c r="E918" s="2" t="s">
        <v>1205</v>
      </c>
      <c r="F918" s="2" t="s">
        <v>1367</v>
      </c>
      <c r="G918" s="2" t="s">
        <v>1240</v>
      </c>
      <c r="H918" s="10">
        <f>WORKDAY(G918,125,'[1]Feriados y Materias'!$B$21:$B$61)</f>
        <v>46168</v>
      </c>
      <c r="I918" s="2" t="s">
        <v>791</v>
      </c>
      <c r="J918" s="2" t="s">
        <v>1187</v>
      </c>
      <c r="K918" s="2" t="s">
        <v>1159</v>
      </c>
    </row>
    <row r="919" spans="1:11" x14ac:dyDescent="0.35">
      <c r="A919">
        <v>192</v>
      </c>
      <c r="B919" s="64" t="s">
        <v>16</v>
      </c>
      <c r="C919" s="2" t="s">
        <v>8</v>
      </c>
      <c r="D919" s="2" t="s">
        <v>1204</v>
      </c>
      <c r="E919" s="2" t="s">
        <v>1205</v>
      </c>
      <c r="F919" s="2" t="s">
        <v>1368</v>
      </c>
      <c r="G919" s="2" t="s">
        <v>1240</v>
      </c>
      <c r="H919" s="10">
        <f>WORKDAY(G919,125,'[1]Feriados y Materias'!$B$21:$B$61)</f>
        <v>46168</v>
      </c>
      <c r="I919" s="2" t="s">
        <v>791</v>
      </c>
      <c r="J919" s="2" t="s">
        <v>1187</v>
      </c>
      <c r="K919" s="2" t="s">
        <v>1159</v>
      </c>
    </row>
    <row r="920" spans="1:11" x14ac:dyDescent="0.35">
      <c r="A920">
        <v>193</v>
      </c>
      <c r="B920" s="64" t="s">
        <v>16</v>
      </c>
      <c r="C920" s="2" t="s">
        <v>8</v>
      </c>
      <c r="D920" s="2" t="s">
        <v>1204</v>
      </c>
      <c r="E920" s="2" t="s">
        <v>1205</v>
      </c>
      <c r="F920" s="2" t="s">
        <v>1369</v>
      </c>
      <c r="G920" s="2" t="s">
        <v>1240</v>
      </c>
      <c r="H920" s="10">
        <f>WORKDAY(G920,125,'[1]Feriados y Materias'!$B$21:$B$61)</f>
        <v>46168</v>
      </c>
      <c r="I920" s="2" t="s">
        <v>791</v>
      </c>
      <c r="J920" s="2" t="s">
        <v>1187</v>
      </c>
      <c r="K920" s="2" t="s">
        <v>1159</v>
      </c>
    </row>
    <row r="921" spans="1:11" x14ac:dyDescent="0.35">
      <c r="A921">
        <v>194</v>
      </c>
      <c r="B921" s="64" t="s">
        <v>16</v>
      </c>
      <c r="C921" s="2" t="s">
        <v>8</v>
      </c>
      <c r="D921" s="2" t="s">
        <v>1204</v>
      </c>
      <c r="E921" s="2" t="s">
        <v>1205</v>
      </c>
      <c r="F921" s="2" t="s">
        <v>1370</v>
      </c>
      <c r="G921" s="2" t="s">
        <v>1240</v>
      </c>
      <c r="H921" s="10">
        <f>WORKDAY(G921,125,'[1]Feriados y Materias'!$B$21:$B$61)</f>
        <v>46168</v>
      </c>
      <c r="I921" s="2" t="s">
        <v>791</v>
      </c>
      <c r="J921" s="2" t="s">
        <v>1187</v>
      </c>
      <c r="K921" s="2" t="s">
        <v>1159</v>
      </c>
    </row>
    <row r="922" spans="1:11" x14ac:dyDescent="0.35">
      <c r="A922">
        <v>195</v>
      </c>
      <c r="B922" s="64" t="s">
        <v>16</v>
      </c>
      <c r="C922" s="2" t="s">
        <v>8</v>
      </c>
      <c r="D922" s="2" t="s">
        <v>1204</v>
      </c>
      <c r="E922" s="2" t="s">
        <v>1205</v>
      </c>
      <c r="F922" s="2" t="s">
        <v>1371</v>
      </c>
      <c r="G922" s="2" t="s">
        <v>1240</v>
      </c>
      <c r="H922" s="10">
        <f>WORKDAY(G922,125,'[1]Feriados y Materias'!$B$21:$B$61)</f>
        <v>46168</v>
      </c>
      <c r="I922" s="2" t="s">
        <v>791</v>
      </c>
      <c r="J922" s="2" t="s">
        <v>1187</v>
      </c>
      <c r="K922" s="2" t="s">
        <v>1159</v>
      </c>
    </row>
    <row r="923" spans="1:11" x14ac:dyDescent="0.35">
      <c r="A923">
        <v>196</v>
      </c>
      <c r="B923" s="64" t="s">
        <v>16</v>
      </c>
      <c r="C923" s="2" t="s">
        <v>8</v>
      </c>
      <c r="D923" s="2" t="s">
        <v>1204</v>
      </c>
      <c r="E923" s="2" t="s">
        <v>1205</v>
      </c>
      <c r="F923" s="2" t="s">
        <v>1372</v>
      </c>
      <c r="G923" s="2" t="s">
        <v>1240</v>
      </c>
      <c r="H923" s="10">
        <f>WORKDAY(G923,125,'[1]Feriados y Materias'!$B$21:$B$61)</f>
        <v>46168</v>
      </c>
      <c r="I923" s="2" t="s">
        <v>791</v>
      </c>
      <c r="J923" s="2" t="s">
        <v>1187</v>
      </c>
      <c r="K923" s="2" t="s">
        <v>1159</v>
      </c>
    </row>
    <row r="924" spans="1:11" x14ac:dyDescent="0.35">
      <c r="A924">
        <v>197</v>
      </c>
      <c r="B924" s="64" t="s">
        <v>16</v>
      </c>
      <c r="C924" s="2" t="s">
        <v>8</v>
      </c>
      <c r="D924" s="2" t="s">
        <v>1204</v>
      </c>
      <c r="E924" s="2" t="s">
        <v>1205</v>
      </c>
      <c r="F924" s="2" t="s">
        <v>1373</v>
      </c>
      <c r="G924" s="2" t="s">
        <v>1240</v>
      </c>
      <c r="H924" s="10">
        <f>WORKDAY(G924,125,'[1]Feriados y Materias'!$B$21:$B$61)</f>
        <v>46168</v>
      </c>
      <c r="I924" s="2" t="s">
        <v>791</v>
      </c>
      <c r="J924" s="2" t="s">
        <v>1187</v>
      </c>
      <c r="K924" s="2" t="s">
        <v>1159</v>
      </c>
    </row>
    <row r="925" spans="1:11" x14ac:dyDescent="0.35">
      <c r="A925">
        <v>198</v>
      </c>
      <c r="B925" s="64" t="s">
        <v>16</v>
      </c>
      <c r="C925" s="2" t="s">
        <v>8</v>
      </c>
      <c r="D925" s="2" t="s">
        <v>1204</v>
      </c>
      <c r="E925" s="2" t="s">
        <v>1205</v>
      </c>
      <c r="F925" s="2" t="s">
        <v>1374</v>
      </c>
      <c r="G925" s="2" t="s">
        <v>1240</v>
      </c>
      <c r="H925" s="10">
        <f>WORKDAY(G925,125,'[1]Feriados y Materias'!$B$21:$B$61)</f>
        <v>46168</v>
      </c>
      <c r="I925" s="2" t="s">
        <v>791</v>
      </c>
      <c r="J925" s="2" t="s">
        <v>1187</v>
      </c>
      <c r="K925" s="2" t="s">
        <v>1159</v>
      </c>
    </row>
    <row r="926" spans="1:11" x14ac:dyDescent="0.35">
      <c r="A926">
        <v>199</v>
      </c>
      <c r="B926" s="64" t="s">
        <v>16</v>
      </c>
      <c r="C926" s="2" t="s">
        <v>8</v>
      </c>
      <c r="D926" s="2" t="s">
        <v>1204</v>
      </c>
      <c r="E926" s="2" t="s">
        <v>1205</v>
      </c>
      <c r="F926" s="2" t="s">
        <v>1375</v>
      </c>
      <c r="G926" s="2" t="s">
        <v>1240</v>
      </c>
      <c r="H926" s="10">
        <f>WORKDAY(G926,125,'[1]Feriados y Materias'!$B$21:$B$61)</f>
        <v>46168</v>
      </c>
      <c r="I926" s="2" t="s">
        <v>791</v>
      </c>
      <c r="J926" s="2" t="s">
        <v>1187</v>
      </c>
      <c r="K926" s="2" t="s">
        <v>1159</v>
      </c>
    </row>
    <row r="927" spans="1:11" x14ac:dyDescent="0.35">
      <c r="A927">
        <v>200</v>
      </c>
      <c r="B927" s="64" t="s">
        <v>16</v>
      </c>
      <c r="C927" s="2" t="s">
        <v>8</v>
      </c>
      <c r="D927" s="2" t="s">
        <v>1204</v>
      </c>
      <c r="E927" s="2" t="s">
        <v>1205</v>
      </c>
      <c r="F927" s="2" t="s">
        <v>1376</v>
      </c>
      <c r="G927" s="2" t="s">
        <v>1240</v>
      </c>
      <c r="H927" s="10">
        <f>WORKDAY(G927,125,'[1]Feriados y Materias'!$B$21:$B$61)</f>
        <v>46168</v>
      </c>
      <c r="I927" s="2" t="s">
        <v>791</v>
      </c>
      <c r="J927" s="2" t="s">
        <v>1187</v>
      </c>
      <c r="K927" s="2" t="s">
        <v>1159</v>
      </c>
    </row>
    <row r="928" spans="1:11" x14ac:dyDescent="0.35">
      <c r="A928">
        <v>201</v>
      </c>
      <c r="B928" s="64" t="s">
        <v>16</v>
      </c>
      <c r="C928" s="2" t="s">
        <v>8</v>
      </c>
      <c r="D928" s="2" t="s">
        <v>1204</v>
      </c>
      <c r="E928" s="2" t="s">
        <v>1205</v>
      </c>
      <c r="F928" s="2" t="s">
        <v>1377</v>
      </c>
      <c r="G928" s="2" t="s">
        <v>1240</v>
      </c>
      <c r="H928" s="10">
        <f>WORKDAY(G928,125,'[1]Feriados y Materias'!$B$21:$B$61)</f>
        <v>46168</v>
      </c>
      <c r="I928" s="2" t="s">
        <v>791</v>
      </c>
      <c r="J928" s="2" t="s">
        <v>1187</v>
      </c>
      <c r="K928" s="2" t="s">
        <v>1159</v>
      </c>
    </row>
    <row r="929" spans="1:11" x14ac:dyDescent="0.35">
      <c r="A929">
        <v>202</v>
      </c>
      <c r="B929" s="64" t="s">
        <v>16</v>
      </c>
      <c r="C929" s="2" t="s">
        <v>8</v>
      </c>
      <c r="D929" s="2" t="s">
        <v>1204</v>
      </c>
      <c r="E929" s="2" t="s">
        <v>1205</v>
      </c>
      <c r="F929" s="2" t="s">
        <v>1378</v>
      </c>
      <c r="G929" s="2" t="s">
        <v>1240</v>
      </c>
      <c r="H929" s="10">
        <f>WORKDAY(G929,125,'[1]Feriados y Materias'!$B$21:$B$61)</f>
        <v>46168</v>
      </c>
      <c r="I929" s="2" t="s">
        <v>791</v>
      </c>
      <c r="J929" s="2" t="s">
        <v>1187</v>
      </c>
      <c r="K929" s="2" t="s">
        <v>1159</v>
      </c>
    </row>
    <row r="930" spans="1:11" x14ac:dyDescent="0.35">
      <c r="A930">
        <v>203</v>
      </c>
      <c r="B930" s="64" t="s">
        <v>16</v>
      </c>
      <c r="C930" s="2" t="s">
        <v>8</v>
      </c>
      <c r="D930" s="2" t="s">
        <v>1204</v>
      </c>
      <c r="E930" s="2" t="s">
        <v>1205</v>
      </c>
      <c r="F930" s="2" t="s">
        <v>1379</v>
      </c>
      <c r="G930" s="2" t="s">
        <v>1240</v>
      </c>
      <c r="H930" s="10">
        <f>WORKDAY(G930,125,'[1]Feriados y Materias'!$B$21:$B$61)</f>
        <v>46168</v>
      </c>
      <c r="I930" s="2" t="s">
        <v>791</v>
      </c>
      <c r="J930" s="2" t="s">
        <v>1187</v>
      </c>
      <c r="K930" s="2" t="s">
        <v>1159</v>
      </c>
    </row>
    <row r="931" spans="1:11" x14ac:dyDescent="0.35">
      <c r="A931">
        <v>204</v>
      </c>
      <c r="B931" s="64" t="s">
        <v>16</v>
      </c>
      <c r="C931" s="2" t="s">
        <v>8</v>
      </c>
      <c r="D931" s="2" t="s">
        <v>1204</v>
      </c>
      <c r="E931" s="2" t="s">
        <v>1205</v>
      </c>
      <c r="F931" s="2" t="s">
        <v>1380</v>
      </c>
      <c r="G931" s="2" t="s">
        <v>1240</v>
      </c>
      <c r="H931" s="10">
        <f>WORKDAY(G931,125,'[1]Feriados y Materias'!$B$21:$B$61)</f>
        <v>46168</v>
      </c>
      <c r="I931" s="2" t="s">
        <v>791</v>
      </c>
      <c r="J931" s="2" t="s">
        <v>1187</v>
      </c>
      <c r="K931" s="2" t="s">
        <v>1159</v>
      </c>
    </row>
    <row r="932" spans="1:11" x14ac:dyDescent="0.35">
      <c r="A932">
        <v>205</v>
      </c>
      <c r="B932" s="64" t="s">
        <v>16</v>
      </c>
      <c r="C932" s="2" t="s">
        <v>8</v>
      </c>
      <c r="D932" s="2" t="s">
        <v>1204</v>
      </c>
      <c r="E932" s="2" t="s">
        <v>1205</v>
      </c>
      <c r="F932" s="2" t="s">
        <v>1381</v>
      </c>
      <c r="G932" s="2" t="s">
        <v>1240</v>
      </c>
      <c r="H932" s="10">
        <f>WORKDAY(G932,125,'[1]Feriados y Materias'!$B$21:$B$61)</f>
        <v>46168</v>
      </c>
      <c r="I932" s="2" t="s">
        <v>791</v>
      </c>
      <c r="J932" s="2" t="s">
        <v>1187</v>
      </c>
      <c r="K932" s="2" t="s">
        <v>1159</v>
      </c>
    </row>
    <row r="933" spans="1:11" x14ac:dyDescent="0.35">
      <c r="A933">
        <v>206</v>
      </c>
      <c r="B933" s="64" t="s">
        <v>16</v>
      </c>
      <c r="C933" s="2" t="s">
        <v>8</v>
      </c>
      <c r="D933" s="2" t="s">
        <v>1204</v>
      </c>
      <c r="E933" s="2" t="s">
        <v>1205</v>
      </c>
      <c r="F933" s="2" t="s">
        <v>1382</v>
      </c>
      <c r="G933" s="2" t="s">
        <v>1240</v>
      </c>
      <c r="H933" s="10">
        <f>WORKDAY(G933,125,'[1]Feriados y Materias'!$B$21:$B$61)</f>
        <v>46168</v>
      </c>
      <c r="I933" s="2" t="s">
        <v>791</v>
      </c>
      <c r="J933" s="2" t="s">
        <v>1187</v>
      </c>
      <c r="K933" s="2" t="s">
        <v>1159</v>
      </c>
    </row>
    <row r="934" spans="1:11" x14ac:dyDescent="0.35">
      <c r="A934">
        <v>207</v>
      </c>
      <c r="B934" s="64" t="s">
        <v>16</v>
      </c>
      <c r="C934" s="2" t="s">
        <v>8</v>
      </c>
      <c r="D934" s="2" t="s">
        <v>1204</v>
      </c>
      <c r="E934" s="2" t="s">
        <v>1205</v>
      </c>
      <c r="F934" s="2" t="s">
        <v>1383</v>
      </c>
      <c r="G934" s="2" t="s">
        <v>1240</v>
      </c>
      <c r="H934" s="10">
        <f>WORKDAY(G934,125,'[1]Feriados y Materias'!$B$21:$B$61)</f>
        <v>46168</v>
      </c>
      <c r="I934" s="2" t="s">
        <v>791</v>
      </c>
      <c r="J934" s="2" t="s">
        <v>1187</v>
      </c>
      <c r="K934" s="2" t="s">
        <v>1159</v>
      </c>
    </row>
    <row r="935" spans="1:11" x14ac:dyDescent="0.35">
      <c r="A935">
        <v>208</v>
      </c>
      <c r="B935" s="64" t="s">
        <v>16</v>
      </c>
      <c r="C935" s="2" t="s">
        <v>8</v>
      </c>
      <c r="D935" s="2" t="s">
        <v>1204</v>
      </c>
      <c r="E935" s="2" t="s">
        <v>1205</v>
      </c>
      <c r="F935" s="2" t="s">
        <v>1384</v>
      </c>
      <c r="G935" s="2" t="s">
        <v>1240</v>
      </c>
      <c r="H935" s="10">
        <f>WORKDAY(G935,125,'[1]Feriados y Materias'!$B$21:$B$61)</f>
        <v>46168</v>
      </c>
      <c r="I935" s="2" t="s">
        <v>791</v>
      </c>
      <c r="J935" s="2" t="s">
        <v>1187</v>
      </c>
      <c r="K935" s="2" t="s">
        <v>1159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FADEF-7E77-468D-A39C-569F6A5B93BF}">
  <dimension ref="A1:AC31"/>
  <sheetViews>
    <sheetView tabSelected="1" topLeftCell="A25" workbookViewId="0">
      <selection activeCell="E30" sqref="E30"/>
    </sheetView>
  </sheetViews>
  <sheetFormatPr baseColWidth="10" defaultRowHeight="14.5" x14ac:dyDescent="0.35"/>
  <cols>
    <col min="1" max="1" width="4.6328125" style="111" bestFit="1" customWidth="1"/>
    <col min="2" max="2" width="8.7265625" style="111" bestFit="1" customWidth="1"/>
    <col min="3" max="3" width="10.90625" style="111"/>
    <col min="4" max="4" width="17.81640625" style="111" bestFit="1" customWidth="1"/>
    <col min="5" max="5" width="40.36328125" style="111" customWidth="1"/>
    <col min="6" max="6" width="20.08984375" style="111" bestFit="1" customWidth="1"/>
    <col min="7" max="7" width="10.6328125" style="111" bestFit="1" customWidth="1"/>
    <col min="8" max="8" width="17" style="111" bestFit="1" customWidth="1"/>
    <col min="9" max="9" width="10.90625" style="111"/>
    <col min="10" max="10" width="35.81640625" style="111" bestFit="1" customWidth="1"/>
    <col min="11" max="11" width="17.26953125" style="111" bestFit="1" customWidth="1"/>
    <col min="12" max="12" width="7.36328125" style="111" bestFit="1" customWidth="1"/>
    <col min="13" max="13" width="19.7265625" style="111" bestFit="1" customWidth="1"/>
    <col min="14" max="16" width="10.90625" style="111"/>
    <col min="17" max="17" width="10.7265625" style="111" bestFit="1" customWidth="1"/>
    <col min="18" max="18" width="54.81640625" style="111" bestFit="1" customWidth="1"/>
    <col min="19" max="19" width="39.1796875" style="111" bestFit="1" customWidth="1"/>
    <col min="20" max="20" width="15.08984375" style="111" bestFit="1" customWidth="1"/>
    <col min="21" max="22" width="10.90625" style="111"/>
    <col min="23" max="23" width="20.6328125" style="111" bestFit="1" customWidth="1"/>
    <col min="24" max="25" width="10.90625" style="111"/>
    <col min="26" max="26" width="10.08984375" style="111" bestFit="1" customWidth="1"/>
    <col min="27" max="27" width="10.90625" style="111"/>
    <col min="28" max="28" width="12.81640625" style="111" bestFit="1" customWidth="1"/>
    <col min="29" max="29" width="11" style="111" bestFit="1" customWidth="1"/>
    <col min="30" max="16384" width="10.90625" style="111"/>
  </cols>
  <sheetData>
    <row r="1" spans="1:29" ht="58" x14ac:dyDescent="0.35">
      <c r="A1" s="99" t="s">
        <v>179</v>
      </c>
      <c r="B1" s="100" t="s">
        <v>1</v>
      </c>
      <c r="C1" s="101" t="s">
        <v>2</v>
      </c>
      <c r="D1" s="102" t="s">
        <v>3</v>
      </c>
      <c r="E1" s="103" t="s">
        <v>4</v>
      </c>
      <c r="F1" s="103" t="s">
        <v>5</v>
      </c>
      <c r="G1" s="101" t="s">
        <v>6</v>
      </c>
      <c r="H1" s="103" t="s">
        <v>7</v>
      </c>
      <c r="I1" s="101" t="s">
        <v>9</v>
      </c>
      <c r="J1" s="103" t="s">
        <v>10</v>
      </c>
      <c r="K1" s="103" t="s">
        <v>11</v>
      </c>
      <c r="L1" s="103" t="s">
        <v>12</v>
      </c>
      <c r="M1" s="104" t="s">
        <v>13</v>
      </c>
      <c r="N1" s="105" t="s">
        <v>14</v>
      </c>
      <c r="O1" s="106" t="s">
        <v>174</v>
      </c>
      <c r="P1" s="106" t="s">
        <v>175</v>
      </c>
      <c r="Q1" s="101" t="s">
        <v>15</v>
      </c>
      <c r="R1" s="107" t="s">
        <v>187</v>
      </c>
      <c r="S1" s="107" t="s">
        <v>94</v>
      </c>
      <c r="T1" s="107" t="s">
        <v>92</v>
      </c>
      <c r="U1" s="108" t="s">
        <v>176</v>
      </c>
      <c r="V1" s="108" t="s">
        <v>76</v>
      </c>
      <c r="W1" s="103" t="s">
        <v>37</v>
      </c>
      <c r="X1" s="109" t="s">
        <v>181</v>
      </c>
      <c r="Y1" s="109" t="s">
        <v>182</v>
      </c>
      <c r="Z1" s="110" t="s">
        <v>183</v>
      </c>
      <c r="AA1" s="110" t="s">
        <v>184</v>
      </c>
      <c r="AB1" s="103" t="s">
        <v>38</v>
      </c>
      <c r="AC1" s="103" t="s">
        <v>142</v>
      </c>
    </row>
    <row r="2" spans="1:29" x14ac:dyDescent="0.35">
      <c r="A2" s="112">
        <v>1</v>
      </c>
      <c r="B2" s="113" t="s">
        <v>16</v>
      </c>
      <c r="C2" s="114" t="s">
        <v>8</v>
      </c>
      <c r="D2" s="114" t="s">
        <v>147</v>
      </c>
      <c r="E2" s="114" t="s">
        <v>148</v>
      </c>
      <c r="F2" s="115" t="s">
        <v>215</v>
      </c>
      <c r="G2" s="114" t="s">
        <v>146</v>
      </c>
      <c r="H2" s="116">
        <f>WORKDAY(G2,125,'[1]Feriados y Materias'!$B$21:$B$61)</f>
        <v>46014</v>
      </c>
      <c r="I2" s="117" t="s">
        <v>32</v>
      </c>
      <c r="J2" s="114" t="s">
        <v>180</v>
      </c>
      <c r="K2" s="118" t="s">
        <v>43</v>
      </c>
      <c r="L2" s="119" t="s">
        <v>33</v>
      </c>
      <c r="M2" s="115" t="s">
        <v>1385</v>
      </c>
      <c r="N2" s="114" t="s">
        <v>1192</v>
      </c>
      <c r="O2" s="113">
        <v>11</v>
      </c>
      <c r="P2" s="113" t="s">
        <v>1386</v>
      </c>
      <c r="Q2" s="114" t="s">
        <v>1192</v>
      </c>
      <c r="R2" s="112" t="s">
        <v>49</v>
      </c>
      <c r="S2" s="112" t="s">
        <v>165</v>
      </c>
      <c r="T2" s="113" t="s">
        <v>1387</v>
      </c>
      <c r="U2" s="120">
        <v>0</v>
      </c>
      <c r="V2" s="113"/>
      <c r="W2" s="121" t="s">
        <v>39</v>
      </c>
      <c r="X2" s="113"/>
      <c r="Y2" s="113"/>
      <c r="Z2" s="113"/>
      <c r="AA2" s="113"/>
      <c r="AB2" s="122" t="s">
        <v>177</v>
      </c>
      <c r="AC2" s="98" t="s">
        <v>99</v>
      </c>
    </row>
    <row r="3" spans="1:29" x14ac:dyDescent="0.35">
      <c r="A3" s="113">
        <v>2</v>
      </c>
      <c r="B3" s="113" t="s">
        <v>16</v>
      </c>
      <c r="C3" s="123" t="s">
        <v>8</v>
      </c>
      <c r="D3" s="123" t="s">
        <v>221</v>
      </c>
      <c r="E3" s="123" t="s">
        <v>222</v>
      </c>
      <c r="F3" s="124" t="s">
        <v>225</v>
      </c>
      <c r="G3" s="123" t="s">
        <v>150</v>
      </c>
      <c r="H3" s="116">
        <f>WORKDAY(G3,125,'[1]Feriados y Materias'!$B$21:$B$61)</f>
        <v>46037</v>
      </c>
      <c r="I3" s="117" t="s">
        <v>32</v>
      </c>
      <c r="J3" s="123" t="s">
        <v>180</v>
      </c>
      <c r="K3" s="118" t="s">
        <v>43</v>
      </c>
      <c r="L3" s="119" t="s">
        <v>33</v>
      </c>
      <c r="M3" s="124" t="s">
        <v>1388</v>
      </c>
      <c r="N3" s="123" t="s">
        <v>1124</v>
      </c>
      <c r="O3" s="113">
        <v>11</v>
      </c>
      <c r="P3" s="113" t="s">
        <v>1386</v>
      </c>
      <c r="Q3" s="123" t="s">
        <v>1124</v>
      </c>
      <c r="R3" s="112" t="s">
        <v>61</v>
      </c>
      <c r="S3" s="112" t="s">
        <v>134</v>
      </c>
      <c r="T3" s="113" t="s">
        <v>1389</v>
      </c>
      <c r="U3" s="113"/>
      <c r="V3" s="120">
        <v>1288</v>
      </c>
      <c r="W3" s="121" t="s">
        <v>39</v>
      </c>
      <c r="X3" s="113"/>
      <c r="Y3" s="120">
        <v>1288</v>
      </c>
      <c r="Z3" s="113"/>
      <c r="AA3" s="113"/>
      <c r="AB3" s="122" t="s">
        <v>177</v>
      </c>
      <c r="AC3" s="113" t="s">
        <v>155</v>
      </c>
    </row>
    <row r="4" spans="1:29" x14ac:dyDescent="0.35">
      <c r="A4" s="112">
        <v>3</v>
      </c>
      <c r="B4" s="113" t="s">
        <v>16</v>
      </c>
      <c r="C4" s="123" t="s">
        <v>8</v>
      </c>
      <c r="D4" s="123" t="s">
        <v>221</v>
      </c>
      <c r="E4" s="123" t="s">
        <v>222</v>
      </c>
      <c r="F4" s="124" t="s">
        <v>224</v>
      </c>
      <c r="G4" s="123" t="s">
        <v>150</v>
      </c>
      <c r="H4" s="116">
        <f>WORKDAY(G4,125,'[1]Feriados y Materias'!$B$21:$B$61)</f>
        <v>46037</v>
      </c>
      <c r="I4" s="117" t="s">
        <v>32</v>
      </c>
      <c r="J4" s="123" t="s">
        <v>180</v>
      </c>
      <c r="K4" s="118" t="s">
        <v>43</v>
      </c>
      <c r="L4" s="119" t="s">
        <v>33</v>
      </c>
      <c r="M4" s="124" t="s">
        <v>1390</v>
      </c>
      <c r="N4" s="123" t="s">
        <v>1124</v>
      </c>
      <c r="O4" s="113">
        <v>11</v>
      </c>
      <c r="P4" s="113" t="s">
        <v>1386</v>
      </c>
      <c r="Q4" s="123" t="s">
        <v>1124</v>
      </c>
      <c r="R4" s="112" t="s">
        <v>44</v>
      </c>
      <c r="S4" s="115" t="s">
        <v>105</v>
      </c>
      <c r="T4" s="113" t="s">
        <v>1389</v>
      </c>
      <c r="U4" s="125">
        <v>73566</v>
      </c>
      <c r="V4" s="113"/>
      <c r="W4" s="121" t="s">
        <v>39</v>
      </c>
      <c r="X4" s="120">
        <v>73566</v>
      </c>
      <c r="Y4" s="113"/>
      <c r="Z4" s="113"/>
      <c r="AA4" s="113"/>
      <c r="AB4" s="126" t="s">
        <v>75</v>
      </c>
      <c r="AC4" s="113" t="s">
        <v>155</v>
      </c>
    </row>
    <row r="5" spans="1:29" x14ac:dyDescent="0.35">
      <c r="A5" s="113">
        <v>4</v>
      </c>
      <c r="B5" s="113" t="s">
        <v>16</v>
      </c>
      <c r="C5" s="123" t="s">
        <v>8</v>
      </c>
      <c r="D5" s="123" t="s">
        <v>221</v>
      </c>
      <c r="E5" s="123" t="s">
        <v>222</v>
      </c>
      <c r="F5" s="124" t="s">
        <v>223</v>
      </c>
      <c r="G5" s="123" t="s">
        <v>150</v>
      </c>
      <c r="H5" s="116">
        <f>WORKDAY(G5,125,'[1]Feriados y Materias'!$B$21:$B$61)</f>
        <v>46037</v>
      </c>
      <c r="I5" s="117" t="s">
        <v>32</v>
      </c>
      <c r="J5" s="123" t="s">
        <v>180</v>
      </c>
      <c r="K5" s="118" t="s">
        <v>43</v>
      </c>
      <c r="L5" s="119" t="s">
        <v>33</v>
      </c>
      <c r="M5" s="124" t="s">
        <v>1391</v>
      </c>
      <c r="N5" s="123" t="s">
        <v>1124</v>
      </c>
      <c r="O5" s="113">
        <v>11</v>
      </c>
      <c r="P5" s="113" t="s">
        <v>1386</v>
      </c>
      <c r="Q5" s="123" t="s">
        <v>1124</v>
      </c>
      <c r="R5" s="112" t="s">
        <v>44</v>
      </c>
      <c r="S5" s="115" t="s">
        <v>105</v>
      </c>
      <c r="T5" s="113" t="s">
        <v>1389</v>
      </c>
      <c r="U5" s="125">
        <v>27651</v>
      </c>
      <c r="V5" s="113"/>
      <c r="W5" s="121" t="s">
        <v>39</v>
      </c>
      <c r="X5" s="120">
        <v>27651</v>
      </c>
      <c r="Y5" s="113"/>
      <c r="Z5" s="113"/>
      <c r="AA5" s="113"/>
      <c r="AB5" s="126" t="s">
        <v>75</v>
      </c>
      <c r="AC5" s="113" t="s">
        <v>155</v>
      </c>
    </row>
    <row r="6" spans="1:29" x14ac:dyDescent="0.35">
      <c r="A6" s="112">
        <v>5</v>
      </c>
      <c r="B6" s="113" t="s">
        <v>16</v>
      </c>
      <c r="C6" s="123" t="s">
        <v>8</v>
      </c>
      <c r="D6" s="123" t="s">
        <v>239</v>
      </c>
      <c r="E6" s="123" t="s">
        <v>240</v>
      </c>
      <c r="F6" s="124" t="s">
        <v>241</v>
      </c>
      <c r="G6" s="123" t="s">
        <v>238</v>
      </c>
      <c r="H6" s="116">
        <f>WORKDAY(G6,125,'[1]Feriados y Materias'!$B$21:$B$61)</f>
        <v>46056</v>
      </c>
      <c r="I6" s="117" t="s">
        <v>32</v>
      </c>
      <c r="J6" s="123" t="s">
        <v>1073</v>
      </c>
      <c r="K6" s="118" t="s">
        <v>43</v>
      </c>
      <c r="L6" s="119" t="s">
        <v>33</v>
      </c>
      <c r="M6" s="124" t="s">
        <v>1392</v>
      </c>
      <c r="N6" s="123" t="s">
        <v>1124</v>
      </c>
      <c r="O6" s="113">
        <v>11</v>
      </c>
      <c r="P6" s="113" t="s">
        <v>1386</v>
      </c>
      <c r="Q6" s="123" t="s">
        <v>1128</v>
      </c>
      <c r="R6" s="112" t="s">
        <v>49</v>
      </c>
      <c r="S6" s="112" t="s">
        <v>165</v>
      </c>
      <c r="T6" s="8" t="s">
        <v>1393</v>
      </c>
      <c r="U6" s="125">
        <v>0</v>
      </c>
      <c r="V6" s="113"/>
      <c r="W6" s="121" t="s">
        <v>39</v>
      </c>
      <c r="X6" s="113"/>
      <c r="Y6" s="113"/>
      <c r="Z6" s="113"/>
      <c r="AA6" s="113"/>
      <c r="AB6" s="122" t="s">
        <v>177</v>
      </c>
      <c r="AC6" s="98" t="s">
        <v>99</v>
      </c>
    </row>
    <row r="7" spans="1:29" x14ac:dyDescent="0.35">
      <c r="A7" s="113">
        <v>6</v>
      </c>
      <c r="B7" s="113" t="s">
        <v>16</v>
      </c>
      <c r="C7" s="123" t="s">
        <v>8</v>
      </c>
      <c r="D7" s="123" t="s">
        <v>204</v>
      </c>
      <c r="E7" s="123" t="s">
        <v>205</v>
      </c>
      <c r="F7" s="124" t="s">
        <v>212</v>
      </c>
      <c r="G7" s="123" t="s">
        <v>145</v>
      </c>
      <c r="H7" s="116">
        <f>WORKDAY(G7,125,'[1]Feriados y Materias'!$B$21:$B$61)</f>
        <v>46008</v>
      </c>
      <c r="I7" s="117" t="s">
        <v>32</v>
      </c>
      <c r="J7" s="123" t="s">
        <v>89</v>
      </c>
      <c r="K7" s="118" t="s">
        <v>43</v>
      </c>
      <c r="L7" s="119" t="s">
        <v>33</v>
      </c>
      <c r="M7" s="124" t="s">
        <v>1394</v>
      </c>
      <c r="N7" s="123" t="s">
        <v>1134</v>
      </c>
      <c r="O7" s="113">
        <v>11</v>
      </c>
      <c r="P7" s="113" t="s">
        <v>1386</v>
      </c>
      <c r="Q7" s="123" t="s">
        <v>1200</v>
      </c>
      <c r="R7" s="112" t="s">
        <v>55</v>
      </c>
      <c r="S7" s="113"/>
      <c r="T7" s="113" t="s">
        <v>1395</v>
      </c>
      <c r="U7" s="125">
        <v>342827</v>
      </c>
      <c r="V7" s="113"/>
      <c r="W7" s="121" t="s">
        <v>39</v>
      </c>
      <c r="X7" s="120">
        <v>342827</v>
      </c>
      <c r="Y7" s="113"/>
      <c r="Z7" s="113"/>
      <c r="AA7" s="113"/>
      <c r="AB7" s="126" t="s">
        <v>75</v>
      </c>
      <c r="AC7" s="113" t="s">
        <v>155</v>
      </c>
    </row>
    <row r="8" spans="1:29" x14ac:dyDescent="0.35">
      <c r="A8" s="112">
        <v>7</v>
      </c>
      <c r="B8" s="113" t="s">
        <v>16</v>
      </c>
      <c r="C8" s="123" t="s">
        <v>8</v>
      </c>
      <c r="D8" s="123" t="s">
        <v>204</v>
      </c>
      <c r="E8" s="123" t="s">
        <v>205</v>
      </c>
      <c r="F8" s="124" t="s">
        <v>207</v>
      </c>
      <c r="G8" s="123" t="s">
        <v>145</v>
      </c>
      <c r="H8" s="116">
        <f>WORKDAY(G8,125,'[1]Feriados y Materias'!$B$21:$B$61)</f>
        <v>46008</v>
      </c>
      <c r="I8" s="117" t="s">
        <v>32</v>
      </c>
      <c r="J8" s="123" t="s">
        <v>89</v>
      </c>
      <c r="K8" s="118" t="s">
        <v>43</v>
      </c>
      <c r="L8" s="119" t="s">
        <v>33</v>
      </c>
      <c r="M8" s="124" t="s">
        <v>1396</v>
      </c>
      <c r="N8" s="123" t="s">
        <v>1134</v>
      </c>
      <c r="O8" s="113">
        <v>11</v>
      </c>
      <c r="P8" s="113" t="s">
        <v>1386</v>
      </c>
      <c r="Q8" s="123" t="s">
        <v>1200</v>
      </c>
      <c r="R8" s="112" t="s">
        <v>55</v>
      </c>
      <c r="S8" s="113"/>
      <c r="T8" s="113" t="s">
        <v>1395</v>
      </c>
      <c r="U8" s="125">
        <v>107807</v>
      </c>
      <c r="V8" s="113"/>
      <c r="W8" s="121" t="s">
        <v>39</v>
      </c>
      <c r="X8" s="120">
        <v>107807</v>
      </c>
      <c r="Y8" s="113"/>
      <c r="Z8" s="113"/>
      <c r="AA8" s="113"/>
      <c r="AB8" s="126" t="s">
        <v>75</v>
      </c>
      <c r="AC8" s="113" t="s">
        <v>155</v>
      </c>
    </row>
    <row r="9" spans="1:29" x14ac:dyDescent="0.35">
      <c r="A9" s="113">
        <v>8</v>
      </c>
      <c r="B9" s="113" t="s">
        <v>16</v>
      </c>
      <c r="C9" s="123" t="s">
        <v>8</v>
      </c>
      <c r="D9" s="123" t="s">
        <v>204</v>
      </c>
      <c r="E9" s="123" t="s">
        <v>205</v>
      </c>
      <c r="F9" s="124" t="s">
        <v>213</v>
      </c>
      <c r="G9" s="123" t="s">
        <v>145</v>
      </c>
      <c r="H9" s="116">
        <f>WORKDAY(G9,125,'[1]Feriados y Materias'!$B$21:$B$61)</f>
        <v>46008</v>
      </c>
      <c r="I9" s="117" t="s">
        <v>32</v>
      </c>
      <c r="J9" s="123" t="s">
        <v>89</v>
      </c>
      <c r="K9" s="118" t="s">
        <v>43</v>
      </c>
      <c r="L9" s="119" t="s">
        <v>33</v>
      </c>
      <c r="M9" s="124" t="s">
        <v>1397</v>
      </c>
      <c r="N9" s="123" t="s">
        <v>1134</v>
      </c>
      <c r="O9" s="113">
        <v>11</v>
      </c>
      <c r="P9" s="113" t="s">
        <v>1386</v>
      </c>
      <c r="Q9" s="123" t="s">
        <v>1200</v>
      </c>
      <c r="R9" s="112" t="s">
        <v>55</v>
      </c>
      <c r="S9" s="113"/>
      <c r="T9" s="127" t="s">
        <v>1398</v>
      </c>
      <c r="U9" s="125">
        <v>390026</v>
      </c>
      <c r="V9" s="113"/>
      <c r="W9" s="121" t="s">
        <v>39</v>
      </c>
      <c r="X9" s="120">
        <v>390026</v>
      </c>
      <c r="Y9" s="113"/>
      <c r="Z9" s="113"/>
      <c r="AA9" s="113"/>
      <c r="AB9" s="126" t="s">
        <v>75</v>
      </c>
      <c r="AC9" s="113" t="s">
        <v>155</v>
      </c>
    </row>
    <row r="10" spans="1:29" x14ac:dyDescent="0.35">
      <c r="A10" s="112">
        <v>9</v>
      </c>
      <c r="B10" s="113" t="s">
        <v>16</v>
      </c>
      <c r="C10" s="123" t="s">
        <v>8</v>
      </c>
      <c r="D10" s="123" t="s">
        <v>204</v>
      </c>
      <c r="E10" s="123" t="s">
        <v>205</v>
      </c>
      <c r="F10" s="124" t="s">
        <v>208</v>
      </c>
      <c r="G10" s="123" t="s">
        <v>145</v>
      </c>
      <c r="H10" s="116">
        <f>WORKDAY(G10,125,'[1]Feriados y Materias'!$B$21:$B$61)</f>
        <v>46008</v>
      </c>
      <c r="I10" s="117" t="s">
        <v>32</v>
      </c>
      <c r="J10" s="123" t="s">
        <v>89</v>
      </c>
      <c r="K10" s="118" t="s">
        <v>43</v>
      </c>
      <c r="L10" s="119" t="s">
        <v>33</v>
      </c>
      <c r="M10" s="124" t="s">
        <v>1399</v>
      </c>
      <c r="N10" s="123" t="s">
        <v>1134</v>
      </c>
      <c r="O10" s="113">
        <v>11</v>
      </c>
      <c r="P10" s="113" t="s">
        <v>1386</v>
      </c>
      <c r="Q10" s="123" t="s">
        <v>1200</v>
      </c>
      <c r="R10" s="112" t="s">
        <v>55</v>
      </c>
      <c r="S10" s="113"/>
      <c r="T10" s="127" t="s">
        <v>1398</v>
      </c>
      <c r="U10" s="125">
        <v>122649</v>
      </c>
      <c r="V10" s="113"/>
      <c r="W10" s="121" t="s">
        <v>39</v>
      </c>
      <c r="X10" s="120">
        <v>122649</v>
      </c>
      <c r="Y10" s="113"/>
      <c r="Z10" s="113"/>
      <c r="AA10" s="113"/>
      <c r="AB10" s="126" t="s">
        <v>75</v>
      </c>
      <c r="AC10" s="113" t="s">
        <v>155</v>
      </c>
    </row>
    <row r="11" spans="1:29" x14ac:dyDescent="0.35">
      <c r="A11" s="113">
        <v>10</v>
      </c>
      <c r="B11" s="113" t="s">
        <v>16</v>
      </c>
      <c r="C11" s="123" t="s">
        <v>8</v>
      </c>
      <c r="D11" s="123" t="s">
        <v>204</v>
      </c>
      <c r="E11" s="123" t="s">
        <v>205</v>
      </c>
      <c r="F11" s="124" t="s">
        <v>206</v>
      </c>
      <c r="G11" s="123" t="s">
        <v>145</v>
      </c>
      <c r="H11" s="116">
        <f>WORKDAY(G11,125,'[1]Feriados y Materias'!$B$21:$B$61)</f>
        <v>46008</v>
      </c>
      <c r="I11" s="117" t="s">
        <v>32</v>
      </c>
      <c r="J11" s="123" t="s">
        <v>89</v>
      </c>
      <c r="K11" s="118" t="s">
        <v>43</v>
      </c>
      <c r="L11" s="119" t="s">
        <v>33</v>
      </c>
      <c r="M11" s="124" t="s">
        <v>1400</v>
      </c>
      <c r="N11" s="123" t="s">
        <v>1134</v>
      </c>
      <c r="O11" s="113">
        <v>11</v>
      </c>
      <c r="P11" s="113" t="s">
        <v>1386</v>
      </c>
      <c r="Q11" s="123" t="s">
        <v>1200</v>
      </c>
      <c r="R11" s="112" t="s">
        <v>55</v>
      </c>
      <c r="S11" s="113"/>
      <c r="T11" s="127" t="s">
        <v>1401</v>
      </c>
      <c r="U11" s="125">
        <v>59739</v>
      </c>
      <c r="V11" s="113"/>
      <c r="W11" s="121" t="s">
        <v>39</v>
      </c>
      <c r="X11" s="120">
        <v>59739</v>
      </c>
      <c r="Y11" s="113"/>
      <c r="Z11" s="113"/>
      <c r="AA11" s="113"/>
      <c r="AB11" s="126" t="s">
        <v>75</v>
      </c>
      <c r="AC11" s="113" t="s">
        <v>155</v>
      </c>
    </row>
    <row r="12" spans="1:29" x14ac:dyDescent="0.35">
      <c r="A12" s="112">
        <v>11</v>
      </c>
      <c r="B12" s="113" t="s">
        <v>16</v>
      </c>
      <c r="C12" s="123" t="s">
        <v>8</v>
      </c>
      <c r="D12" s="123" t="s">
        <v>204</v>
      </c>
      <c r="E12" s="123" t="s">
        <v>205</v>
      </c>
      <c r="F12" s="124" t="s">
        <v>210</v>
      </c>
      <c r="G12" s="123" t="s">
        <v>145</v>
      </c>
      <c r="H12" s="116">
        <f>WORKDAY(G12,125,'[1]Feriados y Materias'!$B$21:$B$61)</f>
        <v>46008</v>
      </c>
      <c r="I12" s="117" t="s">
        <v>32</v>
      </c>
      <c r="J12" s="123" t="s">
        <v>89</v>
      </c>
      <c r="K12" s="118" t="s">
        <v>43</v>
      </c>
      <c r="L12" s="119" t="s">
        <v>33</v>
      </c>
      <c r="M12" s="124" t="s">
        <v>1402</v>
      </c>
      <c r="N12" s="123" t="s">
        <v>1134</v>
      </c>
      <c r="O12" s="113">
        <v>11</v>
      </c>
      <c r="P12" s="113" t="s">
        <v>1386</v>
      </c>
      <c r="Q12" s="123" t="s">
        <v>1200</v>
      </c>
      <c r="R12" s="112" t="s">
        <v>55</v>
      </c>
      <c r="S12" s="113"/>
      <c r="T12" s="127" t="s">
        <v>1401</v>
      </c>
      <c r="U12" s="125">
        <v>1053324</v>
      </c>
      <c r="V12" s="113"/>
      <c r="W12" s="121" t="s">
        <v>39</v>
      </c>
      <c r="X12" s="120">
        <v>1053324</v>
      </c>
      <c r="Y12" s="113"/>
      <c r="Z12" s="113"/>
      <c r="AA12" s="113"/>
      <c r="AB12" s="126" t="s">
        <v>75</v>
      </c>
      <c r="AC12" s="113" t="s">
        <v>155</v>
      </c>
    </row>
    <row r="13" spans="1:29" x14ac:dyDescent="0.35">
      <c r="A13" s="113">
        <v>12</v>
      </c>
      <c r="B13" s="113" t="s">
        <v>16</v>
      </c>
      <c r="C13" s="123" t="s">
        <v>8</v>
      </c>
      <c r="D13" s="123" t="s">
        <v>204</v>
      </c>
      <c r="E13" s="123" t="s">
        <v>205</v>
      </c>
      <c r="F13" s="124" t="s">
        <v>209</v>
      </c>
      <c r="G13" s="123" t="s">
        <v>145</v>
      </c>
      <c r="H13" s="116">
        <f>WORKDAY(G13,125,'[1]Feriados y Materias'!$B$21:$B$61)</f>
        <v>46008</v>
      </c>
      <c r="I13" s="117" t="s">
        <v>32</v>
      </c>
      <c r="J13" s="123" t="s">
        <v>89</v>
      </c>
      <c r="K13" s="118" t="s">
        <v>43</v>
      </c>
      <c r="L13" s="119" t="s">
        <v>33</v>
      </c>
      <c r="M13" s="124" t="s">
        <v>1403</v>
      </c>
      <c r="N13" s="123" t="s">
        <v>1134</v>
      </c>
      <c r="O13" s="113">
        <v>11</v>
      </c>
      <c r="P13" s="113" t="s">
        <v>1386</v>
      </c>
      <c r="Q13" s="123" t="s">
        <v>1200</v>
      </c>
      <c r="R13" s="112" t="s">
        <v>55</v>
      </c>
      <c r="S13" s="113"/>
      <c r="T13" s="127" t="s">
        <v>1404</v>
      </c>
      <c r="U13" s="125">
        <v>41038</v>
      </c>
      <c r="V13" s="113"/>
      <c r="W13" s="121" t="s">
        <v>39</v>
      </c>
      <c r="X13" s="120">
        <v>41038</v>
      </c>
      <c r="Y13" s="113"/>
      <c r="Z13" s="113"/>
      <c r="AA13" s="113"/>
      <c r="AB13" s="126" t="s">
        <v>75</v>
      </c>
      <c r="AC13" s="113" t="s">
        <v>155</v>
      </c>
    </row>
    <row r="14" spans="1:29" x14ac:dyDescent="0.35">
      <c r="A14" s="112">
        <v>13</v>
      </c>
      <c r="B14" s="113" t="s">
        <v>16</v>
      </c>
      <c r="C14" s="123" t="s">
        <v>8</v>
      </c>
      <c r="D14" s="123" t="s">
        <v>204</v>
      </c>
      <c r="E14" s="123" t="s">
        <v>205</v>
      </c>
      <c r="F14" s="124" t="s">
        <v>214</v>
      </c>
      <c r="G14" s="123" t="s">
        <v>145</v>
      </c>
      <c r="H14" s="116">
        <f>WORKDAY(G14,125,'[1]Feriados y Materias'!$B$21:$B$61)</f>
        <v>46008</v>
      </c>
      <c r="I14" s="117" t="s">
        <v>32</v>
      </c>
      <c r="J14" s="123" t="s">
        <v>89</v>
      </c>
      <c r="K14" s="118" t="s">
        <v>43</v>
      </c>
      <c r="L14" s="119" t="s">
        <v>33</v>
      </c>
      <c r="M14" s="124" t="s">
        <v>1405</v>
      </c>
      <c r="N14" s="123" t="s">
        <v>1134</v>
      </c>
      <c r="O14" s="113">
        <v>11</v>
      </c>
      <c r="P14" s="113" t="s">
        <v>1386</v>
      </c>
      <c r="Q14" s="123" t="s">
        <v>1200</v>
      </c>
      <c r="R14" s="112" t="s">
        <v>55</v>
      </c>
      <c r="S14" s="113"/>
      <c r="T14" s="127" t="s">
        <v>1404</v>
      </c>
      <c r="U14" s="125">
        <v>130502</v>
      </c>
      <c r="V14" s="113"/>
      <c r="W14" s="121" t="s">
        <v>39</v>
      </c>
      <c r="X14" s="120">
        <v>130502</v>
      </c>
      <c r="Y14" s="113"/>
      <c r="Z14" s="113"/>
      <c r="AA14" s="113"/>
      <c r="AB14" s="126" t="s">
        <v>75</v>
      </c>
      <c r="AC14" s="113" t="s">
        <v>155</v>
      </c>
    </row>
    <row r="15" spans="1:29" x14ac:dyDescent="0.35">
      <c r="A15" s="113">
        <v>14</v>
      </c>
      <c r="B15" s="113" t="s">
        <v>16</v>
      </c>
      <c r="C15" s="123" t="s">
        <v>8</v>
      </c>
      <c r="D15" s="123" t="s">
        <v>311</v>
      </c>
      <c r="E15" s="123" t="s">
        <v>312</v>
      </c>
      <c r="F15" s="124" t="s">
        <v>416</v>
      </c>
      <c r="G15" s="123" t="s">
        <v>164</v>
      </c>
      <c r="H15" s="116">
        <f>WORKDAY(G15,125,'[1]Feriados y Materias'!$B$21:$B$61)</f>
        <v>46080</v>
      </c>
      <c r="I15" s="117" t="s">
        <v>32</v>
      </c>
      <c r="J15" s="123" t="s">
        <v>93</v>
      </c>
      <c r="K15" s="118" t="s">
        <v>43</v>
      </c>
      <c r="L15" s="119" t="s">
        <v>33</v>
      </c>
      <c r="M15" s="124" t="s">
        <v>1406</v>
      </c>
      <c r="N15" s="123" t="s">
        <v>1407</v>
      </c>
      <c r="O15" s="113">
        <v>11</v>
      </c>
      <c r="P15" s="113" t="s">
        <v>1386</v>
      </c>
      <c r="Q15" s="123" t="s">
        <v>1407</v>
      </c>
      <c r="R15" s="112" t="s">
        <v>61</v>
      </c>
      <c r="S15" s="128" t="s">
        <v>134</v>
      </c>
      <c r="T15" s="113" t="s">
        <v>1408</v>
      </c>
      <c r="U15" s="129"/>
      <c r="V15" s="125">
        <v>1338</v>
      </c>
      <c r="W15" s="130" t="s">
        <v>1092</v>
      </c>
      <c r="X15" s="129"/>
      <c r="Y15" s="113"/>
      <c r="Z15" s="113"/>
      <c r="AA15" s="120">
        <v>1338</v>
      </c>
      <c r="AB15" s="126" t="s">
        <v>177</v>
      </c>
      <c r="AC15" s="113" t="s">
        <v>155</v>
      </c>
    </row>
    <row r="16" spans="1:29" ht="29" x14ac:dyDescent="0.35">
      <c r="A16" s="112">
        <v>15</v>
      </c>
      <c r="B16" s="113" t="s">
        <v>16</v>
      </c>
      <c r="C16" s="123" t="s">
        <v>8</v>
      </c>
      <c r="D16" s="123" t="s">
        <v>253</v>
      </c>
      <c r="E16" s="123" t="s">
        <v>254</v>
      </c>
      <c r="F16" s="124" t="s">
        <v>255</v>
      </c>
      <c r="G16" s="123" t="s">
        <v>252</v>
      </c>
      <c r="H16" s="116">
        <f>WORKDAY(G16,125,'[1]Feriados y Materias'!$B$21:$B$61)</f>
        <v>46062</v>
      </c>
      <c r="I16" s="117" t="s">
        <v>32</v>
      </c>
      <c r="J16" s="123" t="s">
        <v>1073</v>
      </c>
      <c r="K16" s="118" t="s">
        <v>43</v>
      </c>
      <c r="L16" s="119" t="s">
        <v>33</v>
      </c>
      <c r="M16" s="124" t="s">
        <v>1409</v>
      </c>
      <c r="N16" s="123" t="s">
        <v>1407</v>
      </c>
      <c r="O16" s="113">
        <v>11</v>
      </c>
      <c r="P16" s="113" t="s">
        <v>1386</v>
      </c>
      <c r="Q16" s="123" t="s">
        <v>1407</v>
      </c>
      <c r="R16" s="112" t="s">
        <v>49</v>
      </c>
      <c r="S16" s="128" t="s">
        <v>1410</v>
      </c>
      <c r="T16" s="131" t="s">
        <v>1411</v>
      </c>
      <c r="U16" s="125">
        <v>0</v>
      </c>
      <c r="V16" s="113"/>
      <c r="W16" s="121" t="s">
        <v>39</v>
      </c>
      <c r="X16" s="113"/>
      <c r="Y16" s="113"/>
      <c r="Z16" s="113"/>
      <c r="AA16" s="113"/>
      <c r="AB16" s="122" t="s">
        <v>177</v>
      </c>
      <c r="AC16" s="98" t="s">
        <v>99</v>
      </c>
    </row>
    <row r="17" spans="1:29" ht="29" x14ac:dyDescent="0.35">
      <c r="A17" s="113">
        <v>16</v>
      </c>
      <c r="B17" s="113" t="s">
        <v>16</v>
      </c>
      <c r="C17" s="123" t="s">
        <v>8</v>
      </c>
      <c r="D17" s="123" t="s">
        <v>266</v>
      </c>
      <c r="E17" s="123" t="s">
        <v>267</v>
      </c>
      <c r="F17" s="124" t="s">
        <v>269</v>
      </c>
      <c r="G17" s="123" t="s">
        <v>158</v>
      </c>
      <c r="H17" s="116">
        <f>WORKDAY(G17,125,'[1]Feriados y Materias'!$B$21:$B$61)</f>
        <v>46064</v>
      </c>
      <c r="I17" s="117" t="s">
        <v>32</v>
      </c>
      <c r="J17" s="123" t="s">
        <v>169</v>
      </c>
      <c r="K17" s="118" t="s">
        <v>43</v>
      </c>
      <c r="L17" s="119" t="s">
        <v>33</v>
      </c>
      <c r="M17" s="124" t="s">
        <v>1412</v>
      </c>
      <c r="N17" s="123" t="s">
        <v>1407</v>
      </c>
      <c r="O17" s="113">
        <v>11</v>
      </c>
      <c r="P17" s="113" t="s">
        <v>1386</v>
      </c>
      <c r="Q17" s="123" t="s">
        <v>1407</v>
      </c>
      <c r="R17" s="112" t="s">
        <v>54</v>
      </c>
      <c r="S17" s="128" t="s">
        <v>144</v>
      </c>
      <c r="T17" s="111" t="s">
        <v>1413</v>
      </c>
      <c r="U17" s="125">
        <v>454264</v>
      </c>
      <c r="V17" s="113"/>
      <c r="W17" s="121" t="s">
        <v>39</v>
      </c>
      <c r="X17" s="120">
        <v>454264</v>
      </c>
      <c r="Y17" s="113"/>
      <c r="Z17" s="113"/>
      <c r="AA17" s="113"/>
      <c r="AB17" s="126" t="s">
        <v>75</v>
      </c>
      <c r="AC17" s="113" t="s">
        <v>155</v>
      </c>
    </row>
    <row r="18" spans="1:29" ht="29" x14ac:dyDescent="0.35">
      <c r="A18" s="112">
        <v>17</v>
      </c>
      <c r="B18" s="113" t="s">
        <v>16</v>
      </c>
      <c r="C18" s="123" t="s">
        <v>8</v>
      </c>
      <c r="D18" s="123" t="s">
        <v>266</v>
      </c>
      <c r="E18" s="123" t="s">
        <v>267</v>
      </c>
      <c r="F18" s="124" t="s">
        <v>268</v>
      </c>
      <c r="G18" s="123" t="s">
        <v>158</v>
      </c>
      <c r="H18" s="116">
        <f>WORKDAY(G18,125,'[1]Feriados y Materias'!$B$21:$B$61)</f>
        <v>46064</v>
      </c>
      <c r="I18" s="117" t="s">
        <v>32</v>
      </c>
      <c r="J18" s="123" t="s">
        <v>169</v>
      </c>
      <c r="K18" s="118" t="s">
        <v>43</v>
      </c>
      <c r="L18" s="119" t="s">
        <v>33</v>
      </c>
      <c r="M18" s="124" t="s">
        <v>1414</v>
      </c>
      <c r="N18" s="123" t="s">
        <v>1407</v>
      </c>
      <c r="O18" s="113">
        <v>11</v>
      </c>
      <c r="P18" s="113" t="s">
        <v>1386</v>
      </c>
      <c r="Q18" s="123" t="s">
        <v>1407</v>
      </c>
      <c r="R18" s="112" t="s">
        <v>54</v>
      </c>
      <c r="S18" s="128" t="s">
        <v>144</v>
      </c>
      <c r="T18" s="111" t="s">
        <v>1413</v>
      </c>
      <c r="U18" s="113"/>
      <c r="V18" s="125">
        <v>227132</v>
      </c>
      <c r="W18" s="121" t="s">
        <v>39</v>
      </c>
      <c r="X18" s="113"/>
      <c r="Y18" s="120">
        <v>227132</v>
      </c>
      <c r="Z18" s="113"/>
      <c r="AA18" s="113"/>
      <c r="AB18" s="126" t="s">
        <v>75</v>
      </c>
      <c r="AC18" s="113" t="s">
        <v>155</v>
      </c>
    </row>
    <row r="19" spans="1:29" x14ac:dyDescent="0.35">
      <c r="A19" s="113">
        <v>18</v>
      </c>
      <c r="B19" s="113" t="s">
        <v>16</v>
      </c>
      <c r="C19" s="123" t="s">
        <v>8</v>
      </c>
      <c r="D19" s="123" t="s">
        <v>311</v>
      </c>
      <c r="E19" s="123" t="s">
        <v>312</v>
      </c>
      <c r="F19" s="124" t="s">
        <v>314</v>
      </c>
      <c r="G19" s="123" t="s">
        <v>161</v>
      </c>
      <c r="H19" s="116">
        <f>WORKDAY(G19,125,'[1]Feriados y Materias'!$B$21:$B$61)</f>
        <v>46071</v>
      </c>
      <c r="I19" s="117" t="s">
        <v>32</v>
      </c>
      <c r="J19" s="123" t="s">
        <v>93</v>
      </c>
      <c r="K19" s="118" t="s">
        <v>43</v>
      </c>
      <c r="L19" s="119" t="s">
        <v>33</v>
      </c>
      <c r="M19" s="124" t="s">
        <v>1415</v>
      </c>
      <c r="N19" s="123" t="s">
        <v>1148</v>
      </c>
      <c r="O19" s="113">
        <v>11</v>
      </c>
      <c r="P19" s="113" t="s">
        <v>1386</v>
      </c>
      <c r="Q19" s="123" t="s">
        <v>1148</v>
      </c>
      <c r="R19" s="112" t="s">
        <v>47</v>
      </c>
      <c r="S19" s="113"/>
      <c r="T19" s="113" t="s">
        <v>1408</v>
      </c>
      <c r="U19" s="125">
        <v>24582</v>
      </c>
      <c r="V19" s="113"/>
      <c r="W19" s="130" t="s">
        <v>1092</v>
      </c>
      <c r="X19" s="113"/>
      <c r="Y19" s="113"/>
      <c r="Z19" s="120">
        <v>24582</v>
      </c>
      <c r="AA19" s="113"/>
      <c r="AB19" s="122" t="s">
        <v>177</v>
      </c>
      <c r="AC19" s="98" t="s">
        <v>99</v>
      </c>
    </row>
    <row r="20" spans="1:29" x14ac:dyDescent="0.35">
      <c r="A20" s="112">
        <v>19</v>
      </c>
      <c r="B20" s="113" t="s">
        <v>16</v>
      </c>
      <c r="C20" s="123" t="s">
        <v>8</v>
      </c>
      <c r="D20" s="123" t="s">
        <v>311</v>
      </c>
      <c r="E20" s="123" t="s">
        <v>312</v>
      </c>
      <c r="F20" s="124" t="s">
        <v>313</v>
      </c>
      <c r="G20" s="123" t="s">
        <v>161</v>
      </c>
      <c r="H20" s="116">
        <f>WORKDAY(G20,125,'[1]Feriados y Materias'!$B$21:$B$61)</f>
        <v>46071</v>
      </c>
      <c r="I20" s="117" t="s">
        <v>32</v>
      </c>
      <c r="J20" s="123" t="s">
        <v>93</v>
      </c>
      <c r="K20" s="118" t="s">
        <v>43</v>
      </c>
      <c r="L20" s="119" t="s">
        <v>33</v>
      </c>
      <c r="M20" s="124" t="s">
        <v>1416</v>
      </c>
      <c r="N20" s="123" t="s">
        <v>1148</v>
      </c>
      <c r="O20" s="113">
        <v>11</v>
      </c>
      <c r="P20" s="113" t="s">
        <v>1386</v>
      </c>
      <c r="Q20" s="123" t="s">
        <v>1148</v>
      </c>
      <c r="R20" s="112" t="s">
        <v>47</v>
      </c>
      <c r="S20" s="113"/>
      <c r="T20" s="113" t="s">
        <v>1408</v>
      </c>
      <c r="U20" s="125">
        <v>62262</v>
      </c>
      <c r="V20" s="113"/>
      <c r="W20" s="130" t="s">
        <v>1092</v>
      </c>
      <c r="X20" s="113"/>
      <c r="Y20" s="113"/>
      <c r="Z20" s="120">
        <v>62262</v>
      </c>
      <c r="AA20" s="113"/>
      <c r="AB20" s="122" t="s">
        <v>177</v>
      </c>
      <c r="AC20" s="98" t="s">
        <v>99</v>
      </c>
    </row>
    <row r="21" spans="1:29" ht="29" x14ac:dyDescent="0.35">
      <c r="A21" s="113">
        <v>20</v>
      </c>
      <c r="B21" s="113" t="s">
        <v>16</v>
      </c>
      <c r="C21" s="123" t="s">
        <v>8</v>
      </c>
      <c r="D21" s="123" t="s">
        <v>226</v>
      </c>
      <c r="E21" s="123" t="s">
        <v>227</v>
      </c>
      <c r="F21" s="124" t="s">
        <v>228</v>
      </c>
      <c r="G21" s="123" t="s">
        <v>229</v>
      </c>
      <c r="H21" s="116">
        <f>WORKDAY(G21,125,'[1]Feriados y Materias'!$B$21:$B$61)</f>
        <v>46049</v>
      </c>
      <c r="I21" s="117" t="s">
        <v>32</v>
      </c>
      <c r="J21" s="123" t="s">
        <v>78</v>
      </c>
      <c r="K21" s="118" t="s">
        <v>43</v>
      </c>
      <c r="L21" s="119" t="s">
        <v>33</v>
      </c>
      <c r="M21" s="124" t="s">
        <v>1417</v>
      </c>
      <c r="N21" s="123" t="s">
        <v>1152</v>
      </c>
      <c r="O21" s="113">
        <v>11</v>
      </c>
      <c r="P21" s="113" t="s">
        <v>1386</v>
      </c>
      <c r="Q21" s="123" t="s">
        <v>1152</v>
      </c>
      <c r="R21" s="112" t="s">
        <v>61</v>
      </c>
      <c r="S21" s="128" t="s">
        <v>171</v>
      </c>
      <c r="T21" s="111" t="s">
        <v>1418</v>
      </c>
      <c r="U21" s="113"/>
      <c r="V21" s="125">
        <v>28520</v>
      </c>
      <c r="W21" s="121" t="s">
        <v>39</v>
      </c>
      <c r="X21" s="113"/>
      <c r="Y21" s="120">
        <v>28520</v>
      </c>
      <c r="Z21" s="113"/>
      <c r="AA21" s="113"/>
      <c r="AB21" s="126" t="s">
        <v>75</v>
      </c>
      <c r="AC21" s="113" t="s">
        <v>155</v>
      </c>
    </row>
    <row r="22" spans="1:29" x14ac:dyDescent="0.35">
      <c r="A22" s="112">
        <v>21</v>
      </c>
      <c r="B22" s="113" t="s">
        <v>16</v>
      </c>
      <c r="C22" s="123" t="s">
        <v>8</v>
      </c>
      <c r="D22" s="123" t="s">
        <v>81</v>
      </c>
      <c r="E22" s="123" t="s">
        <v>82</v>
      </c>
      <c r="F22" s="124" t="s">
        <v>248</v>
      </c>
      <c r="G22" s="123" t="s">
        <v>247</v>
      </c>
      <c r="H22" s="116">
        <f>WORKDAY(G22,125,'[1]Feriados y Materias'!$B$21:$B$61)</f>
        <v>46059</v>
      </c>
      <c r="I22" s="117" t="s">
        <v>32</v>
      </c>
      <c r="J22" s="123" t="s">
        <v>89</v>
      </c>
      <c r="K22" s="118" t="s">
        <v>43</v>
      </c>
      <c r="L22" s="119" t="s">
        <v>33</v>
      </c>
      <c r="M22" s="124" t="s">
        <v>1419</v>
      </c>
      <c r="N22" s="123" t="s">
        <v>1240</v>
      </c>
      <c r="O22" s="113">
        <v>11</v>
      </c>
      <c r="P22" s="113" t="s">
        <v>1386</v>
      </c>
      <c r="Q22" s="123" t="s">
        <v>1240</v>
      </c>
      <c r="R22" s="112" t="s">
        <v>64</v>
      </c>
      <c r="S22" s="128" t="s">
        <v>122</v>
      </c>
      <c r="T22" s="113" t="s">
        <v>1420</v>
      </c>
      <c r="U22" s="125">
        <v>2444760</v>
      </c>
      <c r="V22" s="113"/>
      <c r="W22" s="121" t="s">
        <v>39</v>
      </c>
      <c r="X22" s="120">
        <v>2444760</v>
      </c>
      <c r="Y22" s="113"/>
      <c r="Z22" s="113"/>
      <c r="AA22" s="113"/>
      <c r="AB22" s="122" t="s">
        <v>1421</v>
      </c>
      <c r="AC22" s="113" t="s">
        <v>155</v>
      </c>
    </row>
    <row r="23" spans="1:29" ht="29" x14ac:dyDescent="0.35">
      <c r="A23" s="113">
        <v>22</v>
      </c>
      <c r="B23" s="113" t="s">
        <v>16</v>
      </c>
      <c r="C23" s="123" t="s">
        <v>8</v>
      </c>
      <c r="D23" s="123" t="s">
        <v>797</v>
      </c>
      <c r="E23" s="123" t="s">
        <v>798</v>
      </c>
      <c r="F23" s="124" t="s">
        <v>799</v>
      </c>
      <c r="G23" s="123" t="s">
        <v>163</v>
      </c>
      <c r="H23" s="116">
        <f>WORKDAY(G23,125,'[1]Feriados y Materias'!$B$21:$B$61)</f>
        <v>46079</v>
      </c>
      <c r="I23" s="117" t="s">
        <v>32</v>
      </c>
      <c r="J23" s="123" t="s">
        <v>89</v>
      </c>
      <c r="K23" s="118" t="s">
        <v>43</v>
      </c>
      <c r="L23" s="119" t="s">
        <v>33</v>
      </c>
      <c r="M23" s="124" t="s">
        <v>1422</v>
      </c>
      <c r="N23" s="123" t="s">
        <v>1423</v>
      </c>
      <c r="O23" s="113">
        <v>11</v>
      </c>
      <c r="P23" s="113" t="s">
        <v>1386</v>
      </c>
      <c r="Q23" s="123" t="s">
        <v>1423</v>
      </c>
      <c r="R23" s="112" t="s">
        <v>61</v>
      </c>
      <c r="S23" s="128" t="s">
        <v>133</v>
      </c>
      <c r="T23" s="113" t="s">
        <v>1424</v>
      </c>
      <c r="U23" s="129"/>
      <c r="V23" s="125">
        <v>4400</v>
      </c>
      <c r="W23" s="130" t="s">
        <v>1092</v>
      </c>
      <c r="X23" s="113"/>
      <c r="Y23" s="113"/>
      <c r="Z23" s="113"/>
      <c r="AA23" s="120">
        <v>4400</v>
      </c>
      <c r="AB23" s="122" t="s">
        <v>177</v>
      </c>
      <c r="AC23" s="113" t="s">
        <v>155</v>
      </c>
    </row>
    <row r="24" spans="1:29" x14ac:dyDescent="0.35">
      <c r="A24" s="112">
        <v>23</v>
      </c>
      <c r="B24" s="113" t="s">
        <v>16</v>
      </c>
      <c r="C24" s="123" t="s">
        <v>8</v>
      </c>
      <c r="D24" s="123" t="s">
        <v>249</v>
      </c>
      <c r="E24" s="123" t="s">
        <v>250</v>
      </c>
      <c r="F24" s="124" t="s">
        <v>251</v>
      </c>
      <c r="G24" s="123" t="s">
        <v>252</v>
      </c>
      <c r="H24" s="116">
        <f>WORKDAY(G24,125,'[1]Feriados y Materias'!$B$21:$B$61)</f>
        <v>46062</v>
      </c>
      <c r="I24" s="117" t="s">
        <v>32</v>
      </c>
      <c r="J24" s="123" t="s">
        <v>169</v>
      </c>
      <c r="K24" s="118" t="s">
        <v>43</v>
      </c>
      <c r="L24" s="119" t="s">
        <v>33</v>
      </c>
      <c r="M24" s="124" t="s">
        <v>1425</v>
      </c>
      <c r="N24" s="123" t="s">
        <v>1423</v>
      </c>
      <c r="O24" s="113">
        <v>11</v>
      </c>
      <c r="P24" s="113" t="s">
        <v>1386</v>
      </c>
      <c r="Q24" s="123" t="s">
        <v>1423</v>
      </c>
      <c r="R24" s="112" t="s">
        <v>61</v>
      </c>
      <c r="S24" s="128" t="s">
        <v>171</v>
      </c>
      <c r="T24" s="111" t="s">
        <v>1426</v>
      </c>
      <c r="U24" s="125"/>
      <c r="V24" s="125">
        <v>180466</v>
      </c>
      <c r="W24" s="121" t="s">
        <v>39</v>
      </c>
      <c r="X24" s="113"/>
      <c r="Y24" s="120">
        <v>180466</v>
      </c>
      <c r="Z24" s="113"/>
      <c r="AA24" s="113"/>
      <c r="AB24" s="122" t="s">
        <v>75</v>
      </c>
      <c r="AC24" s="113" t="s">
        <v>155</v>
      </c>
    </row>
    <row r="25" spans="1:29" x14ac:dyDescent="0.35">
      <c r="A25" s="113">
        <v>24</v>
      </c>
      <c r="B25" s="113" t="s">
        <v>16</v>
      </c>
      <c r="C25" s="123" t="s">
        <v>8</v>
      </c>
      <c r="D25" s="123" t="s">
        <v>231</v>
      </c>
      <c r="E25" s="123" t="s">
        <v>232</v>
      </c>
      <c r="F25" s="124" t="s">
        <v>280</v>
      </c>
      <c r="G25" s="123" t="s">
        <v>158</v>
      </c>
      <c r="H25" s="116">
        <f>WORKDAY(G25,125,'[1]Feriados y Materias'!$B$21:$B$61)</f>
        <v>46064</v>
      </c>
      <c r="I25" s="117" t="s">
        <v>32</v>
      </c>
      <c r="J25" s="123" t="s">
        <v>93</v>
      </c>
      <c r="K25" s="118" t="s">
        <v>43</v>
      </c>
      <c r="L25" s="119" t="s">
        <v>33</v>
      </c>
      <c r="M25" s="124" t="s">
        <v>1427</v>
      </c>
      <c r="N25" s="123" t="s">
        <v>1428</v>
      </c>
      <c r="O25" s="113">
        <v>11</v>
      </c>
      <c r="P25" s="113" t="s">
        <v>1386</v>
      </c>
      <c r="Q25" s="123" t="s">
        <v>1428</v>
      </c>
      <c r="R25" s="112" t="s">
        <v>60</v>
      </c>
      <c r="S25" s="113"/>
      <c r="T25" s="113" t="s">
        <v>1429</v>
      </c>
      <c r="U25" s="129"/>
      <c r="V25" s="125">
        <v>38048</v>
      </c>
      <c r="W25" s="121" t="s">
        <v>39</v>
      </c>
      <c r="X25" s="113"/>
      <c r="Y25" s="120">
        <v>38048</v>
      </c>
      <c r="Z25" s="113"/>
      <c r="AA25" s="113"/>
      <c r="AB25" s="122" t="s">
        <v>177</v>
      </c>
      <c r="AC25" s="113" t="s">
        <v>155</v>
      </c>
    </row>
    <row r="26" spans="1:29" x14ac:dyDescent="0.35">
      <c r="A26" s="112">
        <v>25</v>
      </c>
      <c r="B26" s="113" t="s">
        <v>16</v>
      </c>
      <c r="C26" s="123" t="s">
        <v>8</v>
      </c>
      <c r="D26" s="123" t="s">
        <v>231</v>
      </c>
      <c r="E26" s="123" t="s">
        <v>232</v>
      </c>
      <c r="F26" s="124" t="s">
        <v>233</v>
      </c>
      <c r="G26" s="123" t="s">
        <v>234</v>
      </c>
      <c r="H26" s="116">
        <f>WORKDAY(G26,125,'[1]Feriados y Materias'!$B$21:$B$61)</f>
        <v>46055</v>
      </c>
      <c r="I26" s="117" t="s">
        <v>32</v>
      </c>
      <c r="J26" s="123" t="s">
        <v>93</v>
      </c>
      <c r="K26" s="118" t="s">
        <v>43</v>
      </c>
      <c r="L26" s="119" t="s">
        <v>33</v>
      </c>
      <c r="M26" s="124" t="s">
        <v>1430</v>
      </c>
      <c r="N26" s="123" t="s">
        <v>1428</v>
      </c>
      <c r="O26" s="113">
        <v>11</v>
      </c>
      <c r="P26" s="113" t="s">
        <v>1386</v>
      </c>
      <c r="Q26" s="123" t="s">
        <v>1428</v>
      </c>
      <c r="R26" s="112" t="s">
        <v>63</v>
      </c>
      <c r="S26" s="128" t="s">
        <v>123</v>
      </c>
      <c r="T26" s="113" t="s">
        <v>1429</v>
      </c>
      <c r="U26" s="125">
        <v>0</v>
      </c>
      <c r="V26" s="113"/>
      <c r="W26" s="121" t="s">
        <v>39</v>
      </c>
      <c r="X26" s="113"/>
      <c r="Y26" s="113"/>
      <c r="Z26" s="113"/>
      <c r="AA26" s="113"/>
      <c r="AB26" s="122" t="s">
        <v>177</v>
      </c>
      <c r="AC26" s="113" t="s">
        <v>155</v>
      </c>
    </row>
    <row r="27" spans="1:29" ht="29" x14ac:dyDescent="0.35">
      <c r="A27" s="113">
        <v>26</v>
      </c>
      <c r="B27" s="113" t="s">
        <v>16</v>
      </c>
      <c r="C27" s="123" t="s">
        <v>8</v>
      </c>
      <c r="D27" s="123" t="s">
        <v>85</v>
      </c>
      <c r="E27" s="123" t="s">
        <v>86</v>
      </c>
      <c r="F27" s="124" t="s">
        <v>201</v>
      </c>
      <c r="G27" s="123" t="s">
        <v>202</v>
      </c>
      <c r="H27" s="116">
        <f>WORKDAY(G27,125,'[1]Feriados y Materias'!$B$21:$B$61)</f>
        <v>46006</v>
      </c>
      <c r="I27" s="117" t="s">
        <v>32</v>
      </c>
      <c r="J27" s="123" t="s">
        <v>180</v>
      </c>
      <c r="K27" s="118" t="s">
        <v>43</v>
      </c>
      <c r="L27" s="119" t="s">
        <v>33</v>
      </c>
      <c r="M27" s="124" t="s">
        <v>1431</v>
      </c>
      <c r="N27" s="123" t="s">
        <v>1428</v>
      </c>
      <c r="O27" s="113">
        <v>11</v>
      </c>
      <c r="P27" s="113" t="s">
        <v>1386</v>
      </c>
      <c r="Q27" s="123" t="s">
        <v>1428</v>
      </c>
      <c r="R27" s="112" t="s">
        <v>71</v>
      </c>
      <c r="S27" s="128" t="s">
        <v>111</v>
      </c>
      <c r="T27" s="113" t="s">
        <v>1432</v>
      </c>
      <c r="U27" s="125">
        <v>11148877</v>
      </c>
      <c r="V27" s="113"/>
      <c r="W27" s="121" t="s">
        <v>39</v>
      </c>
      <c r="X27" s="120">
        <v>11148877</v>
      </c>
      <c r="Y27" s="113"/>
      <c r="Z27" s="113"/>
      <c r="AA27" s="113"/>
      <c r="AB27" s="122" t="s">
        <v>1421</v>
      </c>
      <c r="AC27" s="113" t="s">
        <v>155</v>
      </c>
    </row>
    <row r="28" spans="1:29" ht="29" x14ac:dyDescent="0.35">
      <c r="A28" s="112">
        <v>27</v>
      </c>
      <c r="B28" s="113" t="s">
        <v>16</v>
      </c>
      <c r="C28" s="123" t="s">
        <v>8</v>
      </c>
      <c r="D28" s="123" t="s">
        <v>262</v>
      </c>
      <c r="E28" s="123" t="s">
        <v>263</v>
      </c>
      <c r="F28" s="124" t="s">
        <v>264</v>
      </c>
      <c r="G28" s="123" t="s">
        <v>259</v>
      </c>
      <c r="H28" s="116">
        <f>WORKDAY(G28,125,'[1]Feriados y Materias'!$B$21:$B$61)</f>
        <v>46063</v>
      </c>
      <c r="I28" s="117" t="s">
        <v>32</v>
      </c>
      <c r="J28" s="123" t="s">
        <v>78</v>
      </c>
      <c r="K28" s="118" t="s">
        <v>43</v>
      </c>
      <c r="L28" s="119" t="s">
        <v>33</v>
      </c>
      <c r="M28" s="124" t="s">
        <v>1433</v>
      </c>
      <c r="N28" s="123" t="s">
        <v>1428</v>
      </c>
      <c r="O28" s="113">
        <v>11</v>
      </c>
      <c r="P28" s="113" t="s">
        <v>1386</v>
      </c>
      <c r="Q28" s="123" t="s">
        <v>1428</v>
      </c>
      <c r="R28" s="112" t="s">
        <v>58</v>
      </c>
      <c r="S28" s="113"/>
      <c r="T28" s="113" t="s">
        <v>1434</v>
      </c>
      <c r="U28" s="129"/>
      <c r="V28" s="125">
        <v>48266</v>
      </c>
      <c r="W28" s="121" t="s">
        <v>39</v>
      </c>
      <c r="X28" s="113"/>
      <c r="Y28" s="120">
        <v>48266</v>
      </c>
      <c r="Z28" s="113"/>
      <c r="AA28" s="113"/>
      <c r="AB28" s="122" t="s">
        <v>75</v>
      </c>
      <c r="AC28" s="113" t="s">
        <v>155</v>
      </c>
    </row>
    <row r="29" spans="1:29" x14ac:dyDescent="0.35">
      <c r="A29" s="113">
        <v>28</v>
      </c>
      <c r="B29" s="113" t="s">
        <v>16</v>
      </c>
      <c r="C29" s="123" t="s">
        <v>8</v>
      </c>
      <c r="D29" s="123" t="s">
        <v>196</v>
      </c>
      <c r="E29" s="123" t="s">
        <v>197</v>
      </c>
      <c r="F29" s="124" t="s">
        <v>211</v>
      </c>
      <c r="G29" s="123" t="s">
        <v>145</v>
      </c>
      <c r="H29" s="116">
        <f>WORKDAY(G29,125,'[1]Feriados y Materias'!$B$21:$B$61)</f>
        <v>46008</v>
      </c>
      <c r="I29" s="117" t="s">
        <v>32</v>
      </c>
      <c r="J29" s="123" t="s">
        <v>154</v>
      </c>
      <c r="K29" s="118" t="s">
        <v>43</v>
      </c>
      <c r="L29" s="119" t="s">
        <v>33</v>
      </c>
      <c r="M29" s="124" t="s">
        <v>1435</v>
      </c>
      <c r="N29" s="123" t="s">
        <v>1428</v>
      </c>
      <c r="O29" s="113">
        <v>11</v>
      </c>
      <c r="P29" s="113" t="s">
        <v>1386</v>
      </c>
      <c r="Q29" s="123" t="s">
        <v>1428</v>
      </c>
      <c r="R29" s="112" t="s">
        <v>45</v>
      </c>
      <c r="S29" s="113"/>
      <c r="T29" s="129"/>
      <c r="U29" s="125">
        <v>589578</v>
      </c>
      <c r="V29" s="113"/>
      <c r="W29" s="132" t="s">
        <v>156</v>
      </c>
      <c r="X29" s="113"/>
      <c r="Y29" s="133">
        <f>U29-Z29</f>
        <v>375849</v>
      </c>
      <c r="Z29" s="113">
        <v>213729</v>
      </c>
      <c r="AA29" s="113"/>
      <c r="AB29" s="122" t="s">
        <v>75</v>
      </c>
      <c r="AC29" s="113" t="s">
        <v>155</v>
      </c>
    </row>
    <row r="30" spans="1:29" x14ac:dyDescent="0.35">
      <c r="A30" s="112">
        <v>29</v>
      </c>
      <c r="B30" s="113" t="s">
        <v>16</v>
      </c>
      <c r="C30" s="123" t="s">
        <v>8</v>
      </c>
      <c r="D30" s="123" t="s">
        <v>196</v>
      </c>
      <c r="E30" s="123" t="s">
        <v>197</v>
      </c>
      <c r="F30" s="124" t="s">
        <v>198</v>
      </c>
      <c r="G30" s="123" t="s">
        <v>199</v>
      </c>
      <c r="H30" s="116">
        <f>WORKDAY(G30,125,'[1]Feriados y Materias'!$B$21:$B$61)</f>
        <v>46001</v>
      </c>
      <c r="I30" s="117" t="s">
        <v>32</v>
      </c>
      <c r="J30" s="123" t="s">
        <v>154</v>
      </c>
      <c r="K30" s="118" t="s">
        <v>43</v>
      </c>
      <c r="L30" s="119" t="s">
        <v>33</v>
      </c>
      <c r="M30" s="124" t="s">
        <v>1436</v>
      </c>
      <c r="N30" s="123" t="s">
        <v>1428</v>
      </c>
      <c r="O30" s="113">
        <v>11</v>
      </c>
      <c r="P30" s="113" t="s">
        <v>1386</v>
      </c>
      <c r="Q30" s="123" t="s">
        <v>1428</v>
      </c>
      <c r="R30" s="112" t="s">
        <v>45</v>
      </c>
      <c r="S30" s="113"/>
      <c r="T30" s="113" t="s">
        <v>1437</v>
      </c>
      <c r="U30" s="125">
        <v>294422</v>
      </c>
      <c r="V30" s="113">
        <v>1238</v>
      </c>
      <c r="W30" s="132" t="s">
        <v>1438</v>
      </c>
      <c r="X30" s="113"/>
      <c r="Y30" s="113">
        <v>1238</v>
      </c>
      <c r="Z30" s="133">
        <v>294422</v>
      </c>
      <c r="AA30" s="113"/>
      <c r="AB30" s="122" t="s">
        <v>75</v>
      </c>
      <c r="AC30" s="113" t="s">
        <v>155</v>
      </c>
    </row>
    <row r="31" spans="1:29" ht="29" x14ac:dyDescent="0.35">
      <c r="A31" s="113">
        <v>30</v>
      </c>
      <c r="B31" s="113" t="s">
        <v>16</v>
      </c>
      <c r="C31" s="123" t="s">
        <v>8</v>
      </c>
      <c r="D31" s="123" t="s">
        <v>253</v>
      </c>
      <c r="E31" s="123" t="s">
        <v>254</v>
      </c>
      <c r="F31" s="124" t="s">
        <v>277</v>
      </c>
      <c r="G31" s="123" t="s">
        <v>158</v>
      </c>
      <c r="H31" s="116">
        <f>WORKDAY(G31,125,'[1]Feriados y Materias'!$B$21:$B$61)</f>
        <v>46064</v>
      </c>
      <c r="I31" s="117" t="s">
        <v>32</v>
      </c>
      <c r="J31" s="123" t="s">
        <v>1073</v>
      </c>
      <c r="K31" s="118" t="s">
        <v>43</v>
      </c>
      <c r="L31" s="119" t="s">
        <v>33</v>
      </c>
      <c r="M31" s="124" t="s">
        <v>1439</v>
      </c>
      <c r="N31" s="123" t="s">
        <v>1428</v>
      </c>
      <c r="O31" s="113">
        <v>11</v>
      </c>
      <c r="P31" s="113" t="s">
        <v>1386</v>
      </c>
      <c r="Q31" s="123" t="s">
        <v>1428</v>
      </c>
      <c r="R31" s="112" t="s">
        <v>49</v>
      </c>
      <c r="S31" s="128" t="s">
        <v>1410</v>
      </c>
      <c r="T31" s="131" t="s">
        <v>1440</v>
      </c>
      <c r="U31" s="125">
        <v>0</v>
      </c>
      <c r="V31" s="113"/>
      <c r="W31" s="121" t="s">
        <v>39</v>
      </c>
      <c r="X31" s="113"/>
      <c r="Y31" s="113"/>
      <c r="Z31" s="113"/>
      <c r="AA31" s="113"/>
      <c r="AB31" s="122" t="s">
        <v>177</v>
      </c>
      <c r="AC31" s="98" t="s">
        <v>99</v>
      </c>
    </row>
  </sheetData>
  <autoFilter ref="A1:AC31" xr:uid="{E03FADEF-7E77-468D-A39C-569F6A5B93BF}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2AB95C4-1FEB-4A69-AB61-0F1B098157E2}">
          <x14:formula1>
            <xm:f>'Feriados y Materias'!$J$4:$J$50</xm:f>
          </x14:formula1>
          <xm:sqref>S1</xm:sqref>
        </x14:dataValidation>
        <x14:dataValidation type="list" allowBlank="1" showInputMessage="1" showErrorMessage="1" xr:uid="{A8DB66A5-BA27-44EB-8B54-F0D106995E97}">
          <x14:formula1>
            <xm:f>'Feriados y Materias'!$L$4:$L$7</xm:f>
          </x14:formula1>
          <xm:sqref>AC1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3F5EA-ABB5-48DD-B3AB-0EB112C6160B}">
  <sheetPr codeName="Hoja5"/>
  <dimension ref="B3:O61"/>
  <sheetViews>
    <sheetView topLeftCell="F1" workbookViewId="0">
      <selection activeCell="G4" sqref="G4"/>
    </sheetView>
  </sheetViews>
  <sheetFormatPr baseColWidth="10" defaultRowHeight="14.5" x14ac:dyDescent="0.35"/>
  <cols>
    <col min="3" max="3" width="49.453125" customWidth="1"/>
    <col min="6" max="6" width="2.81640625" bestFit="1" customWidth="1"/>
    <col min="7" max="7" width="53" customWidth="1"/>
    <col min="8" max="8" width="16.90625" customWidth="1"/>
    <col min="9" max="9" width="2.08984375" bestFit="1" customWidth="1"/>
    <col min="10" max="10" width="45.6328125" bestFit="1" customWidth="1"/>
    <col min="11" max="11" width="5.81640625" customWidth="1"/>
    <col min="12" max="12" width="20.36328125" customWidth="1"/>
    <col min="15" max="15" width="18.6328125" customWidth="1"/>
  </cols>
  <sheetData>
    <row r="3" spans="2:15" x14ac:dyDescent="0.35">
      <c r="B3" s="6" t="s">
        <v>17</v>
      </c>
      <c r="C3" s="11" t="s">
        <v>18</v>
      </c>
      <c r="G3" s="15" t="s">
        <v>42</v>
      </c>
      <c r="I3" s="22"/>
      <c r="J3" s="23" t="s">
        <v>95</v>
      </c>
      <c r="K3" s="24"/>
      <c r="L3" s="25" t="s">
        <v>96</v>
      </c>
      <c r="O3" s="58" t="s">
        <v>185</v>
      </c>
    </row>
    <row r="4" spans="2:15" x14ac:dyDescent="0.35">
      <c r="B4" s="9">
        <v>44197</v>
      </c>
      <c r="C4" s="12" t="s">
        <v>30</v>
      </c>
      <c r="F4" s="17">
        <v>1</v>
      </c>
      <c r="G4" s="18" t="s">
        <v>44</v>
      </c>
      <c r="I4" s="26">
        <v>1</v>
      </c>
      <c r="J4" s="27" t="s">
        <v>97</v>
      </c>
      <c r="K4" s="28">
        <v>1</v>
      </c>
      <c r="L4" s="29" t="s">
        <v>155</v>
      </c>
      <c r="N4">
        <v>1</v>
      </c>
      <c r="O4" s="2" t="s">
        <v>186</v>
      </c>
    </row>
    <row r="5" spans="2:15" x14ac:dyDescent="0.35">
      <c r="B5" s="7">
        <v>44300</v>
      </c>
      <c r="C5" s="8" t="s">
        <v>19</v>
      </c>
      <c r="F5" s="17">
        <v>2</v>
      </c>
      <c r="G5" s="19" t="s">
        <v>45</v>
      </c>
      <c r="I5" s="26">
        <v>2</v>
      </c>
      <c r="J5" s="27" t="s">
        <v>98</v>
      </c>
      <c r="K5" s="28">
        <v>2</v>
      </c>
      <c r="L5" s="29" t="s">
        <v>99</v>
      </c>
      <c r="N5">
        <v>2</v>
      </c>
      <c r="O5" s="2" t="s">
        <v>75</v>
      </c>
    </row>
    <row r="6" spans="2:15" x14ac:dyDescent="0.35">
      <c r="B6" s="7">
        <v>44301</v>
      </c>
      <c r="C6" s="8" t="s">
        <v>20</v>
      </c>
      <c r="F6" s="17">
        <v>3</v>
      </c>
      <c r="G6" s="18" t="s">
        <v>46</v>
      </c>
      <c r="I6" s="26">
        <v>3</v>
      </c>
      <c r="J6" s="27" t="s">
        <v>100</v>
      </c>
      <c r="K6" s="28">
        <v>3</v>
      </c>
      <c r="L6" s="29" t="s">
        <v>101</v>
      </c>
      <c r="N6">
        <v>3</v>
      </c>
      <c r="O6" s="2" t="s">
        <v>177</v>
      </c>
    </row>
    <row r="7" spans="2:15" x14ac:dyDescent="0.35">
      <c r="B7" s="7">
        <v>44317</v>
      </c>
      <c r="C7" s="8" t="s">
        <v>21</v>
      </c>
      <c r="F7" s="17">
        <v>4</v>
      </c>
      <c r="G7" s="18" t="s">
        <v>47</v>
      </c>
      <c r="I7" s="26">
        <v>4</v>
      </c>
      <c r="J7" s="30" t="s">
        <v>102</v>
      </c>
      <c r="K7" s="28">
        <v>4</v>
      </c>
      <c r="L7" s="29" t="s">
        <v>103</v>
      </c>
      <c r="N7">
        <v>4</v>
      </c>
      <c r="O7" s="2" t="s">
        <v>178</v>
      </c>
    </row>
    <row r="8" spans="2:15" x14ac:dyDescent="0.35">
      <c r="B8" s="7">
        <v>44376</v>
      </c>
      <c r="C8" s="8" t="s">
        <v>22</v>
      </c>
      <c r="F8" s="17">
        <v>5</v>
      </c>
      <c r="G8" s="18" t="s">
        <v>48</v>
      </c>
      <c r="I8" s="26">
        <v>5</v>
      </c>
      <c r="J8" s="30" t="s">
        <v>104</v>
      </c>
      <c r="K8" s="31"/>
      <c r="L8" s="32"/>
    </row>
    <row r="9" spans="2:15" x14ac:dyDescent="0.35">
      <c r="B9" s="7">
        <v>44405</v>
      </c>
      <c r="C9" s="8" t="s">
        <v>23</v>
      </c>
      <c r="F9" s="17">
        <v>6</v>
      </c>
      <c r="G9" s="18" t="s">
        <v>49</v>
      </c>
      <c r="I9" s="26">
        <v>6</v>
      </c>
      <c r="J9" s="30" t="s">
        <v>105</v>
      </c>
      <c r="K9" s="31"/>
      <c r="L9" s="32"/>
    </row>
    <row r="10" spans="2:15" x14ac:dyDescent="0.35">
      <c r="B10" s="7">
        <v>44406</v>
      </c>
      <c r="C10" s="13" t="s">
        <v>24</v>
      </c>
      <c r="F10" s="17">
        <v>7</v>
      </c>
      <c r="G10" s="18" t="s">
        <v>50</v>
      </c>
      <c r="I10" s="26">
        <v>7</v>
      </c>
      <c r="J10" s="30" t="s">
        <v>106</v>
      </c>
      <c r="K10" s="31"/>
      <c r="L10" s="32"/>
    </row>
    <row r="11" spans="2:15" x14ac:dyDescent="0.35">
      <c r="B11" s="7">
        <v>44438</v>
      </c>
      <c r="C11" s="8" t="s">
        <v>25</v>
      </c>
      <c r="F11" s="17">
        <v>8</v>
      </c>
      <c r="G11" s="18" t="s">
        <v>51</v>
      </c>
      <c r="I11" s="26">
        <v>8</v>
      </c>
      <c r="J11" s="30" t="s">
        <v>107</v>
      </c>
      <c r="K11" s="31"/>
      <c r="L11" s="32"/>
    </row>
    <row r="12" spans="2:15" x14ac:dyDescent="0.35">
      <c r="B12" s="7">
        <v>44477</v>
      </c>
      <c r="C12" s="8" t="s">
        <v>31</v>
      </c>
      <c r="F12" s="17">
        <v>9</v>
      </c>
      <c r="G12" s="18" t="s">
        <v>52</v>
      </c>
      <c r="I12" s="26">
        <v>9</v>
      </c>
      <c r="J12" s="30" t="s">
        <v>108</v>
      </c>
      <c r="K12" s="31"/>
      <c r="L12" s="32"/>
    </row>
    <row r="13" spans="2:15" x14ac:dyDescent="0.35">
      <c r="B13" s="7">
        <v>44501</v>
      </c>
      <c r="C13" s="8" t="s">
        <v>26</v>
      </c>
      <c r="F13" s="17">
        <v>10</v>
      </c>
      <c r="G13" s="18" t="s">
        <v>53</v>
      </c>
      <c r="I13" s="26">
        <v>10</v>
      </c>
      <c r="J13" s="33" t="s">
        <v>109</v>
      </c>
      <c r="K13" s="31"/>
      <c r="L13" s="32"/>
    </row>
    <row r="14" spans="2:15" x14ac:dyDescent="0.35">
      <c r="B14" s="7">
        <v>44538</v>
      </c>
      <c r="C14" s="8" t="s">
        <v>27</v>
      </c>
      <c r="F14" s="17">
        <v>11</v>
      </c>
      <c r="G14" s="18" t="s">
        <v>54</v>
      </c>
      <c r="I14" s="26">
        <v>11</v>
      </c>
      <c r="J14" s="30" t="s">
        <v>110</v>
      </c>
      <c r="K14" s="31"/>
      <c r="L14" s="32"/>
    </row>
    <row r="15" spans="2:15" x14ac:dyDescent="0.35">
      <c r="B15" s="7">
        <v>44665</v>
      </c>
      <c r="C15" s="8" t="s">
        <v>19</v>
      </c>
      <c r="F15" s="17">
        <v>12</v>
      </c>
      <c r="G15" s="19" t="s">
        <v>55</v>
      </c>
      <c r="I15" s="26">
        <v>12</v>
      </c>
      <c r="J15" s="34" t="s">
        <v>111</v>
      </c>
      <c r="K15" s="31"/>
      <c r="L15" s="32"/>
    </row>
    <row r="16" spans="2:15" x14ac:dyDescent="0.35">
      <c r="B16" s="7">
        <v>44666</v>
      </c>
      <c r="C16" s="8" t="s">
        <v>20</v>
      </c>
      <c r="F16" s="17">
        <v>13</v>
      </c>
      <c r="G16" s="19" t="s">
        <v>56</v>
      </c>
      <c r="I16" s="26">
        <v>13</v>
      </c>
      <c r="J16" s="57" t="s">
        <v>112</v>
      </c>
      <c r="K16" s="35"/>
      <c r="L16" s="32"/>
    </row>
    <row r="17" spans="2:12" x14ac:dyDescent="0.35">
      <c r="B17" s="7">
        <v>44682</v>
      </c>
      <c r="C17" s="8" t="s">
        <v>21</v>
      </c>
      <c r="F17" s="17">
        <v>14</v>
      </c>
      <c r="G17" s="18" t="s">
        <v>57</v>
      </c>
      <c r="I17" s="26">
        <v>14</v>
      </c>
      <c r="J17" s="36" t="s">
        <v>113</v>
      </c>
      <c r="K17" s="37"/>
      <c r="L17" s="32"/>
    </row>
    <row r="18" spans="2:12" x14ac:dyDescent="0.35">
      <c r="B18" s="7">
        <v>44741</v>
      </c>
      <c r="C18" s="8" t="s">
        <v>22</v>
      </c>
      <c r="F18" s="17">
        <v>15</v>
      </c>
      <c r="G18" s="18" t="s">
        <v>58</v>
      </c>
      <c r="I18" s="26">
        <v>15</v>
      </c>
      <c r="J18" s="38" t="s">
        <v>165</v>
      </c>
      <c r="K18" s="31"/>
      <c r="L18" s="32"/>
    </row>
    <row r="19" spans="2:12" x14ac:dyDescent="0.35">
      <c r="B19" s="7">
        <v>44770</v>
      </c>
      <c r="C19" s="8" t="s">
        <v>23</v>
      </c>
      <c r="F19" s="17">
        <v>16</v>
      </c>
      <c r="G19" s="18" t="s">
        <v>59</v>
      </c>
      <c r="I19" s="26">
        <v>16</v>
      </c>
      <c r="J19" s="50" t="s">
        <v>171</v>
      </c>
      <c r="K19" s="31"/>
      <c r="L19" s="32"/>
    </row>
    <row r="20" spans="2:12" x14ac:dyDescent="0.35">
      <c r="B20" s="7">
        <v>44803</v>
      </c>
      <c r="C20" s="8" t="s">
        <v>25</v>
      </c>
      <c r="F20" s="17">
        <v>17</v>
      </c>
      <c r="G20" s="18" t="s">
        <v>60</v>
      </c>
      <c r="I20" s="26">
        <v>17</v>
      </c>
      <c r="J20" s="39" t="s">
        <v>114</v>
      </c>
      <c r="K20" s="31"/>
      <c r="L20" s="32"/>
    </row>
    <row r="21" spans="2:12" x14ac:dyDescent="0.35">
      <c r="B21" s="7">
        <v>44866</v>
      </c>
      <c r="C21" s="8" t="s">
        <v>26</v>
      </c>
      <c r="F21" s="17">
        <v>18</v>
      </c>
      <c r="G21" s="18" t="s">
        <v>61</v>
      </c>
      <c r="I21" s="26">
        <v>18</v>
      </c>
      <c r="J21" s="40" t="s">
        <v>115</v>
      </c>
      <c r="K21" s="31"/>
      <c r="L21" s="32"/>
    </row>
    <row r="22" spans="2:12" x14ac:dyDescent="0.35">
      <c r="B22" s="7">
        <v>44903</v>
      </c>
      <c r="C22" s="8" t="s">
        <v>27</v>
      </c>
      <c r="F22" s="17">
        <v>19</v>
      </c>
      <c r="G22" s="18" t="s">
        <v>62</v>
      </c>
      <c r="I22" s="26">
        <v>19</v>
      </c>
      <c r="J22" s="41" t="s">
        <v>116</v>
      </c>
      <c r="K22" s="42"/>
      <c r="L22" s="32"/>
    </row>
    <row r="23" spans="2:12" x14ac:dyDescent="0.35">
      <c r="B23" s="7">
        <v>44904</v>
      </c>
      <c r="C23" s="8" t="s">
        <v>28</v>
      </c>
      <c r="F23" s="17">
        <v>20</v>
      </c>
      <c r="G23" s="18" t="s">
        <v>63</v>
      </c>
      <c r="I23" s="26">
        <v>20</v>
      </c>
      <c r="J23" s="41" t="s">
        <v>117</v>
      </c>
      <c r="K23" s="31"/>
      <c r="L23" s="32"/>
    </row>
    <row r="24" spans="2:12" x14ac:dyDescent="0.35">
      <c r="B24" s="7">
        <v>44920</v>
      </c>
      <c r="C24" s="8" t="s">
        <v>29</v>
      </c>
      <c r="F24" s="17">
        <v>21</v>
      </c>
      <c r="G24" s="18" t="s">
        <v>64</v>
      </c>
      <c r="I24" s="26">
        <v>21</v>
      </c>
      <c r="J24" s="43" t="s">
        <v>118</v>
      </c>
      <c r="K24" s="31"/>
      <c r="L24" s="32"/>
    </row>
    <row r="25" spans="2:12" x14ac:dyDescent="0.35">
      <c r="B25" s="9">
        <v>44927</v>
      </c>
      <c r="C25" s="12" t="s">
        <v>30</v>
      </c>
      <c r="F25" s="17">
        <v>22</v>
      </c>
      <c r="G25" s="18" t="s">
        <v>65</v>
      </c>
      <c r="I25" s="26">
        <v>22</v>
      </c>
      <c r="J25" s="41" t="s">
        <v>119</v>
      </c>
      <c r="K25" s="31"/>
      <c r="L25" s="32"/>
    </row>
    <row r="26" spans="2:12" x14ac:dyDescent="0.35">
      <c r="B26" s="7">
        <v>45022</v>
      </c>
      <c r="C26" s="8" t="s">
        <v>19</v>
      </c>
      <c r="F26" s="17">
        <v>23</v>
      </c>
      <c r="G26" s="18" t="s">
        <v>66</v>
      </c>
      <c r="I26" s="26">
        <v>23</v>
      </c>
      <c r="J26" s="41" t="s">
        <v>144</v>
      </c>
      <c r="K26" s="37"/>
      <c r="L26" s="32"/>
    </row>
    <row r="27" spans="2:12" x14ac:dyDescent="0.35">
      <c r="B27" s="7">
        <v>45023</v>
      </c>
      <c r="C27" s="8" t="s">
        <v>20</v>
      </c>
      <c r="F27" s="17">
        <v>24</v>
      </c>
      <c r="G27" s="18" t="s">
        <v>67</v>
      </c>
      <c r="I27" s="26">
        <v>24</v>
      </c>
      <c r="J27" s="43" t="s">
        <v>143</v>
      </c>
      <c r="K27" s="37"/>
      <c r="L27" s="32"/>
    </row>
    <row r="28" spans="2:12" x14ac:dyDescent="0.35">
      <c r="B28" s="7">
        <v>45047</v>
      </c>
      <c r="C28" s="8" t="s">
        <v>21</v>
      </c>
      <c r="F28" s="17">
        <v>25</v>
      </c>
      <c r="G28" s="18" t="s">
        <v>68</v>
      </c>
      <c r="I28" s="26">
        <v>25</v>
      </c>
      <c r="J28" s="41" t="s">
        <v>120</v>
      </c>
      <c r="K28" s="37"/>
      <c r="L28" s="32"/>
    </row>
    <row r="29" spans="2:12" x14ac:dyDescent="0.35">
      <c r="B29" s="7">
        <v>45106</v>
      </c>
      <c r="C29" s="8" t="s">
        <v>22</v>
      </c>
      <c r="F29" s="17">
        <v>26</v>
      </c>
      <c r="G29" s="18" t="s">
        <v>69</v>
      </c>
      <c r="I29" s="26">
        <v>26</v>
      </c>
      <c r="J29" s="44" t="s">
        <v>121</v>
      </c>
      <c r="K29" s="37"/>
      <c r="L29" s="32"/>
    </row>
    <row r="30" spans="2:12" x14ac:dyDescent="0.35">
      <c r="B30" s="7">
        <v>45135</v>
      </c>
      <c r="C30" s="8" t="s">
        <v>23</v>
      </c>
      <c r="F30" s="17">
        <v>27</v>
      </c>
      <c r="G30" s="18" t="s">
        <v>70</v>
      </c>
      <c r="I30" s="26">
        <v>27</v>
      </c>
      <c r="J30" s="54" t="s">
        <v>122</v>
      </c>
      <c r="K30" s="37"/>
      <c r="L30" s="32"/>
    </row>
    <row r="31" spans="2:12" x14ac:dyDescent="0.35">
      <c r="B31" s="7">
        <v>45136</v>
      </c>
      <c r="C31" s="13" t="s">
        <v>24</v>
      </c>
      <c r="F31" s="17">
        <v>28</v>
      </c>
      <c r="G31" s="19" t="s">
        <v>71</v>
      </c>
      <c r="I31" s="26">
        <v>28</v>
      </c>
      <c r="J31" s="45" t="s">
        <v>123</v>
      </c>
      <c r="K31" s="37"/>
      <c r="L31" s="32"/>
    </row>
    <row r="32" spans="2:12" x14ac:dyDescent="0.35">
      <c r="B32" s="7">
        <v>45168</v>
      </c>
      <c r="C32" s="8" t="s">
        <v>25</v>
      </c>
      <c r="F32" s="17">
        <v>29</v>
      </c>
      <c r="G32" s="19" t="s">
        <v>72</v>
      </c>
      <c r="I32" s="26">
        <v>29</v>
      </c>
      <c r="J32" s="46" t="s">
        <v>124</v>
      </c>
      <c r="K32" s="47"/>
      <c r="L32" s="32"/>
    </row>
    <row r="33" spans="2:12" x14ac:dyDescent="0.35">
      <c r="B33" s="7">
        <v>45231</v>
      </c>
      <c r="C33" s="8" t="s">
        <v>26</v>
      </c>
      <c r="F33" s="17">
        <v>30</v>
      </c>
      <c r="G33" s="18" t="s">
        <v>73</v>
      </c>
      <c r="I33" s="26">
        <v>30</v>
      </c>
      <c r="J33" s="46" t="s">
        <v>125</v>
      </c>
      <c r="K33" s="37"/>
      <c r="L33" s="32"/>
    </row>
    <row r="34" spans="2:12" x14ac:dyDescent="0.35">
      <c r="B34" s="7">
        <v>45268</v>
      </c>
      <c r="C34" s="8" t="s">
        <v>27</v>
      </c>
      <c r="F34" s="17">
        <v>31</v>
      </c>
      <c r="G34" s="19" t="s">
        <v>74</v>
      </c>
      <c r="I34" s="26">
        <v>31</v>
      </c>
      <c r="J34" s="46" t="s">
        <v>126</v>
      </c>
      <c r="K34" s="49"/>
      <c r="L34" s="32"/>
    </row>
    <row r="35" spans="2:12" x14ac:dyDescent="0.35">
      <c r="B35" s="14">
        <v>45285</v>
      </c>
      <c r="C35" s="8" t="s">
        <v>29</v>
      </c>
      <c r="F35" s="17">
        <v>32</v>
      </c>
      <c r="G35" s="16"/>
      <c r="I35" s="26">
        <v>32</v>
      </c>
      <c r="J35" s="46" t="s">
        <v>127</v>
      </c>
      <c r="K35" s="37"/>
      <c r="L35" s="32"/>
    </row>
    <row r="36" spans="2:12" x14ac:dyDescent="0.35">
      <c r="B36" s="14">
        <v>45292</v>
      </c>
      <c r="C36" s="8" t="s">
        <v>30</v>
      </c>
      <c r="F36" s="17">
        <v>33</v>
      </c>
      <c r="G36" s="16"/>
      <c r="I36" s="26">
        <v>33</v>
      </c>
      <c r="J36" s="38" t="s">
        <v>128</v>
      </c>
      <c r="K36" s="47"/>
      <c r="L36" s="32"/>
    </row>
    <row r="37" spans="2:12" x14ac:dyDescent="0.35">
      <c r="B37" s="14">
        <v>45379</v>
      </c>
      <c r="C37" s="8" t="s">
        <v>19</v>
      </c>
      <c r="F37" s="17">
        <v>34</v>
      </c>
      <c r="G37" s="16"/>
      <c r="I37" s="26">
        <v>34</v>
      </c>
      <c r="J37" s="48" t="s">
        <v>129</v>
      </c>
      <c r="K37" s="37"/>
      <c r="L37" s="32"/>
    </row>
    <row r="38" spans="2:12" x14ac:dyDescent="0.35">
      <c r="B38" s="14">
        <v>45380</v>
      </c>
      <c r="C38" s="8" t="s">
        <v>20</v>
      </c>
      <c r="I38" s="26">
        <v>35</v>
      </c>
      <c r="J38" s="55" t="s">
        <v>130</v>
      </c>
      <c r="K38" s="31"/>
      <c r="L38" s="32"/>
    </row>
    <row r="39" spans="2:12" x14ac:dyDescent="0.35">
      <c r="B39" s="7">
        <v>45413</v>
      </c>
      <c r="C39" s="8" t="s">
        <v>21</v>
      </c>
      <c r="I39" s="26">
        <v>36</v>
      </c>
      <c r="J39" s="55" t="s">
        <v>131</v>
      </c>
    </row>
    <row r="40" spans="2:12" ht="24" x14ac:dyDescent="0.35">
      <c r="B40" s="7">
        <v>45450</v>
      </c>
      <c r="C40" s="20" t="s">
        <v>34</v>
      </c>
      <c r="I40" s="26">
        <v>37</v>
      </c>
      <c r="J40" s="56" t="s">
        <v>132</v>
      </c>
    </row>
    <row r="41" spans="2:12" x14ac:dyDescent="0.35">
      <c r="B41" s="7"/>
      <c r="C41" s="20"/>
      <c r="I41" s="26">
        <v>38</v>
      </c>
      <c r="J41" s="50" t="s">
        <v>133</v>
      </c>
    </row>
    <row r="42" spans="2:12" x14ac:dyDescent="0.35">
      <c r="B42" s="7">
        <v>45496</v>
      </c>
      <c r="C42" s="20" t="s">
        <v>35</v>
      </c>
      <c r="I42" s="26">
        <v>39</v>
      </c>
      <c r="J42" s="50" t="s">
        <v>157</v>
      </c>
    </row>
    <row r="43" spans="2:12" x14ac:dyDescent="0.35">
      <c r="B43" s="7">
        <v>45502</v>
      </c>
      <c r="C43" s="13" t="s">
        <v>24</v>
      </c>
      <c r="I43" s="26">
        <v>40</v>
      </c>
      <c r="J43" s="51" t="s">
        <v>134</v>
      </c>
    </row>
    <row r="44" spans="2:12" x14ac:dyDescent="0.35">
      <c r="B44" s="7">
        <v>45510</v>
      </c>
      <c r="C44" s="20" t="s">
        <v>36</v>
      </c>
      <c r="I44" s="26">
        <v>41</v>
      </c>
      <c r="J44" s="39" t="s">
        <v>135</v>
      </c>
    </row>
    <row r="45" spans="2:12" x14ac:dyDescent="0.35">
      <c r="B45" s="7">
        <v>45168</v>
      </c>
      <c r="C45" s="8" t="s">
        <v>25</v>
      </c>
      <c r="I45" s="26">
        <v>42</v>
      </c>
      <c r="J45" s="39" t="s">
        <v>136</v>
      </c>
    </row>
    <row r="46" spans="2:12" x14ac:dyDescent="0.35">
      <c r="B46" s="7">
        <v>45573</v>
      </c>
      <c r="C46" s="8" t="s">
        <v>31</v>
      </c>
      <c r="I46" s="26">
        <v>43</v>
      </c>
      <c r="J46" s="52" t="s">
        <v>137</v>
      </c>
    </row>
    <row r="47" spans="2:12" x14ac:dyDescent="0.35">
      <c r="B47" s="7">
        <v>45635</v>
      </c>
      <c r="C47" s="20" t="s">
        <v>28</v>
      </c>
      <c r="I47" s="26">
        <v>44</v>
      </c>
      <c r="J47" s="53" t="s">
        <v>138</v>
      </c>
    </row>
    <row r="48" spans="2:12" x14ac:dyDescent="0.35">
      <c r="B48" s="14">
        <v>45651</v>
      </c>
      <c r="C48" s="8" t="s">
        <v>29</v>
      </c>
      <c r="I48" s="26">
        <v>45</v>
      </c>
      <c r="J48" s="50" t="s">
        <v>139</v>
      </c>
    </row>
    <row r="49" spans="2:10" x14ac:dyDescent="0.35">
      <c r="B49" s="14">
        <v>45658</v>
      </c>
      <c r="C49" s="8" t="s">
        <v>30</v>
      </c>
      <c r="I49" s="26">
        <v>46</v>
      </c>
      <c r="J49" s="52" t="s">
        <v>140</v>
      </c>
    </row>
    <row r="50" spans="2:10" x14ac:dyDescent="0.35">
      <c r="B50" s="14">
        <v>45764</v>
      </c>
      <c r="C50" s="8" t="s">
        <v>19</v>
      </c>
      <c r="I50" s="26">
        <v>47</v>
      </c>
      <c r="J50" s="40" t="s">
        <v>141</v>
      </c>
    </row>
    <row r="51" spans="2:10" x14ac:dyDescent="0.35">
      <c r="B51" s="14">
        <v>45765</v>
      </c>
      <c r="C51" s="8" t="s">
        <v>20</v>
      </c>
    </row>
    <row r="52" spans="2:10" x14ac:dyDescent="0.35">
      <c r="B52" s="14">
        <v>45778</v>
      </c>
      <c r="C52" s="8" t="s">
        <v>21</v>
      </c>
    </row>
    <row r="53" spans="2:10" x14ac:dyDescent="0.35">
      <c r="B53" s="14">
        <v>45861</v>
      </c>
      <c r="C53" s="20" t="s">
        <v>35</v>
      </c>
    </row>
    <row r="54" spans="2:10" x14ac:dyDescent="0.35">
      <c r="B54" s="14">
        <v>45866</v>
      </c>
      <c r="C54" s="20" t="s">
        <v>79</v>
      </c>
    </row>
    <row r="55" spans="2:10" x14ac:dyDescent="0.35">
      <c r="B55" s="14">
        <v>45867</v>
      </c>
      <c r="C55" s="20" t="s">
        <v>79</v>
      </c>
    </row>
    <row r="56" spans="2:10" x14ac:dyDescent="0.35">
      <c r="B56" s="14">
        <v>45875</v>
      </c>
      <c r="C56" s="20" t="s">
        <v>36</v>
      </c>
    </row>
    <row r="57" spans="2:10" x14ac:dyDescent="0.35">
      <c r="B57" s="14">
        <v>45938</v>
      </c>
      <c r="C57" s="8" t="s">
        <v>31</v>
      </c>
    </row>
    <row r="58" spans="2:10" x14ac:dyDescent="0.35">
      <c r="B58" s="14">
        <v>45999</v>
      </c>
      <c r="C58" s="8" t="s">
        <v>80</v>
      </c>
    </row>
    <row r="59" spans="2:10" x14ac:dyDescent="0.35">
      <c r="B59" s="14">
        <v>46000</v>
      </c>
      <c r="C59" s="20" t="s">
        <v>28</v>
      </c>
    </row>
    <row r="60" spans="2:10" x14ac:dyDescent="0.35">
      <c r="B60" s="14">
        <v>46016</v>
      </c>
      <c r="C60" s="8" t="s">
        <v>29</v>
      </c>
    </row>
    <row r="61" spans="2:10" x14ac:dyDescent="0.35">
      <c r="B61" s="14">
        <v>46023</v>
      </c>
      <c r="C61" s="8" t="s">
        <v>30</v>
      </c>
    </row>
  </sheetData>
  <dataValidations disablePrompts="1" count="1">
    <dataValidation type="list" allowBlank="1" showInputMessage="1" showErrorMessage="1" sqref="G5" xr:uid="{C30A8F2E-CB5F-476B-89F4-F524343B295D}">
      <formula1>$I$3:$I$38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9a16e059ade068e5420ebfe45b37d9e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ba29c0a8573117fd5582f7bc3b7130b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9C6879-1144-484A-8696-C7C70DC0E1CE}">
  <ds:schemaRefs>
    <ds:schemaRef ds:uri="http://schemas.microsoft.com/office/2006/metadata/properties"/>
    <ds:schemaRef ds:uri="http://schemas.microsoft.com/office/infopath/2007/PartnerControls"/>
    <ds:schemaRef ds:uri="d94663fc-0bbb-4c75-ad7b-31b0161adbbf"/>
  </ds:schemaRefs>
</ds:datastoreItem>
</file>

<file path=customXml/itemProps2.xml><?xml version="1.0" encoding="utf-8"?>
<ds:datastoreItem xmlns:ds="http://schemas.openxmlformats.org/officeDocument/2006/customXml" ds:itemID="{797C775B-EC3A-4B76-B124-471877CB4A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945BF7-A5F2-42F8-B88B-C07F36DEC7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RESUMEN_OCTUBRE</vt:lpstr>
      <vt:lpstr>Stock_reclamo</vt:lpstr>
      <vt:lpstr>Producción Octubre</vt:lpstr>
      <vt:lpstr>Feriados y Materias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Zubiaurre Onari Tania Marilia</dc:creator>
  <cp:keywords/>
  <dc:description/>
  <cp:lastModifiedBy>Carpio Charres Ellsworth Elder</cp:lastModifiedBy>
  <cp:revision/>
  <dcterms:created xsi:type="dcterms:W3CDTF">2023-01-25T17:26:34Z</dcterms:created>
  <dcterms:modified xsi:type="dcterms:W3CDTF">2025-12-02T14:44:17Z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