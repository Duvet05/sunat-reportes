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Enero 26\"/>
    </mc:Choice>
  </mc:AlternateContent>
  <xr:revisionPtr revIDLastSave="0" documentId="8_{415B26FD-5A2E-494B-9E52-541DF51359B0}" xr6:coauthVersionLast="47" xr6:coauthVersionMax="47" xr10:uidLastSave="{00000000-0000-0000-0000-000000000000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Enero 2026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1" l="1"/>
  <c r="K22" i="11"/>
  <c r="K23" i="11"/>
  <c r="K24" i="11"/>
  <c r="K25" i="11"/>
  <c r="K26" i="11"/>
  <c r="K27" i="11"/>
  <c r="K28" i="11"/>
  <c r="K21" i="11"/>
  <c r="K14" i="11"/>
  <c r="K15" i="11"/>
  <c r="K16" i="11"/>
  <c r="K17" i="11"/>
  <c r="K18" i="11"/>
  <c r="K19" i="11"/>
  <c r="N19" i="11" s="1"/>
  <c r="K13" i="11"/>
  <c r="K5" i="11"/>
  <c r="K6" i="11"/>
  <c r="K7" i="11"/>
  <c r="K8" i="11"/>
  <c r="K9" i="11"/>
  <c r="K10" i="11"/>
  <c r="K11" i="11"/>
  <c r="K4" i="11"/>
  <c r="N11" i="11" l="1"/>
  <c r="N28" i="11"/>
  <c r="N9" i="11" l="1"/>
  <c r="N27" i="11" l="1"/>
  <c r="N17" i="11"/>
  <c r="N7" i="11"/>
  <c r="N8" i="11"/>
  <c r="N10" i="11"/>
  <c r="N13" i="11"/>
  <c r="N15" i="11"/>
  <c r="N22" i="11" l="1"/>
  <c r="N5" i="11"/>
  <c r="N6" i="11"/>
  <c r="N14" i="11"/>
  <c r="N16" i="11"/>
  <c r="N23" i="11"/>
  <c r="N24" i="11"/>
  <c r="N25" i="11"/>
  <c r="N26" i="11"/>
  <c r="Q28" i="11" l="1"/>
  <c r="P26" i="11"/>
  <c r="N4" i="11"/>
  <c r="Q12" i="11" s="1"/>
  <c r="Q32" i="11" l="1"/>
  <c r="P12" i="11"/>
</calcChain>
</file>

<file path=xl/sharedStrings.xml><?xml version="1.0" encoding="utf-8"?>
<sst xmlns="http://schemas.openxmlformats.org/spreadsheetml/2006/main" count="140" uniqueCount="95">
  <si>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</si>
  <si>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</si>
  <si>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</si>
  <si>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</si>
  <si>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</si>
  <si>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</si>
  <si>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</si>
  <si>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</si>
  <si>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</si>
  <si>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</si>
  <si>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</si>
  <si>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</si>
  <si>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</si>
  <si>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</si>
  <si>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</si>
  <si>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</si>
  <si>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</si>
  <si>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</si>
  <si>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</si>
  <si>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</si>
  <si>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</si>
  <si>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</si>
  <si>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</si>
  <si>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</si>
  <si>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</si>
  <si>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</si>
  <si>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</si>
  <si>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</si>
  <si>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</si>
  <si>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</si>
  <si>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</si>
  <si>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</si>
  <si>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</si>
  <si>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</si>
  <si>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</si>
  <si>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</si>
  <si>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</si>
  <si>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</si>
  <si>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</si>
  <si>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</si>
  <si>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</si>
  <si>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</si>
  <si>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</si>
  <si>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</si>
  <si>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</si>
  <si>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</si>
  <si>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</si>
  <si>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</si>
  <si>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</si>
  <si>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</si>
  <si>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4469</t>
  </si>
  <si>
    <t>Hurtado Custodio, Maria Lourdes</t>
  </si>
  <si>
    <t xml:space="preserve">Especialista </t>
  </si>
  <si>
    <t>4561</t>
  </si>
  <si>
    <t>Linares Alcantara, Cesar Victor</t>
  </si>
  <si>
    <t>7326</t>
  </si>
  <si>
    <t>Arestegui Pereyra Lydia Carolina</t>
  </si>
  <si>
    <t>7625</t>
  </si>
  <si>
    <t>QUEZADA VILLAR TERESITA MILAGROS</t>
  </si>
  <si>
    <t>Jimenez Suclla Hugo Alberto</t>
  </si>
  <si>
    <t>2968</t>
  </si>
  <si>
    <t>Chire Tunque Maria Luisa</t>
  </si>
  <si>
    <t>Especialista 3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</si>
  <si>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</si>
  <si>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</si>
  <si>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</si>
  <si>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</si>
  <si>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</si>
  <si>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</si>
  <si>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</si>
  <si>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</si>
  <si>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8319</t>
  </si>
  <si>
    <t>Vilcapaza Amaro Carla</t>
  </si>
  <si>
    <t>2929</t>
  </si>
  <si>
    <t>Chahuara Vigo Héctor</t>
  </si>
  <si>
    <t>7U7103</t>
  </si>
  <si>
    <t>5569</t>
  </si>
  <si>
    <t>Santillan Valdivia Gladys Angelita</t>
  </si>
  <si>
    <t>5556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</si>
  <si>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</si>
  <si>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</si>
  <si>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</si>
  <si>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</si>
  <si>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</si>
  <si>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</si>
  <si>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</si>
  <si>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</si>
  <si>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</si>
  <si>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</si>
  <si>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</si>
  <si>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</si>
  <si>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</si>
  <si>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</si>
  <si>
    <t>Lopez Auqui Milagros</t>
  </si>
  <si>
    <t>Tregear Jimenez 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</si>
</sst>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2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6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3" xfId="0" applyFont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7" fillId="0" borderId="2" xfId="0" applyNumberFormat="1" applyFont="1" applyBorder="1"/>
    <xf numFmtId="1" fontId="7" fillId="0" borderId="2" xfId="1" applyNumberFormat="1" applyFont="1" applyBorder="1" applyAlignment="1">
      <alignment horizontal="center"/>
    </xf>
    <xf numFmtId="1" fontId="7" fillId="0" borderId="2" xfId="1" applyNumberFormat="1" applyFont="1" applyBorder="1" applyAlignment="1"/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2" fontId="7" fillId="0" borderId="0" xfId="0" applyNumberFormat="1" applyFont="1"/>
    <xf numFmtId="2" fontId="21" fillId="0" borderId="0" xfId="0" applyNumberFormat="1" applyFont="1"/>
    <xf numFmtId="2" fontId="16" fillId="0" borderId="0" xfId="0" applyNumberFormat="1" applyFont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17968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32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Q20" sqref="Q20"/>
    </sheetView>
  </sheetViews>
  <sheetFormatPr baseColWidth="10" defaultColWidth="11.453125" defaultRowHeight="14.5" x14ac:dyDescent="0.35"/>
  <cols>
    <col min="1" max="1" width="9.26953125" hidden="1" customWidth="1"/>
    <col min="2" max="2" width="7.81640625" hidden="1" customWidth="1"/>
    <col min="3" max="3" width="36" hidden="1" customWidth="1"/>
    <col min="4" max="4" width="9.81640625" bestFit="1" customWidth="1"/>
    <col min="5" max="5" width="29.453125" customWidth="1"/>
    <col min="6" max="6" width="12.54296875" bestFit="1" customWidth="1"/>
    <col min="7" max="7" width="12.1796875" hidden="1" customWidth="1"/>
    <col min="8" max="8" width="18" hidden="1" customWidth="1"/>
    <col min="9" max="9" width="7.453125" customWidth="1"/>
    <col min="10" max="10" width="15" customWidth="1"/>
    <col min="11" max="11" width="13.7265625" style="55" customWidth="1"/>
    <col min="12" max="12" width="15.26953125" customWidth="1"/>
    <col min="13" max="13" width="11.81640625" customWidth="1"/>
    <col min="14" max="14" width="9.54296875" bestFit="1" customWidth="1"/>
    <col min="15" max="15" width="6.26953125" bestFit="1" customWidth="1"/>
    <col min="16" max="16" width="8.54296875" hidden="1" customWidth="1"/>
    <col min="17" max="17" width="19.26953125" bestFit="1" customWidth="1"/>
  </cols>
  <sheetData>
    <row r="1" spans="1:17" s="5" customFormat="1" ht="62" x14ac:dyDescent="0.4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56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6" customHeight="1" x14ac:dyDescent="0.45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1"/>
      <c r="H2" s="12"/>
      <c r="I2" s="35"/>
      <c r="J2" s="35"/>
      <c r="K2" s="37"/>
      <c r="L2" s="35"/>
      <c r="M2" s="36"/>
      <c r="N2" s="37"/>
      <c r="O2" s="5"/>
    </row>
    <row r="3" spans="1:17" s="19" customFormat="1" ht="16" customHeight="1" x14ac:dyDescent="0.45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52"/>
      <c r="L3" s="13"/>
      <c r="M3" s="13"/>
      <c r="N3" s="13"/>
      <c r="O3" s="5"/>
    </row>
    <row r="4" spans="1:17" s="19" customFormat="1" ht="16" customHeight="1" x14ac:dyDescent="0.45">
      <c r="A4" s="8"/>
      <c r="B4" s="18" t="s">
        <v>33</v>
      </c>
      <c r="C4" s="23" t="s">
        <v>34</v>
      </c>
      <c r="D4" s="32" t="s">
        <v>35</v>
      </c>
      <c r="E4" s="28" t="s">
        <v>36</v>
      </c>
      <c r="F4" s="29" t="s">
        <v>37</v>
      </c>
      <c r="G4" s="30"/>
      <c r="H4" s="12"/>
      <c r="I4" s="13"/>
      <c r="J4" s="13"/>
      <c r="K4" s="53">
        <f>+M4-(I4+J4+L4)</f>
        <v>21</v>
      </c>
      <c r="L4" s="13"/>
      <c r="M4" s="26">
        <v>21</v>
      </c>
      <c r="N4" s="27">
        <f t="shared" ref="N4:N6" si="0">+K4/M4</f>
        <v>1</v>
      </c>
      <c r="O4" s="5"/>
    </row>
    <row r="5" spans="1:17" s="19" customFormat="1" ht="16" customHeight="1" x14ac:dyDescent="0.45">
      <c r="A5" s="8"/>
      <c r="B5" s="18" t="s">
        <v>38</v>
      </c>
      <c r="C5" s="23" t="s">
        <v>39</v>
      </c>
      <c r="D5" s="32" t="s">
        <v>40</v>
      </c>
      <c r="E5" s="28" t="s">
        <v>41</v>
      </c>
      <c r="F5" s="29" t="s">
        <v>42</v>
      </c>
      <c r="G5" s="30"/>
      <c r="H5" s="12"/>
      <c r="I5" s="13"/>
      <c r="J5" s="38"/>
      <c r="K5" s="53">
        <f t="shared" ref="K5:K11" si="1">+M5-(I5+J5+L5)</f>
        <v>21</v>
      </c>
      <c r="L5" s="13"/>
      <c r="M5" s="26">
        <v>21</v>
      </c>
      <c r="N5" s="27">
        <f t="shared" si="0"/>
        <v>1</v>
      </c>
      <c r="O5" s="5"/>
    </row>
    <row r="6" spans="1:17" s="19" customFormat="1" ht="16" customHeight="1" x14ac:dyDescent="0.45">
      <c r="A6" s="8"/>
      <c r="B6" s="18" t="s">
        <v>29</v>
      </c>
      <c r="C6" s="23" t="s">
        <v>30</v>
      </c>
      <c r="D6" s="32" t="s">
        <v>43</v>
      </c>
      <c r="E6" s="28" t="s">
        <v>44</v>
      </c>
      <c r="F6" s="29" t="s">
        <v>45</v>
      </c>
      <c r="G6" s="30"/>
      <c r="H6" s="12"/>
      <c r="I6" s="13"/>
      <c r="J6" s="13">
        <v>5</v>
      </c>
      <c r="K6" s="53">
        <f t="shared" si="1"/>
        <v>10</v>
      </c>
      <c r="L6" s="13">
        <v>6</v>
      </c>
      <c r="M6" s="26">
        <v>21</v>
      </c>
      <c r="N6" s="27">
        <f t="shared" si="0"/>
        <v>0.47619047619047616</v>
      </c>
      <c r="O6" s="5"/>
    </row>
    <row r="7" spans="1:17" s="19" customFormat="1" ht="16" customHeight="1" x14ac:dyDescent="0.45">
      <c r="A7" s="8"/>
      <c r="B7" s="18" t="s">
        <v>29</v>
      </c>
      <c r="C7" s="23" t="s">
        <v>30</v>
      </c>
      <c r="D7" s="32" t="s">
        <v>46</v>
      </c>
      <c r="E7" s="28" t="s">
        <v>47</v>
      </c>
      <c r="F7" s="29" t="s">
        <v>42</v>
      </c>
      <c r="G7" s="30"/>
      <c r="H7" s="12"/>
      <c r="I7" s="13"/>
      <c r="J7" s="13"/>
      <c r="K7" s="53">
        <f t="shared" si="1"/>
        <v>21</v>
      </c>
      <c r="L7" s="13"/>
      <c r="M7" s="26">
        <v>21</v>
      </c>
      <c r="N7" s="27">
        <f>+K7/M7</f>
        <v>1</v>
      </c>
      <c r="O7" s="5"/>
    </row>
    <row r="8" spans="1:17" s="19" customFormat="1" ht="16" customHeight="1" x14ac:dyDescent="0.45">
      <c r="A8" s="8"/>
      <c r="B8" s="18" t="s">
        <v>29</v>
      </c>
      <c r="C8" s="23" t="s">
        <v>30</v>
      </c>
      <c r="D8" s="32" t="s">
        <v>48</v>
      </c>
      <c r="E8" s="28" t="s">
        <v>49</v>
      </c>
      <c r="F8" s="29" t="s">
        <v>42</v>
      </c>
      <c r="G8" s="30"/>
      <c r="H8" s="12"/>
      <c r="I8" s="13"/>
      <c r="J8" s="13">
        <v>2</v>
      </c>
      <c r="K8" s="53">
        <f t="shared" si="1"/>
        <v>19</v>
      </c>
      <c r="L8" s="13"/>
      <c r="M8" s="26">
        <v>21</v>
      </c>
      <c r="N8" s="27">
        <f>+K8/M8</f>
        <v>0.90476190476190477</v>
      </c>
      <c r="O8" s="5"/>
    </row>
    <row r="9" spans="1:17" s="19" customFormat="1" ht="16" customHeight="1" x14ac:dyDescent="0.45">
      <c r="A9" s="8"/>
      <c r="B9" s="18"/>
      <c r="C9" s="23"/>
      <c r="D9" s="32" t="s">
        <v>50</v>
      </c>
      <c r="E9" s="28" t="s">
        <v>51</v>
      </c>
      <c r="F9" s="29" t="s">
        <v>52</v>
      </c>
      <c r="G9" s="30"/>
      <c r="H9" s="12"/>
      <c r="I9" s="13"/>
      <c r="J9" s="13">
        <v>2</v>
      </c>
      <c r="K9" s="53">
        <f t="shared" si="1"/>
        <v>19</v>
      </c>
      <c r="L9" s="13"/>
      <c r="M9" s="26">
        <v>21</v>
      </c>
      <c r="N9" s="27">
        <f>+K9/M9</f>
        <v>0.90476190476190477</v>
      </c>
      <c r="O9" s="5"/>
    </row>
    <row r="10" spans="1:17" s="49" customFormat="1" ht="16" customHeight="1" x14ac:dyDescent="0.45">
      <c r="A10" s="8"/>
      <c r="B10" s="18"/>
      <c r="C10" s="23"/>
      <c r="D10" s="32" t="s">
        <v>53</v>
      </c>
      <c r="E10" s="28" t="s">
        <v>54</v>
      </c>
      <c r="F10" s="29" t="s">
        <v>52</v>
      </c>
      <c r="G10" s="30"/>
      <c r="H10" s="12"/>
      <c r="I10" s="13"/>
      <c r="J10" s="13">
        <v>11</v>
      </c>
      <c r="K10" s="53">
        <f t="shared" si="1"/>
        <v>10</v>
      </c>
      <c r="L10" s="13"/>
      <c r="M10" s="26">
        <v>21</v>
      </c>
      <c r="N10" s="27">
        <f>+K10/M10</f>
        <v>0.47619047619047616</v>
      </c>
      <c r="O10" s="5"/>
      <c r="P10" s="19"/>
      <c r="Q10" s="39"/>
    </row>
    <row r="11" spans="1:17" s="49" customFormat="1" ht="16" customHeight="1" x14ac:dyDescent="0.45">
      <c r="A11" s="8"/>
      <c r="B11" s="18"/>
      <c r="C11" s="23"/>
      <c r="D11" s="32" t="s">
        <v>55</v>
      </c>
      <c r="E11" s="28" t="s">
        <v>56</v>
      </c>
      <c r="F11" s="29" t="s">
        <v>52</v>
      </c>
      <c r="G11" s="30"/>
      <c r="H11" s="12"/>
      <c r="I11" s="13"/>
      <c r="J11" s="13">
        <v>14</v>
      </c>
      <c r="K11" s="53">
        <f t="shared" si="1"/>
        <v>7</v>
      </c>
      <c r="L11" s="13"/>
      <c r="M11" s="26">
        <v>21</v>
      </c>
      <c r="N11" s="27">
        <f>+K11/M11</f>
        <v>0.33333333333333331</v>
      </c>
      <c r="O11" s="5"/>
      <c r="P11" s="19"/>
      <c r="Q11" s="39"/>
    </row>
    <row r="12" spans="1:17" s="19" customFormat="1" ht="16" customHeight="1" x14ac:dyDescent="0.45">
      <c r="A12" s="8"/>
      <c r="B12" s="15" t="s">
        <v>38</v>
      </c>
      <c r="C12" s="16" t="s">
        <v>39</v>
      </c>
      <c r="D12" s="17" t="s">
        <v>57</v>
      </c>
      <c r="E12" s="15" t="s">
        <v>58</v>
      </c>
      <c r="F12" s="15" t="s">
        <v>10</v>
      </c>
      <c r="G12" s="15"/>
      <c r="H12" s="12"/>
      <c r="I12" s="13"/>
      <c r="J12" s="13"/>
      <c r="K12" s="53"/>
      <c r="L12" s="20"/>
      <c r="M12" s="26"/>
      <c r="N12" s="27"/>
      <c r="O12" s="5"/>
      <c r="P12" s="39">
        <f>SUM(N4:N8)</f>
        <v>4.3809523809523814</v>
      </c>
      <c r="Q12" s="59">
        <f>+N4+N5+N6+N7+N8+N9+N10+N11+L10</f>
        <v>6.0952380952380958</v>
      </c>
    </row>
    <row r="13" spans="1:17" s="19" customFormat="1" ht="16" customHeight="1" x14ac:dyDescent="0.45">
      <c r="A13" s="8"/>
      <c r="B13" s="18" t="s">
        <v>29</v>
      </c>
      <c r="C13" s="23" t="s">
        <v>30</v>
      </c>
      <c r="D13" s="32">
        <v>4504</v>
      </c>
      <c r="E13" s="28" t="s">
        <v>59</v>
      </c>
      <c r="F13" s="29" t="s">
        <v>37</v>
      </c>
      <c r="G13" s="33"/>
      <c r="H13" s="14"/>
      <c r="I13" s="13"/>
      <c r="J13" s="13">
        <v>7</v>
      </c>
      <c r="K13" s="53">
        <f>+M13-(I13+J13+L13)</f>
        <v>14</v>
      </c>
      <c r="L13" s="14"/>
      <c r="M13" s="26">
        <v>21</v>
      </c>
      <c r="N13" s="27">
        <f>+K13/M13</f>
        <v>0.66666666666666663</v>
      </c>
      <c r="O13" s="5"/>
      <c r="Q13" s="58"/>
    </row>
    <row r="14" spans="1:17" s="19" customFormat="1" ht="16" customHeight="1" x14ac:dyDescent="0.45">
      <c r="A14" s="8"/>
      <c r="B14" s="18" t="s">
        <v>38</v>
      </c>
      <c r="C14" s="23" t="s">
        <v>39</v>
      </c>
      <c r="D14" s="32" t="s">
        <v>60</v>
      </c>
      <c r="E14" s="28" t="s">
        <v>61</v>
      </c>
      <c r="F14" s="29" t="s">
        <v>62</v>
      </c>
      <c r="G14" s="30"/>
      <c r="H14" s="12"/>
      <c r="I14" s="13"/>
      <c r="J14" s="13">
        <v>2</v>
      </c>
      <c r="K14" s="53">
        <f t="shared" ref="K14:K28" si="2">+M14-(I14+J14+L14)</f>
        <v>19</v>
      </c>
      <c r="L14" s="13"/>
      <c r="M14" s="26">
        <v>21</v>
      </c>
      <c r="N14" s="27">
        <f>+K14/M14</f>
        <v>0.90476190476190477</v>
      </c>
      <c r="O14" s="5"/>
      <c r="Q14" s="58"/>
    </row>
    <row r="15" spans="1:17" s="19" customFormat="1" ht="16" customHeight="1" x14ac:dyDescent="0.45">
      <c r="A15" s="8"/>
      <c r="B15" s="25" t="s">
        <v>63</v>
      </c>
      <c r="C15" s="23" t="s">
        <v>64</v>
      </c>
      <c r="D15" s="32" t="s">
        <v>65</v>
      </c>
      <c r="E15" s="28" t="s">
        <v>66</v>
      </c>
      <c r="F15" s="29" t="s">
        <v>37</v>
      </c>
      <c r="G15" s="30"/>
      <c r="H15" s="13"/>
      <c r="I15" s="13"/>
      <c r="J15" s="13">
        <v>1</v>
      </c>
      <c r="K15" s="53">
        <f t="shared" si="2"/>
        <v>20</v>
      </c>
      <c r="L15" s="20"/>
      <c r="M15" s="26">
        <v>21</v>
      </c>
      <c r="N15" s="27">
        <f>+K15/M15</f>
        <v>0.95238095238095233</v>
      </c>
      <c r="O15" s="5"/>
      <c r="Q15" s="58"/>
    </row>
    <row r="16" spans="1:17" s="19" customFormat="1" ht="16" customHeight="1" x14ac:dyDescent="0.45">
      <c r="A16" s="8"/>
      <c r="B16" s="18" t="s">
        <v>38</v>
      </c>
      <c r="C16" s="23" t="s">
        <v>39</v>
      </c>
      <c r="D16" s="32" t="s">
        <v>67</v>
      </c>
      <c r="E16" s="28" t="s">
        <v>68</v>
      </c>
      <c r="F16" s="29" t="s">
        <v>37</v>
      </c>
      <c r="G16" s="30"/>
      <c r="H16" s="12"/>
      <c r="I16" s="13"/>
      <c r="J16" s="13"/>
      <c r="K16" s="53">
        <f t="shared" si="2"/>
        <v>21</v>
      </c>
      <c r="L16" s="20"/>
      <c r="M16" s="26">
        <v>21</v>
      </c>
      <c r="N16" s="27">
        <f t="shared" ref="N16:N19" si="3">+K16/M16</f>
        <v>1</v>
      </c>
      <c r="O16" s="5"/>
      <c r="Q16" s="58"/>
    </row>
    <row r="17" spans="1:19" s="19" customFormat="1" ht="16" customHeight="1" x14ac:dyDescent="0.45">
      <c r="A17" s="8"/>
      <c r="B17" s="18"/>
      <c r="C17" s="23"/>
      <c r="D17" s="32" t="s">
        <v>69</v>
      </c>
      <c r="E17" s="28" t="s">
        <v>70</v>
      </c>
      <c r="F17" s="29" t="s">
        <v>45</v>
      </c>
      <c r="G17" s="30"/>
      <c r="H17" s="12"/>
      <c r="I17" s="13"/>
      <c r="J17" s="13">
        <v>1</v>
      </c>
      <c r="K17" s="53">
        <f t="shared" si="2"/>
        <v>14</v>
      </c>
      <c r="L17" s="20">
        <v>6</v>
      </c>
      <c r="M17" s="26">
        <v>21</v>
      </c>
      <c r="N17" s="27">
        <f t="shared" si="3"/>
        <v>0.66666666666666663</v>
      </c>
      <c r="O17" s="5"/>
      <c r="Q17" s="58"/>
    </row>
    <row r="18" spans="1:19" s="19" customFormat="1" ht="16" customHeight="1" x14ac:dyDescent="0.45">
      <c r="A18" s="8"/>
      <c r="B18" s="18"/>
      <c r="C18" s="23"/>
      <c r="D18" s="32" t="s">
        <v>71</v>
      </c>
      <c r="E18" s="28" t="s">
        <v>72</v>
      </c>
      <c r="F18" s="29" t="s">
        <v>45</v>
      </c>
      <c r="G18" s="30"/>
      <c r="H18" s="12"/>
      <c r="I18" s="13"/>
      <c r="J18" s="13">
        <v>1</v>
      </c>
      <c r="K18" s="53">
        <f t="shared" si="2"/>
        <v>20</v>
      </c>
      <c r="L18" s="20"/>
      <c r="M18" s="26">
        <v>21</v>
      </c>
      <c r="N18" s="27">
        <v>1</v>
      </c>
      <c r="O18" s="5"/>
      <c r="Q18" s="58"/>
    </row>
    <row r="19" spans="1:19" s="19" customFormat="1" ht="16" customHeight="1" x14ac:dyDescent="0.45">
      <c r="A19" s="8"/>
      <c r="B19" s="18"/>
      <c r="C19" s="23"/>
      <c r="D19" s="32" t="s">
        <v>73</v>
      </c>
      <c r="E19" s="28" t="s">
        <v>74</v>
      </c>
      <c r="F19" s="29" t="s">
        <v>37</v>
      </c>
      <c r="G19" s="30"/>
      <c r="H19" s="12"/>
      <c r="I19" s="13"/>
      <c r="J19" s="38"/>
      <c r="K19" s="53">
        <f t="shared" si="2"/>
        <v>21</v>
      </c>
      <c r="L19" s="57"/>
      <c r="M19" s="26">
        <v>21</v>
      </c>
      <c r="N19" s="27">
        <f t="shared" si="3"/>
        <v>1</v>
      </c>
      <c r="O19" s="5"/>
      <c r="P19" s="39"/>
      <c r="Q19" s="59">
        <f>+N13+N14+N15+N16+N17+N18+N19</f>
        <v>6.1904761904761907</v>
      </c>
    </row>
    <row r="20" spans="1:19" ht="16" customHeight="1" x14ac:dyDescent="0.35">
      <c r="A20" s="8"/>
      <c r="B20" s="15" t="s">
        <v>75</v>
      </c>
      <c r="C20" s="16" t="s">
        <v>39</v>
      </c>
      <c r="D20" s="17" t="s">
        <v>76</v>
      </c>
      <c r="E20" s="15" t="s">
        <v>77</v>
      </c>
      <c r="F20" s="15" t="s">
        <v>10</v>
      </c>
      <c r="G20" s="15"/>
      <c r="H20" s="12"/>
      <c r="I20" s="13"/>
      <c r="J20" s="13"/>
      <c r="K20" s="54"/>
      <c r="L20" s="48"/>
      <c r="M20" s="26"/>
      <c r="N20" s="27"/>
      <c r="Q20" s="47"/>
    </row>
    <row r="21" spans="1:19" ht="16" customHeight="1" x14ac:dyDescent="0.35">
      <c r="B21" s="18"/>
      <c r="C21" s="23"/>
      <c r="D21" s="32" t="s">
        <v>78</v>
      </c>
      <c r="E21" s="28" t="s">
        <v>79</v>
      </c>
      <c r="F21" s="29" t="s">
        <v>37</v>
      </c>
      <c r="G21" s="33"/>
      <c r="H21" s="24"/>
      <c r="I21" s="13"/>
      <c r="J21" s="13"/>
      <c r="K21" s="53">
        <f t="shared" si="2"/>
        <v>21</v>
      </c>
      <c r="L21" s="41"/>
      <c r="M21" s="26">
        <v>21</v>
      </c>
      <c r="N21" s="27">
        <v>1</v>
      </c>
      <c r="Q21" s="47"/>
    </row>
    <row r="22" spans="1:19" ht="16" customHeight="1" x14ac:dyDescent="0.35">
      <c r="B22" s="18" t="s">
        <v>38</v>
      </c>
      <c r="C22" s="23" t="s">
        <v>39</v>
      </c>
      <c r="D22" s="32" t="s">
        <v>80</v>
      </c>
      <c r="E22" s="28" t="s">
        <v>81</v>
      </c>
      <c r="F22" s="29" t="s">
        <v>37</v>
      </c>
      <c r="G22" s="30"/>
      <c r="H22" s="12"/>
      <c r="I22" s="13"/>
      <c r="J22" s="13">
        <v>6</v>
      </c>
      <c r="K22" s="53">
        <f t="shared" si="2"/>
        <v>15</v>
      </c>
      <c r="L22" s="41"/>
      <c r="M22" s="26">
        <v>21</v>
      </c>
      <c r="N22" s="27">
        <f t="shared" ref="N22:N28" si="4">+K22/M22</f>
        <v>0.7142857142857143</v>
      </c>
      <c r="Q22" s="47"/>
    </row>
    <row r="23" spans="1:19" ht="16" customHeight="1" x14ac:dyDescent="0.35">
      <c r="B23" s="18" t="s">
        <v>82</v>
      </c>
      <c r="C23" s="23" t="s">
        <v>83</v>
      </c>
      <c r="D23" s="32" t="s">
        <v>84</v>
      </c>
      <c r="E23" s="28" t="s">
        <v>85</v>
      </c>
      <c r="F23" s="29" t="s">
        <v>62</v>
      </c>
      <c r="G23" s="30"/>
      <c r="H23" s="12"/>
      <c r="I23" s="13"/>
      <c r="J23" s="13">
        <v>7</v>
      </c>
      <c r="K23" s="53">
        <f t="shared" si="2"/>
        <v>14</v>
      </c>
      <c r="L23" s="41"/>
      <c r="M23" s="26">
        <v>21</v>
      </c>
      <c r="N23" s="27">
        <f t="shared" si="4"/>
        <v>0.66666666666666663</v>
      </c>
      <c r="Q23" s="47"/>
    </row>
    <row r="24" spans="1:19" ht="16" customHeight="1" x14ac:dyDescent="0.35">
      <c r="B24" s="18" t="s">
        <v>29</v>
      </c>
      <c r="C24" s="23" t="s">
        <v>30</v>
      </c>
      <c r="D24" s="34" t="s">
        <v>86</v>
      </c>
      <c r="E24" s="28" t="s">
        <v>87</v>
      </c>
      <c r="F24" s="29" t="s">
        <v>45</v>
      </c>
      <c r="G24" s="30"/>
      <c r="H24" s="12"/>
      <c r="J24" s="13">
        <v>11</v>
      </c>
      <c r="K24" s="53">
        <f t="shared" si="2"/>
        <v>10</v>
      </c>
      <c r="L24" s="51"/>
      <c r="M24" s="26">
        <v>21</v>
      </c>
      <c r="N24" s="27">
        <f t="shared" si="4"/>
        <v>0.47619047619047616</v>
      </c>
      <c r="Q24" s="47"/>
    </row>
    <row r="25" spans="1:19" ht="16" customHeight="1" x14ac:dyDescent="0.35">
      <c r="B25" s="18" t="s">
        <v>63</v>
      </c>
      <c r="C25" s="23" t="s">
        <v>88</v>
      </c>
      <c r="D25" s="32" t="s">
        <v>89</v>
      </c>
      <c r="E25" s="28" t="s">
        <v>90</v>
      </c>
      <c r="F25" s="29" t="s">
        <v>45</v>
      </c>
      <c r="G25" s="30"/>
      <c r="H25" s="12"/>
      <c r="I25" s="50"/>
      <c r="J25" s="13"/>
      <c r="K25" s="53">
        <f t="shared" si="2"/>
        <v>21</v>
      </c>
      <c r="L25" s="45"/>
      <c r="M25" s="26">
        <v>21</v>
      </c>
      <c r="N25" s="27">
        <f t="shared" si="4"/>
        <v>1</v>
      </c>
      <c r="Q25" s="58"/>
    </row>
    <row r="26" spans="1:19" ht="16" customHeight="1" x14ac:dyDescent="0.35">
      <c r="B26" s="18" t="s">
        <v>63</v>
      </c>
      <c r="C26" s="23" t="s">
        <v>88</v>
      </c>
      <c r="D26" s="32" t="s">
        <v>91</v>
      </c>
      <c r="E26" s="28" t="s">
        <v>92</v>
      </c>
      <c r="F26" s="29" t="s">
        <v>45</v>
      </c>
      <c r="G26" s="30"/>
      <c r="H26" s="13"/>
      <c r="I26" s="50"/>
      <c r="J26" s="13">
        <v>7</v>
      </c>
      <c r="K26" s="53">
        <f t="shared" si="2"/>
        <v>14</v>
      </c>
      <c r="L26" s="41"/>
      <c r="M26" s="26">
        <v>21</v>
      </c>
      <c r="N26" s="27">
        <f t="shared" si="4"/>
        <v>0.66666666666666663</v>
      </c>
      <c r="P26" s="40">
        <f>SUM(N21:N26)</f>
        <v>4.5238095238095237</v>
      </c>
      <c r="Q26" s="47"/>
    </row>
    <row r="27" spans="1:19" x14ac:dyDescent="0.35">
      <c r="D27" s="32">
        <v>9504</v>
      </c>
      <c r="E27" s="28" t="s">
        <v>93</v>
      </c>
      <c r="F27" s="29" t="s">
        <v>45</v>
      </c>
      <c r="G27" s="24"/>
      <c r="H27" s="24"/>
      <c r="I27" s="50">
        <v>6</v>
      </c>
      <c r="J27" s="50"/>
      <c r="K27" s="53">
        <f t="shared" si="2"/>
        <v>15</v>
      </c>
      <c r="L27" s="24"/>
      <c r="M27" s="26">
        <v>21</v>
      </c>
      <c r="N27" s="27">
        <f t="shared" si="4"/>
        <v>0.7142857142857143</v>
      </c>
      <c r="Q27" s="47"/>
    </row>
    <row r="28" spans="1:19" x14ac:dyDescent="0.35">
      <c r="D28" s="32">
        <v>5730</v>
      </c>
      <c r="E28" s="28" t="s">
        <v>94</v>
      </c>
      <c r="F28" s="29" t="s">
        <v>62</v>
      </c>
      <c r="G28" s="24"/>
      <c r="H28" s="24"/>
      <c r="I28" s="24"/>
      <c r="J28" s="50">
        <v>2</v>
      </c>
      <c r="K28" s="53">
        <f t="shared" si="2"/>
        <v>19</v>
      </c>
      <c r="L28" s="24"/>
      <c r="M28" s="26">
        <v>21</v>
      </c>
      <c r="N28" s="27">
        <f t="shared" si="4"/>
        <v>0.90476190476190477</v>
      </c>
      <c r="Q28" s="60">
        <f>+N21+N22+N23+N25+N24+N26+N27+N28</f>
        <v>6.1428571428571432</v>
      </c>
      <c r="R28" s="43"/>
    </row>
    <row r="29" spans="1:19" x14ac:dyDescent="0.35">
      <c r="M29" s="42"/>
      <c r="R29" s="43"/>
    </row>
    <row r="30" spans="1:19" ht="18.5" x14ac:dyDescent="0.45">
      <c r="M30" s="46"/>
      <c r="N30" s="43"/>
      <c r="Q30" s="40"/>
      <c r="S30" s="44"/>
    </row>
    <row r="32" spans="1:19" x14ac:dyDescent="0.35">
      <c r="N32" s="47"/>
      <c r="Q32" s="47">
        <f>+Q28+Q19+Q12</f>
        <v>18.428571428571431</v>
      </c>
    </row>
  </sheetData>
  <sortState xmlns:xlrd2="http://schemas.microsoft.com/office/spreadsheetml/2017/richdata2" ref="D21:N26">
    <sortCondition ref="D21:D26"/>
  </sortState>
  <phoneticPr fontId="8" type="noConversion"/>
  <dataValidations disablePrompts="1" count="2">
    <dataValidation type="list" allowBlank="1" showInputMessage="1" showErrorMessage="1" sqref="H14 H21:H26 H5:H11 H17:H19" xr:uid="{4B13DD4D-6258-42FD-A152-E6BFA6BD40A3}">
      <formula1>$Q$2:$Q$4</formula1>
    </dataValidation>
    <dataValidation type="list" allowBlank="1" showInputMessage="1" showErrorMessage="1" sqref="H2:H3 H12 H20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C7BFD-F17F-4E12-BB56-81492CC6A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68935F-03C8-4D3C-B554-2694F136186F}">
  <ds:schemaRefs>
    <ds:schemaRef ds:uri="e16360fa-a872-4335-9e5c-3a09d38ecdcc"/>
    <ds:schemaRef ds:uri="680c7679-6e7d-4828-b830-7705079186f8"/>
    <ds:schemaRef ds:uri="http://schemas.microsoft.com/office/2006/documentManagement/types"/>
    <ds:schemaRef ds:uri="d94663fc-0bbb-4c75-ad7b-31b0161adbb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FA4B20-9FB8-480E-B8E0-5F875248D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CARGOS</vt:lpstr>
      <vt:lpstr>DCC I Enero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Chavez Silva Vanesa Genoveva</cp:lastModifiedBy>
  <cp:revision/>
  <dcterms:created xsi:type="dcterms:W3CDTF">2023-01-19T19:37:24Z</dcterms:created>
  <dcterms:modified xsi:type="dcterms:W3CDTF">2026-02-03T23:33:48Z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