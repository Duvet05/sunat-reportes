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defaultThemeVersion="166925"/>
  <mc:AlternateContent xmlns:mc="http://schemas.openxmlformats.org/markup-compatibility/2006">
    <mc:Choice Requires="x15">
      <x15ac:absPath xmlns:x15ac="http://schemas.microsoft.com/office/spreadsheetml/2010/11/ac" url="D:\Usuarios\vchavezs\AppData\Local\Microsoft\Windows\INetCache\Content.Outlook\BQ0D6D23\"/>
    </mc:Choice>
  </mc:AlternateContent>
  <xr:revisionPtr revIDLastSave="406" documentId="13_ncr:1_{18B2E586-96C6-408D-A381-6C5D56E3FD6B}" xr6:coauthVersionLast="47" xr6:coauthVersionMax="47" xr10:uidLastSave="{DDFDE90F-607E-46BC-B179-3029F740AC35}"/>
  <bookViews>
    <workbookView xWindow="-110" yWindow="-110" windowWidth="19420" windowHeight="10420" xr2:uid="{2EFA1358-0385-4213-83A5-14E931E4CB47}"/>
  </bookViews>
  <sheets>
    <sheet name="DCCI" sheetId="1" r:id="rId1"/>
  </sheets>
  <definedNames>
    <definedName name="_xlnm._FilterDatabase" localSheetId="0" hidden="1">DCCI!$B$85:$G$85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4" i="1" l="1"/>
  <c r="G112" i="1"/>
  <c r="E76" i="1"/>
  <c r="E71" i="1"/>
  <c r="D76" i="1"/>
  <c r="D71" i="1"/>
  <c r="G138" i="1"/>
  <c r="G128" i="1"/>
  <c r="H138" i="1"/>
  <c r="E59" i="1"/>
  <c r="D59" i="1"/>
  <c r="E54" i="1"/>
  <c r="D54" i="1"/>
  <c r="I164" i="1"/>
  <c r="E16" i="1"/>
  <c r="G58" i="1"/>
  <c r="G57" i="1"/>
  <c r="G59" i="1" s="1"/>
  <c r="D16" i="1"/>
  <c r="D9" i="1"/>
  <c r="G53" i="1"/>
  <c r="C16" i="1"/>
  <c r="G52" i="1" l="1"/>
  <c r="C164" i="1"/>
  <c r="G51" i="1"/>
  <c r="C9" i="1" l="1"/>
</calcChain>
</file>

<file path=xl/sharedStrings.xml><?xml version="1.0" encoding="utf-8"?>
<sst xmlns="http://schemas.openxmlformats.org/spreadsheetml/2006/main" count="392" uniqueCount="219">
  <si>
    <t>COMITÉ INI</t>
  </si>
  <si>
    <t>STOCK DE DOCUMENTOS</t>
  </si>
  <si>
    <t>DCCI</t>
  </si>
  <si>
    <t>DCCII</t>
  </si>
  <si>
    <t>DCP</t>
  </si>
  <si>
    <t>FONDO</t>
  </si>
  <si>
    <t>ADMISIBILIDAD</t>
  </si>
  <si>
    <t>TOTAL</t>
  </si>
  <si>
    <t xml:space="preserve">PRODUCTIVIDAD RECLAMOS </t>
  </si>
  <si>
    <t>DIVISIÓN DE CONTROL CONCURRENTE-I</t>
  </si>
  <si>
    <t>DIVISIÓN DE CONTROL CONCURRENTE-II</t>
  </si>
  <si>
    <t>DIVISIÓN DE CONTROL POSTERIOR</t>
  </si>
  <si>
    <t>Reclamos resueltos</t>
  </si>
  <si>
    <t>Resolutor</t>
  </si>
  <si>
    <t>Producción Promedio</t>
  </si>
  <si>
    <t>(*) Se resolvieron reclamos de origen INCA (10 casos)  por un monto de 915 mil soles y 14 casos de DCCI</t>
  </si>
  <si>
    <t>PRODUCTIVIDAD (LABORES ADICIONALES)</t>
  </si>
  <si>
    <t>PRODUCCIÓN</t>
  </si>
  <si>
    <t>UUOO</t>
  </si>
  <si>
    <t>MATERIA</t>
  </si>
  <si>
    <t>MEJORA RD</t>
  </si>
  <si>
    <t>MEJORA LC</t>
  </si>
  <si>
    <t>MEJORA (IAMC)</t>
  </si>
  <si>
    <t>ADMISIBILIDAD APELACIÓN</t>
  </si>
  <si>
    <t xml:space="preserve">PRODUCTO RESUELTO </t>
  </si>
  <si>
    <t>RESOLUTOR (EJEMPLO)</t>
  </si>
  <si>
    <t>PRODUCCIÓN PROMEDIO (EJEMPLO)</t>
  </si>
  <si>
    <t>PROGRAMACIÓN-AGOSTO 2024</t>
  </si>
  <si>
    <t>STOCK VENCIDOS</t>
  </si>
  <si>
    <t>VENCIDO +9 MESES</t>
  </si>
  <si>
    <t>9 MESES</t>
  </si>
  <si>
    <t>8 MESES</t>
  </si>
  <si>
    <t>7 MESES</t>
  </si>
  <si>
    <t>18 (*)</t>
  </si>
  <si>
    <r>
      <t>(</t>
    </r>
    <r>
      <rPr>
        <b/>
        <sz val="10"/>
        <color theme="1"/>
        <rFont val="Calibri Light"/>
        <family val="2"/>
        <scheme val="major"/>
      </rPr>
      <t>*) Reingresados</t>
    </r>
  </si>
  <si>
    <t>NO GESTIONABLE Y REINGRESADOS</t>
  </si>
  <si>
    <t>NO GESTIONABLE</t>
  </si>
  <si>
    <t xml:space="preserve">REINGRESADOS </t>
  </si>
  <si>
    <t>PRODUCTIVIDAD POR SUPERVISIÓN</t>
  </si>
  <si>
    <t>Supervisión</t>
  </si>
  <si>
    <t>Nombre y apellido</t>
  </si>
  <si>
    <t>Resolución aplicada</t>
  </si>
  <si>
    <t>Resolutor efectivo</t>
  </si>
  <si>
    <t>Complejidad</t>
  </si>
  <si>
    <t>Producción promedio</t>
  </si>
  <si>
    <t>7U7101</t>
  </si>
  <si>
    <t>Allison Castro</t>
  </si>
  <si>
    <t>7U7102</t>
  </si>
  <si>
    <t>Teresita Quezada</t>
  </si>
  <si>
    <t>7U7103</t>
  </si>
  <si>
    <t>Angelita Santillan</t>
  </si>
  <si>
    <t>7U7201</t>
  </si>
  <si>
    <t>Yessenia Salcedo</t>
  </si>
  <si>
    <t>7U7202</t>
  </si>
  <si>
    <t>Alberto Munive</t>
  </si>
  <si>
    <t>7U7301</t>
  </si>
  <si>
    <t xml:space="preserve">Cynthia Sánchez Ferrer </t>
  </si>
  <si>
    <t>23 Resoluciones(*)</t>
  </si>
  <si>
    <t>Muy Alta 3
Alta 10
Media 2</t>
  </si>
  <si>
    <t>(*) Incluye 14 casos orginen DCCI.</t>
  </si>
  <si>
    <t>PROYECTADO Y NO APLICADO</t>
  </si>
  <si>
    <t xml:space="preserve">Resolución proyectada </t>
  </si>
  <si>
    <r>
      <t>Resolución</t>
    </r>
    <r>
      <rPr>
        <b/>
        <u/>
        <sz val="10"/>
        <color rgb="FFFFFFFF"/>
        <rFont val="Calibri Light"/>
        <family val="2"/>
        <scheme val="major"/>
      </rPr>
      <t xml:space="preserve"> </t>
    </r>
    <r>
      <rPr>
        <b/>
        <sz val="10"/>
        <color rgb="FFFFFFFF"/>
        <rFont val="Calibri Light"/>
        <family val="2"/>
        <scheme val="major"/>
      </rPr>
      <t>aplicada</t>
    </r>
    <r>
      <rPr>
        <b/>
        <u/>
        <sz val="10"/>
        <color rgb="FFFFFFFF"/>
        <rFont val="Calibri Light"/>
        <family val="2"/>
        <scheme val="major"/>
      </rPr>
      <t xml:space="preserve"> </t>
    </r>
  </si>
  <si>
    <t xml:space="preserve">Motivo </t>
  </si>
  <si>
    <t>coordinanción con el área.</t>
  </si>
  <si>
    <t>proyectos observados/ coordinación con el área.</t>
  </si>
  <si>
    <t>complejos</t>
  </si>
  <si>
    <t>dentro de plazo de pruebas/ proyectos observados</t>
  </si>
  <si>
    <t xml:space="preserve">      Motivo</t>
  </si>
  <si>
    <t>Observado por supervisión</t>
  </si>
  <si>
    <t>AlbertoMunive</t>
  </si>
  <si>
    <t>En revisión de supervisión, adecución al cargo</t>
  </si>
  <si>
    <t>Motivo</t>
  </si>
  <si>
    <t>Cynthia Sánchez Ferrer</t>
  </si>
  <si>
    <t xml:space="preserve">I-980806 </t>
  </si>
  <si>
    <t>Se generó ticket en virtud a que de la acumulación de 03 expedientes SIGERI el sistema no actualiza los intereses de los Expedientes acumulados, solamente actualiza intereses del SIGERI básico. Solución de este problema es fundamental dado que impacta en todas los casos que se acumulen exp. SIGERI, que involucren un valor nativo</t>
  </si>
  <si>
    <t>Producción por especialista:</t>
  </si>
  <si>
    <t>PRODUCCIÓN POR RESOLUTOR</t>
  </si>
  <si>
    <t>SUPERVISIONES</t>
  </si>
  <si>
    <t>REGISTRO</t>
  </si>
  <si>
    <t xml:space="preserve">FUNCIONARIO </t>
  </si>
  <si>
    <t>CARGO</t>
  </si>
  <si>
    <t>PRODUCCIÓN  MENSUAL</t>
  </si>
  <si>
    <t>7U7100 DIVISION DE CONTROL CONCURRENTE I</t>
  </si>
  <si>
    <t>5877</t>
  </si>
  <si>
    <t>Allison, Castro Lagos</t>
  </si>
  <si>
    <t>Supervisor 1</t>
  </si>
  <si>
    <t>2900</t>
  </si>
  <si>
    <t>Carolina Cavero Carrion</t>
  </si>
  <si>
    <t>Especialista 4</t>
  </si>
  <si>
    <t>4469</t>
  </si>
  <si>
    <t>Maria Hurtado Custodio</t>
  </si>
  <si>
    <t>Especialista 5</t>
  </si>
  <si>
    <t>5534</t>
  </si>
  <si>
    <t>Celso Sanchez Garrido</t>
  </si>
  <si>
    <t>3284</t>
  </si>
  <si>
    <t>Ana Diaz Jurado</t>
  </si>
  <si>
    <t>Especialista 2</t>
  </si>
  <si>
    <t>3085</t>
  </si>
  <si>
    <t>Edgar Cosio Jara</t>
  </si>
  <si>
    <t>8351</t>
  </si>
  <si>
    <t>Debra Araoz Laines</t>
  </si>
  <si>
    <t>5565</t>
  </si>
  <si>
    <t>Victoria Santa Cruz Martinez</t>
  </si>
  <si>
    <t>4644</t>
  </si>
  <si>
    <t>Cesar Linares Alcantara</t>
  </si>
  <si>
    <t>Especialista 3</t>
  </si>
  <si>
    <t>7580</t>
  </si>
  <si>
    <t>Teresita Quezada Villar</t>
  </si>
  <si>
    <t>Supervisor 2</t>
  </si>
  <si>
    <t>2968</t>
  </si>
  <si>
    <t>Maria Chire Tunque</t>
  </si>
  <si>
    <t>4949</t>
  </si>
  <si>
    <t>Javier Oyarse Cruz</t>
  </si>
  <si>
    <t>4504</t>
  </si>
  <si>
    <t xml:space="preserve">Hugo Jimenez Suclla </t>
  </si>
  <si>
    <t>8319</t>
  </si>
  <si>
    <t>Carla Vilcapaza Amaro</t>
  </si>
  <si>
    <t>Especialista 1</t>
  </si>
  <si>
    <t>3977</t>
  </si>
  <si>
    <t>William Godoy Escalante</t>
  </si>
  <si>
    <t>7324</t>
  </si>
  <si>
    <t>Zaira Carbajal Jara</t>
  </si>
  <si>
    <t>Marco Tregear Jimenez</t>
  </si>
  <si>
    <t>5569</t>
  </si>
  <si>
    <t>Gladys Santillan Valdivia</t>
  </si>
  <si>
    <t>Supervisor 3</t>
  </si>
  <si>
    <t>7330</t>
  </si>
  <si>
    <t>Tania Rosales Ochoa</t>
  </si>
  <si>
    <t>4770</t>
  </si>
  <si>
    <t>Maritza Mollinedo Catunta</t>
  </si>
  <si>
    <t>2858</t>
  </si>
  <si>
    <t>Julio Castañeda Calderon</t>
  </si>
  <si>
    <t>7611</t>
  </si>
  <si>
    <t>Azhir Sandoval Guevara</t>
  </si>
  <si>
    <t>7661</t>
  </si>
  <si>
    <t>Luis Cordova Meza</t>
  </si>
  <si>
    <t>7674</t>
  </si>
  <si>
    <t>Andres Angulo Farfan</t>
  </si>
  <si>
    <t>5556</t>
  </si>
  <si>
    <t>Jorge Sanchez Torres</t>
  </si>
  <si>
    <t>TOTAL DCCI</t>
  </si>
  <si>
    <t>7U7200 DIVISION DE CONTROL CONCURRENTE II</t>
  </si>
  <si>
    <t xml:space="preserve">7U7201 </t>
  </si>
  <si>
    <t>7587</t>
  </si>
  <si>
    <t>Yessenia Salcedo Diaz</t>
  </si>
  <si>
    <t>7342</t>
  </si>
  <si>
    <t>Juan Cuya Velarde</t>
  </si>
  <si>
    <t>Carlos Malaga Portocarrero</t>
  </si>
  <si>
    <t>4569</t>
  </si>
  <si>
    <t xml:space="preserve">Jose Linarez Amacifuen </t>
  </si>
  <si>
    <t>AO21</t>
  </si>
  <si>
    <t>Renierd Rios Gomez</t>
  </si>
  <si>
    <t>CAS</t>
  </si>
  <si>
    <t>7211</t>
  </si>
  <si>
    <t>Roberto Rivarola Hidalgo</t>
  </si>
  <si>
    <t>7624</t>
  </si>
  <si>
    <t>Poul Valdivia Charca</t>
  </si>
  <si>
    <t>5844</t>
  </si>
  <si>
    <t>Richard Vela Nuñez</t>
  </si>
  <si>
    <t>4840</t>
  </si>
  <si>
    <t>Alberto Munive Bisetti</t>
  </si>
  <si>
    <t>2423</t>
  </si>
  <si>
    <t>Cecilia Acosta Salazar</t>
  </si>
  <si>
    <t>7326</t>
  </si>
  <si>
    <t>Lydia Arestegui Pereyra</t>
  </si>
  <si>
    <t>AT75</t>
  </si>
  <si>
    <t>Victoria Flores Alvitez</t>
  </si>
  <si>
    <t>7151</t>
  </si>
  <si>
    <t>Lourdes Pretel Noblecilla</t>
  </si>
  <si>
    <t>5749</t>
  </si>
  <si>
    <t>Wilder Ulloa Ascencio</t>
  </si>
  <si>
    <t>AX34</t>
  </si>
  <si>
    <t>Enrique Villanueva Hurtado</t>
  </si>
  <si>
    <t>TOTAL DCCII</t>
  </si>
  <si>
    <t>7U7300 DIVISION DE CONTROL POSTERIOR</t>
  </si>
  <si>
    <t xml:space="preserve">7U7301 </t>
  </si>
  <si>
    <t>2834</t>
  </si>
  <si>
    <t xml:space="preserve">Cynthia Sanchez Ferrer  </t>
  </si>
  <si>
    <t>2694</t>
  </si>
  <si>
    <t>Gustavo Bernuy Nuñez</t>
  </si>
  <si>
    <t>4700</t>
  </si>
  <si>
    <t>Carlos Mauro Sampen</t>
  </si>
  <si>
    <t>5730</t>
  </si>
  <si>
    <t>7660</t>
  </si>
  <si>
    <t>Marco Fournier Castillo</t>
  </si>
  <si>
    <t>7148</t>
  </si>
  <si>
    <t>Jesus Garcia Rodriguez</t>
  </si>
  <si>
    <t>4594</t>
  </si>
  <si>
    <t>Carlos Lopez Cornelio</t>
  </si>
  <si>
    <t>4990</t>
  </si>
  <si>
    <t xml:space="preserve">Cecilia Pantoja Urizar Garfias </t>
  </si>
  <si>
    <t>9411</t>
  </si>
  <si>
    <t>Magali Palomino Rojas</t>
  </si>
  <si>
    <t>ITOP REPORTADOS-JULIO 2024</t>
  </si>
  <si>
    <t>Julio</t>
  </si>
  <si>
    <t>N° ITOP</t>
  </si>
  <si>
    <t> ASUNTO</t>
  </si>
  <si>
    <t>I-981801</t>
  </si>
  <si>
    <t>SIEGERI no genera pedido SINE Exp 4090340008487</t>
  </si>
  <si>
    <t xml:space="preserve"> I-978014</t>
  </si>
  <si>
    <t>SIEGERI no genera pedido SINE Exp 4090340008568</t>
  </si>
  <si>
    <t>I-984976</t>
  </si>
  <si>
    <t>IGERI no ha generado pedido SINE para la RD 4090140009258 - Expediente de Reclamación
4090340009750</t>
  </si>
  <si>
    <t xml:space="preserve">I-980806 
I-985541
 I-902560 
</t>
  </si>
  <si>
    <r>
      <rPr>
        <b/>
        <sz val="8"/>
        <color rgb="FF000000"/>
        <rFont val="Calibri Light"/>
        <family val="2"/>
        <scheme val="major"/>
      </rPr>
      <t>I-980806</t>
    </r>
    <r>
      <rPr>
        <sz val="8"/>
        <color rgb="FF000000"/>
        <rFont val="Calibri Light"/>
        <family val="2"/>
        <scheme val="major"/>
      </rPr>
      <t xml:space="preserve">: Se generó ticket en virtud a que de la acumulación de 03 expedientes SIGERI el sistema no actualiza los intereses de los Expedientes acumulados, solamente actualiza intereses del SIGERI básico. 
</t>
    </r>
    <r>
      <rPr>
        <b/>
        <sz val="8"/>
        <color rgb="FF000000"/>
        <rFont val="Calibri Light"/>
        <family val="2"/>
        <scheme val="major"/>
      </rPr>
      <t>I-985541:</t>
    </r>
    <r>
      <rPr>
        <sz val="8"/>
        <color rgb="FF000000"/>
        <rFont val="Calibri Light"/>
        <family val="2"/>
        <scheme val="major"/>
      </rPr>
      <t xml:space="preserve"> Actualización de resultados de L/Cs.
</t>
    </r>
    <r>
      <rPr>
        <b/>
        <sz val="8"/>
        <color rgb="FF000000"/>
        <rFont val="Calibri Light"/>
        <family val="2"/>
        <scheme val="major"/>
      </rPr>
      <t xml:space="preserve"> I-902560:</t>
    </r>
    <r>
      <rPr>
        <sz val="8"/>
        <color rgb="FF000000"/>
        <rFont val="Calibri Light"/>
        <family val="2"/>
        <scheme val="major"/>
      </rPr>
      <t xml:space="preserve">
 Se solicitó verificar pago anulado en el RSIRAT al momento de calificar valor.</t>
    </r>
  </si>
  <si>
    <t>RESULTADOS DE RECLAMO</t>
  </si>
  <si>
    <t>ESTADO</t>
  </si>
  <si>
    <t>Infundado</t>
  </si>
  <si>
    <t>Fundado/F.P</t>
  </si>
  <si>
    <t>FUNDADO/ F.P.</t>
  </si>
  <si>
    <t>Nulidad</t>
  </si>
  <si>
    <t>Improcedente</t>
  </si>
  <si>
    <t>IMPROCEDENTE</t>
  </si>
  <si>
    <t>Desistimiento</t>
  </si>
  <si>
    <t>Otros</t>
  </si>
  <si>
    <t>OTROS</t>
  </si>
  <si>
    <t>Total</t>
  </si>
  <si>
    <t>(*) Incluye 14 casos origen DCCI.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</si>
</sst>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1"/>
      <color theme="1"/>
      <name val="Calibri Light"/>
      <family val="2"/>
      <scheme val="major"/>
    </font>
    <font>
      <b/>
      <sz val="12"/>
      <color theme="1"/>
      <name val="Calibri Light"/>
      <family val="2"/>
      <scheme val="major"/>
    </font>
    <font>
      <b/>
      <sz val="10"/>
      <color rgb="FF000000"/>
      <name val="Calibri Light"/>
      <family val="2"/>
      <scheme val="major"/>
    </font>
    <font>
      <sz val="10"/>
      <color rgb="FF000000"/>
      <name val="Calibri Light"/>
      <family val="2"/>
      <scheme val="major"/>
    </font>
    <font>
      <sz val="10"/>
      <color theme="1"/>
      <name val="Calibri Light"/>
      <family val="2"/>
      <scheme val="major"/>
    </font>
    <font>
      <b/>
      <sz val="10"/>
      <color rgb="FFFFFFFF"/>
      <name val="Calibri Light"/>
      <family val="2"/>
      <scheme val="major"/>
    </font>
    <font>
      <b/>
      <sz val="10"/>
      <color theme="1"/>
      <name val="Calibri Light"/>
      <family val="2"/>
      <scheme val="major"/>
    </font>
    <font>
      <sz val="10"/>
      <name val="Calibri Light"/>
      <family val="2"/>
      <scheme val="major"/>
    </font>
    <font>
      <b/>
      <sz val="10"/>
      <color theme="0"/>
      <name val="Calibri Light"/>
      <family val="2"/>
      <scheme val="major"/>
    </font>
    <font>
      <b/>
      <sz val="10"/>
      <color rgb="FF833C0C"/>
      <name val="Calibri Light"/>
      <family val="2"/>
      <scheme val="major"/>
    </font>
    <font>
      <b/>
      <u/>
      <sz val="10"/>
      <color rgb="FFFFFFFF"/>
      <name val="Calibri Light"/>
      <family val="2"/>
      <scheme val="major"/>
    </font>
    <font>
      <sz val="12"/>
      <color theme="1"/>
      <name val="Calibri Light"/>
      <family val="2"/>
      <scheme val="major"/>
    </font>
    <font>
      <b/>
      <sz val="12"/>
      <color theme="0"/>
      <name val="Calibri Light"/>
      <family val="2"/>
    </font>
    <font>
      <b/>
      <sz val="14"/>
      <name val="Calibri Light"/>
      <family val="2"/>
    </font>
    <font>
      <b/>
      <sz val="12"/>
      <color rgb="FF000000"/>
      <name val="Calibri Light"/>
      <family val="2"/>
    </font>
    <font>
      <b/>
      <sz val="11"/>
      <color theme="1"/>
      <name val="Calibri Light"/>
      <family val="2"/>
      <scheme val="major"/>
    </font>
    <font>
      <b/>
      <sz val="10"/>
      <color theme="1"/>
      <name val="Arial Narrow"/>
      <family val="2"/>
    </font>
    <font>
      <b/>
      <sz val="10"/>
      <name val="Calibri Light"/>
      <family val="2"/>
      <scheme val="major"/>
    </font>
    <font>
      <b/>
      <sz val="12"/>
      <color theme="1"/>
      <name val="Calibri Light"/>
      <family val="2"/>
    </font>
    <font>
      <b/>
      <sz val="10"/>
      <color rgb="FFFF0000"/>
      <name val="Calibri Light"/>
      <family val="2"/>
      <scheme val="major"/>
    </font>
    <font>
      <sz val="10"/>
      <color rgb="FFFF0000"/>
      <name val="Calibri Light"/>
      <family val="2"/>
      <scheme val="major"/>
    </font>
    <font>
      <sz val="8"/>
      <color rgb="FF000000"/>
      <name val="Calibri Light"/>
      <family val="2"/>
      <scheme val="major"/>
    </font>
    <font>
      <b/>
      <sz val="8"/>
      <color rgb="FF000000"/>
      <name val="Calibri Light"/>
      <family val="2"/>
      <scheme val="major"/>
    </font>
  </fonts>
  <fills count="21">
    <fill>
      <patternFill patternType="none"/>
    </fill>
    <fill>
      <patternFill patternType="gray125"/>
    </fill>
    <fill>
      <patternFill patternType="solid">
        <fgColor rgb="FF5B9BD5"/>
        <bgColor indexed="64"/>
      </patternFill>
    </fill>
    <fill>
      <patternFill patternType="solid">
        <fgColor rgb="FFDEEAF6"/>
        <bgColor indexed="64"/>
      </patternFill>
    </fill>
    <fill>
      <patternFill patternType="solid">
        <fgColor rgb="FFD9E2F3"/>
        <bgColor indexed="64"/>
      </patternFill>
    </fill>
    <fill>
      <patternFill patternType="solid">
        <fgColor theme="8" tint="-0.249977111117893"/>
        <bgColor indexed="64"/>
      </patternFill>
    </fill>
    <fill>
      <patternFill patternType="solid">
        <fgColor rgb="FFF2F2F2"/>
        <bgColor indexed="64"/>
      </patternFill>
    </fill>
    <fill>
      <patternFill patternType="solid">
        <fgColor rgb="FF9DC3E6"/>
        <bgColor indexed="64"/>
      </patternFill>
    </fill>
    <fill>
      <patternFill patternType="solid">
        <fgColor rgb="FFFFCCFF"/>
        <bgColor indexed="64"/>
      </patternFill>
    </fill>
    <fill>
      <patternFill patternType="solid">
        <fgColor rgb="FFC5E0B4"/>
        <bgColor indexed="64"/>
      </patternFill>
    </fill>
    <fill>
      <patternFill patternType="solid">
        <fgColor rgb="FFBDD6EE"/>
        <bgColor indexed="64"/>
      </patternFill>
    </fill>
    <fill>
      <patternFill patternType="solid">
        <fgColor rgb="FFFFC000"/>
        <bgColor indexed="64"/>
      </patternFill>
    </fill>
    <fill>
      <patternFill patternType="solid">
        <fgColor rgb="FFFFE8CB"/>
        <bgColor indexed="64"/>
      </patternFill>
    </fill>
    <fill>
      <patternFill patternType="solid">
        <fgColor rgb="FFFFF4E7"/>
        <bgColor indexed="64"/>
      </patternFill>
    </fill>
    <fill>
      <patternFill patternType="solid">
        <fgColor rgb="FF70AD47"/>
        <bgColor indexed="64"/>
      </patternFill>
    </fill>
    <fill>
      <patternFill patternType="solid">
        <fgColor rgb="FFC5E0B3"/>
        <bgColor indexed="64"/>
      </patternFill>
    </fill>
    <fill>
      <patternFill patternType="solid">
        <fgColor rgb="FFFFE599"/>
        <bgColor indexed="64"/>
      </patternFill>
    </fill>
    <fill>
      <patternFill patternType="solid">
        <fgColor rgb="FFFFF2CC"/>
        <bgColor indexed="64"/>
      </patternFill>
    </fill>
    <fill>
      <patternFill patternType="solid">
        <fgColor rgb="FFEBF1E9"/>
        <bgColor indexed="64"/>
      </patternFill>
    </fill>
    <fill>
      <patternFill patternType="solid">
        <fgColor theme="8" tint="0.79998168889431442"/>
        <bgColor indexed="64"/>
      </patternFill>
    </fill>
    <fill>
      <patternFill patternType="solid">
        <fgColor rgb="FFFFFF00"/>
        <bgColor indexed="64"/>
      </patternFill>
    </fill>
  </fills>
  <borders count="56">
    <border>
      <left/>
      <right/>
      <top/>
      <bottom/>
      <diagonal/>
    </border>
    <border>
      <left style="medium">
        <color rgb="FF5B9BD5"/>
      </left>
      <right/>
      <top style="medium">
        <color rgb="FF5B9BD5"/>
      </top>
      <bottom style="medium">
        <color rgb="FF5B9BD5"/>
      </bottom>
      <diagonal/>
    </border>
    <border>
      <left style="medium">
        <color rgb="FF9CC2E5"/>
      </left>
      <right style="medium">
        <color rgb="FF9CC2E5"/>
      </right>
      <top style="medium">
        <color rgb="FF5B9BD5"/>
      </top>
      <bottom style="medium">
        <color rgb="FF9CC2E5"/>
      </bottom>
      <diagonal/>
    </border>
    <border>
      <left style="medium">
        <color rgb="FF9CC2E5"/>
      </left>
      <right style="medium">
        <color rgb="FF9CC2E5"/>
      </right>
      <top style="medium">
        <color rgb="FF9CC2E5"/>
      </top>
      <bottom style="medium">
        <color rgb="FF9CC2E5"/>
      </bottom>
      <diagonal/>
    </border>
    <border>
      <left style="medium">
        <color theme="8" tint="0.39994506668294322"/>
      </left>
      <right/>
      <top style="medium">
        <color theme="8" tint="0.39994506668294322"/>
      </top>
      <bottom style="medium">
        <color theme="8" tint="0.39994506668294322"/>
      </bottom>
      <diagonal/>
    </border>
    <border>
      <left style="medium">
        <color theme="8" tint="0.39994506668294322"/>
      </left>
      <right style="medium">
        <color rgb="FF8EAADB"/>
      </right>
      <top style="medium">
        <color theme="8" tint="0.39994506668294322"/>
      </top>
      <bottom style="medium">
        <color theme="8" tint="0.39994506668294322"/>
      </bottom>
      <diagonal/>
    </border>
    <border>
      <left/>
      <right style="medium">
        <color theme="8" tint="0.39994506668294322"/>
      </right>
      <top/>
      <bottom style="medium">
        <color theme="8" tint="0.39994506668294322"/>
      </bottom>
      <diagonal/>
    </border>
    <border>
      <left style="medium">
        <color rgb="FF9CC2E5"/>
      </left>
      <right style="medium">
        <color theme="8" tint="0.39994506668294322"/>
      </right>
      <top style="medium">
        <color theme="8" tint="0.39994506668294322"/>
      </top>
      <bottom style="medium">
        <color theme="8" tint="0.39994506668294322"/>
      </bottom>
      <diagonal/>
    </border>
    <border>
      <left/>
      <right style="medium">
        <color theme="8" tint="0.39994506668294322"/>
      </right>
      <top style="medium">
        <color theme="8" tint="0.39994506668294322"/>
      </top>
      <bottom style="medium">
        <color theme="8" tint="0.39994506668294322"/>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indexed="64"/>
      </left>
      <right/>
      <top style="medium">
        <color indexed="64"/>
      </top>
      <bottom style="medium">
        <color rgb="FFFFFFFF"/>
      </bottom>
      <diagonal/>
    </border>
    <border>
      <left/>
      <right/>
      <top style="medium">
        <color indexed="64"/>
      </top>
      <bottom style="medium">
        <color rgb="FFFFFFFF"/>
      </bottom>
      <diagonal/>
    </border>
    <border>
      <left/>
      <right style="medium">
        <color indexed="64"/>
      </right>
      <top style="medium">
        <color indexed="64"/>
      </top>
      <bottom style="medium">
        <color rgb="FFFFFFFF"/>
      </bottom>
      <diagonal/>
    </border>
    <border>
      <left style="medium">
        <color indexed="64"/>
      </left>
      <right style="medium">
        <color rgb="FFFFFFFF"/>
      </right>
      <top style="medium">
        <color rgb="FFFFFFFF"/>
      </top>
      <bottom style="medium">
        <color rgb="FFFFFFFF"/>
      </bottom>
      <diagonal/>
    </border>
    <border>
      <left/>
      <right style="medium">
        <color indexed="64"/>
      </right>
      <top style="medium">
        <color rgb="FFFFFFFF"/>
      </top>
      <bottom style="medium">
        <color rgb="FFFFFFFF"/>
      </bottom>
      <diagonal/>
    </border>
    <border>
      <left style="medium">
        <color rgb="FFFFFFFF"/>
      </left>
      <right style="medium">
        <color indexed="64"/>
      </right>
      <top style="medium">
        <color rgb="FFFFFFFF"/>
      </top>
      <bottom style="medium">
        <color rgb="FFFFFFFF"/>
      </bottom>
      <diagonal/>
    </border>
    <border>
      <left style="medium">
        <color indexed="64"/>
      </left>
      <right style="medium">
        <color rgb="FFFFFFFF"/>
      </right>
      <top style="medium">
        <color rgb="FFFFFFFF"/>
      </top>
      <bottom/>
      <diagonal/>
    </border>
    <border>
      <left style="medium">
        <color rgb="FFFFFFFF"/>
      </left>
      <right style="medium">
        <color indexed="64"/>
      </right>
      <top style="medium">
        <color rgb="FFFFFFFF"/>
      </top>
      <bottom/>
      <diagonal/>
    </border>
    <border>
      <left style="medium">
        <color indexed="64"/>
      </left>
      <right style="medium">
        <color rgb="FFFFFFFF"/>
      </right>
      <top style="medium">
        <color rgb="FFFFFFFF"/>
      </top>
      <bottom style="medium">
        <color indexed="64"/>
      </bottom>
      <diagonal/>
    </border>
    <border>
      <left style="medium">
        <color rgb="FFFFFFFF"/>
      </left>
      <right style="medium">
        <color rgb="FFFFFFFF"/>
      </right>
      <top style="medium">
        <color rgb="FFFFFFFF"/>
      </top>
      <bottom style="medium">
        <color indexed="64"/>
      </bottom>
      <diagonal/>
    </border>
    <border>
      <left style="medium">
        <color rgb="FFFFFFFF"/>
      </left>
      <right style="medium">
        <color indexed="64"/>
      </right>
      <top style="medium">
        <color rgb="FFFFFFFF"/>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rgb="FF9CC2E5"/>
      </left>
      <right style="medium">
        <color indexed="64"/>
      </right>
      <top style="medium">
        <color indexed="64"/>
      </top>
      <bottom style="medium">
        <color rgb="FF9CC2E5"/>
      </bottom>
      <diagonal/>
    </border>
    <border>
      <left style="medium">
        <color rgb="FF9CC2E5"/>
      </left>
      <right style="medium">
        <color indexed="64"/>
      </right>
      <top style="medium">
        <color rgb="FF9CC2E5"/>
      </top>
      <bottom style="medium">
        <color rgb="FF9CC2E5"/>
      </bottom>
      <diagonal/>
    </border>
    <border>
      <left style="medium">
        <color rgb="FF9CC2E5"/>
      </left>
      <right style="medium">
        <color indexed="64"/>
      </right>
      <top style="medium">
        <color rgb="FF9CC2E5"/>
      </top>
      <bottom style="medium">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9CC2E5"/>
      </bottom>
      <diagonal/>
    </border>
    <border>
      <left style="medium">
        <color rgb="FF000000"/>
      </left>
      <right style="medium">
        <color rgb="FF000000"/>
      </right>
      <top style="medium">
        <color rgb="FF9CC2E5"/>
      </top>
      <bottom style="medium">
        <color rgb="FF9CC2E5"/>
      </bottom>
      <diagonal/>
    </border>
    <border>
      <left style="medium">
        <color rgb="FF000000"/>
      </left>
      <right style="medium">
        <color rgb="FF000000"/>
      </right>
      <top/>
      <bottom style="medium">
        <color rgb="FF9CC2E5"/>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70AD47"/>
      </left>
      <right style="medium">
        <color rgb="FF70AD47"/>
      </right>
      <top style="medium">
        <color rgb="FF70AD47"/>
      </top>
      <bottom style="medium">
        <color rgb="FF70AD47"/>
      </bottom>
      <diagonal/>
    </border>
    <border>
      <left style="medium">
        <color rgb="FF70AD47"/>
      </left>
      <right style="medium">
        <color rgb="FF70AD47"/>
      </right>
      <top style="medium">
        <color rgb="FF70AD47"/>
      </top>
      <bottom/>
      <diagonal/>
    </border>
    <border>
      <left style="medium">
        <color rgb="FF70AD47"/>
      </left>
      <right style="medium">
        <color rgb="FF70AD47"/>
      </right>
      <top/>
      <bottom/>
      <diagonal/>
    </border>
    <border>
      <left style="medium">
        <color rgb="FF70AD47"/>
      </left>
      <right style="medium">
        <color rgb="FF70AD47"/>
      </right>
      <top/>
      <bottom style="medium">
        <color rgb="FF70AD4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rgb="FF9CC2E5"/>
      </left>
      <right style="medium">
        <color rgb="FF9CC2E5"/>
      </right>
      <top/>
      <bottom style="medium">
        <color rgb="FF9CC2E5"/>
      </bottom>
      <diagonal/>
    </border>
    <border>
      <left/>
      <right style="medium">
        <color rgb="FF9CC2E5"/>
      </right>
      <top/>
      <bottom style="medium">
        <color rgb="FF9CC2E5"/>
      </bottom>
      <diagonal/>
    </border>
    <border>
      <left/>
      <right/>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8">
    <xf numFmtId="0" fontId="0" fillId="0" borderId="0" xfId="0"/>
    <xf numFmtId="0" fontId="1" fillId="0" borderId="0" xfId="0" applyFont="1"/>
    <xf numFmtId="0" fontId="2" fillId="0" borderId="0" xfId="0" applyFont="1"/>
    <xf numFmtId="0" fontId="3" fillId="6" borderId="18" xfId="0" applyFont="1" applyFill="1" applyBorder="1" applyAlignment="1">
      <alignment horizontal="center" vertical="center" wrapText="1" readingOrder="1"/>
    </xf>
    <xf numFmtId="0" fontId="3" fillId="7" borderId="11" xfId="0" applyFont="1" applyFill="1" applyBorder="1" applyAlignment="1">
      <alignment horizontal="center" vertical="center" wrapText="1" readingOrder="1"/>
    </xf>
    <xf numFmtId="0" fontId="3" fillId="8" borderId="11" xfId="0" applyFont="1" applyFill="1" applyBorder="1" applyAlignment="1">
      <alignment horizontal="center" vertical="center" wrapText="1" readingOrder="1"/>
    </xf>
    <xf numFmtId="0" fontId="3" fillId="9" borderId="11" xfId="0" applyFont="1" applyFill="1" applyBorder="1" applyAlignment="1">
      <alignment horizontal="center" vertical="center" wrapText="1" readingOrder="1"/>
    </xf>
    <xf numFmtId="0" fontId="3" fillId="9" borderId="20" xfId="0" applyFont="1" applyFill="1" applyBorder="1" applyAlignment="1">
      <alignment horizontal="center" vertical="center" wrapText="1" readingOrder="1"/>
    </xf>
    <xf numFmtId="0" fontId="4" fillId="7" borderId="11" xfId="0" applyFont="1" applyFill="1" applyBorder="1" applyAlignment="1">
      <alignment horizontal="center" vertical="center" wrapText="1" readingOrder="1"/>
    </xf>
    <xf numFmtId="0" fontId="4" fillId="8" borderId="11" xfId="0" applyFont="1" applyFill="1" applyBorder="1" applyAlignment="1">
      <alignment horizontal="center" vertical="center" wrapText="1" readingOrder="1"/>
    </xf>
    <xf numFmtId="0" fontId="4" fillId="9" borderId="11" xfId="0" applyFont="1" applyFill="1" applyBorder="1" applyAlignment="1">
      <alignment horizontal="center" vertical="center" wrapText="1" readingOrder="1"/>
    </xf>
    <xf numFmtId="16" fontId="4" fillId="9" borderId="20" xfId="0" applyNumberFormat="1" applyFont="1" applyFill="1" applyBorder="1" applyAlignment="1">
      <alignment horizontal="center" vertical="center" wrapText="1" readingOrder="1"/>
    </xf>
    <xf numFmtId="0" fontId="4" fillId="7" borderId="24" xfId="0" applyFont="1" applyFill="1" applyBorder="1" applyAlignment="1">
      <alignment horizontal="center" vertical="center" wrapText="1" readingOrder="1"/>
    </xf>
    <xf numFmtId="0" fontId="4" fillId="8" borderId="24" xfId="0" applyFont="1" applyFill="1" applyBorder="1" applyAlignment="1">
      <alignment horizontal="center" vertical="center" wrapText="1" readingOrder="1"/>
    </xf>
    <xf numFmtId="0" fontId="4" fillId="9" borderId="24" xfId="0" applyFont="1" applyFill="1" applyBorder="1" applyAlignment="1">
      <alignment horizontal="center" vertical="center" wrapText="1" readingOrder="1"/>
    </xf>
    <xf numFmtId="0" fontId="4" fillId="9" borderId="25" xfId="0" applyFont="1" applyFill="1" applyBorder="1" applyAlignment="1">
      <alignment horizontal="center" vertical="center" wrapText="1" readingOrder="1"/>
    </xf>
    <xf numFmtId="0" fontId="6" fillId="2" borderId="32" xfId="0" applyFont="1" applyFill="1" applyBorder="1" applyAlignment="1">
      <alignment horizontal="center" vertical="center" wrapText="1" readingOrder="1"/>
    </xf>
    <xf numFmtId="0" fontId="3" fillId="3" borderId="33" xfId="0" applyFont="1" applyFill="1" applyBorder="1" applyAlignment="1">
      <alignment horizontal="center" vertical="center" wrapText="1" readingOrder="1"/>
    </xf>
    <xf numFmtId="0" fontId="3" fillId="3" borderId="35" xfId="0" applyFont="1" applyFill="1" applyBorder="1" applyAlignment="1">
      <alignment horizontal="center" vertical="center" wrapText="1" readingOrder="1"/>
    </xf>
    <xf numFmtId="0" fontId="3" fillId="0" borderId="34" xfId="0" applyFont="1" applyBorder="1" applyAlignment="1">
      <alignment horizontal="center" vertical="center" wrapText="1" readingOrder="1"/>
    </xf>
    <xf numFmtId="0" fontId="5" fillId="0" borderId="0" xfId="0" applyFont="1"/>
    <xf numFmtId="0" fontId="7" fillId="0" borderId="0" xfId="0" applyFont="1" applyAlignment="1">
      <alignment horizontal="center"/>
    </xf>
    <xf numFmtId="0" fontId="4" fillId="3" borderId="2" xfId="0" applyFont="1" applyFill="1" applyBorder="1" applyAlignment="1">
      <alignment horizontal="left" vertical="center" wrapText="1" readingOrder="1"/>
    </xf>
    <xf numFmtId="0" fontId="3" fillId="3" borderId="2" xfId="0" applyFont="1" applyFill="1" applyBorder="1" applyAlignment="1">
      <alignment horizontal="center" vertical="center" wrapText="1" readingOrder="1"/>
    </xf>
    <xf numFmtId="0" fontId="4" fillId="0" borderId="3" xfId="0" applyFont="1" applyBorder="1" applyAlignment="1">
      <alignment horizontal="left" vertical="center" wrapText="1" readingOrder="1"/>
    </xf>
    <xf numFmtId="0" fontId="3" fillId="0" borderId="3" xfId="0" applyFont="1" applyBorder="1" applyAlignment="1">
      <alignment horizontal="center" vertical="center" wrapText="1" readingOrder="1"/>
    </xf>
    <xf numFmtId="0" fontId="4" fillId="3" borderId="3" xfId="0" applyFont="1" applyFill="1" applyBorder="1" applyAlignment="1">
      <alignment horizontal="left" vertical="center" wrapText="1" readingOrder="1"/>
    </xf>
    <xf numFmtId="0" fontId="3" fillId="3" borderId="3" xfId="0" applyFont="1" applyFill="1" applyBorder="1" applyAlignment="1">
      <alignment horizontal="center" vertical="center" wrapText="1" readingOrder="1"/>
    </xf>
    <xf numFmtId="0" fontId="3" fillId="4" borderId="5" xfId="0" applyFont="1" applyFill="1" applyBorder="1" applyAlignment="1">
      <alignment vertical="center" wrapText="1"/>
    </xf>
    <xf numFmtId="0" fontId="4" fillId="3" borderId="7" xfId="0" applyFont="1" applyFill="1" applyBorder="1" applyAlignment="1">
      <alignment horizontal="center" vertical="center" wrapText="1" readingOrder="1"/>
    </xf>
    <xf numFmtId="0" fontId="3" fillId="0" borderId="5" xfId="0" applyFont="1" applyBorder="1" applyAlignment="1">
      <alignment vertical="center" wrapText="1"/>
    </xf>
    <xf numFmtId="0" fontId="4" fillId="0" borderId="7" xfId="0" applyFont="1" applyBorder="1" applyAlignment="1">
      <alignment horizontal="center" vertical="center" wrapText="1" readingOrder="1"/>
    </xf>
    <xf numFmtId="2" fontId="3" fillId="3" borderId="7" xfId="0" applyNumberFormat="1" applyFont="1" applyFill="1" applyBorder="1" applyAlignment="1">
      <alignment horizontal="center" vertical="center" wrapText="1" readingOrder="1"/>
    </xf>
    <xf numFmtId="0" fontId="4" fillId="3" borderId="8" xfId="0" applyFont="1" applyFill="1" applyBorder="1" applyAlignment="1">
      <alignment horizontal="center" vertical="center" wrapText="1"/>
    </xf>
    <xf numFmtId="0" fontId="4" fillId="0" borderId="8" xfId="0" applyFont="1" applyBorder="1" applyAlignment="1">
      <alignment horizontal="center" vertical="center" wrapText="1"/>
    </xf>
    <xf numFmtId="2" fontId="3" fillId="3" borderId="8" xfId="0" applyNumberFormat="1" applyFont="1" applyFill="1" applyBorder="1" applyAlignment="1">
      <alignment horizontal="center" vertical="center" wrapText="1"/>
    </xf>
    <xf numFmtId="0" fontId="9" fillId="2" borderId="28"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10" fillId="0" borderId="30" xfId="0" applyFont="1" applyBorder="1" applyAlignment="1">
      <alignment horizontal="center" vertical="center" wrapText="1" readingOrder="1"/>
    </xf>
    <xf numFmtId="0" fontId="9" fillId="2" borderId="27" xfId="0" applyFont="1" applyFill="1" applyBorder="1" applyAlignment="1">
      <alignment horizontal="center" vertical="center" wrapText="1"/>
    </xf>
    <xf numFmtId="0" fontId="10" fillId="3" borderId="31" xfId="0" applyFont="1" applyFill="1" applyBorder="1" applyAlignment="1">
      <alignment horizontal="center" vertical="center" wrapText="1" readingOrder="1"/>
    </xf>
    <xf numFmtId="0" fontId="3" fillId="3" borderId="2" xfId="0" applyFont="1" applyFill="1" applyBorder="1" applyAlignment="1">
      <alignment horizontal="left" vertical="center" wrapText="1" readingOrder="1"/>
    </xf>
    <xf numFmtId="0" fontId="3" fillId="0" borderId="3" xfId="0" applyFont="1" applyBorder="1" applyAlignment="1">
      <alignment horizontal="left" vertical="center" wrapText="1" readingOrder="1"/>
    </xf>
    <xf numFmtId="0" fontId="3" fillId="3" borderId="3" xfId="0" applyFont="1" applyFill="1" applyBorder="1" applyAlignment="1">
      <alignment horizontal="left" vertical="center" wrapText="1" readingOrder="1"/>
    </xf>
    <xf numFmtId="0" fontId="6" fillId="2" borderId="9" xfId="0" applyFont="1" applyFill="1" applyBorder="1" applyAlignment="1">
      <alignment horizontal="center" vertical="center" wrapText="1" readingOrder="1"/>
    </xf>
    <xf numFmtId="0" fontId="6" fillId="2" borderId="10" xfId="0" applyFont="1" applyFill="1" applyBorder="1" applyAlignment="1">
      <alignment horizontal="center" vertical="center" wrapText="1" readingOrder="1"/>
    </xf>
    <xf numFmtId="0" fontId="6" fillId="2" borderId="12" xfId="0" applyFont="1" applyFill="1" applyBorder="1" applyAlignment="1">
      <alignment horizontal="center" vertical="center" wrapText="1" readingOrder="1"/>
    </xf>
    <xf numFmtId="0" fontId="6" fillId="2" borderId="11" xfId="0" applyFont="1" applyFill="1" applyBorder="1" applyAlignment="1">
      <alignment horizontal="center" vertical="center" wrapText="1" readingOrder="1"/>
    </xf>
    <xf numFmtId="0" fontId="4" fillId="10" borderId="11" xfId="0" applyFont="1" applyFill="1" applyBorder="1" applyAlignment="1">
      <alignment horizontal="left" vertical="center" wrapText="1" readingOrder="1"/>
    </xf>
    <xf numFmtId="0" fontId="4" fillId="10" borderId="11" xfId="0" applyFont="1" applyFill="1" applyBorder="1" applyAlignment="1">
      <alignment horizontal="center" vertical="center" wrapText="1" readingOrder="1"/>
    </xf>
    <xf numFmtId="0" fontId="4" fillId="3" borderId="11" xfId="0" applyFont="1" applyFill="1" applyBorder="1" applyAlignment="1">
      <alignment horizontal="left" vertical="center" wrapText="1" readingOrder="1"/>
    </xf>
    <xf numFmtId="0" fontId="4" fillId="3" borderId="11" xfId="0" applyFont="1" applyFill="1" applyBorder="1" applyAlignment="1">
      <alignment horizontal="center" vertical="center" wrapText="1" readingOrder="1"/>
    </xf>
    <xf numFmtId="0" fontId="6" fillId="11" borderId="36" xfId="0" applyFont="1" applyFill="1" applyBorder="1" applyAlignment="1">
      <alignment horizontal="center" vertical="center" wrapText="1" readingOrder="1"/>
    </xf>
    <xf numFmtId="0" fontId="6" fillId="11" borderId="36" xfId="0" applyFont="1" applyFill="1" applyBorder="1" applyAlignment="1">
      <alignment horizontal="left" vertical="center" wrapText="1" readingOrder="1"/>
    </xf>
    <xf numFmtId="0" fontId="6" fillId="11" borderId="37" xfId="0" applyFont="1" applyFill="1" applyBorder="1" applyAlignment="1">
      <alignment horizontal="center" vertical="center" wrapText="1" readingOrder="1"/>
    </xf>
    <xf numFmtId="0" fontId="4" fillId="12" borderId="37" xfId="0" applyFont="1" applyFill="1" applyBorder="1" applyAlignment="1">
      <alignment horizontal="left" vertical="center" wrapText="1" readingOrder="1"/>
    </xf>
    <xf numFmtId="0" fontId="4" fillId="12" borderId="37" xfId="0" applyFont="1" applyFill="1" applyBorder="1" applyAlignment="1">
      <alignment horizontal="center" vertical="center" wrapText="1" readingOrder="1"/>
    </xf>
    <xf numFmtId="0" fontId="4" fillId="13" borderId="13" xfId="0" applyFont="1" applyFill="1" applyBorder="1" applyAlignment="1">
      <alignment horizontal="center" vertical="center" wrapText="1" readingOrder="1"/>
    </xf>
    <xf numFmtId="0" fontId="6" fillId="14" borderId="9" xfId="0" applyFont="1" applyFill="1" applyBorder="1" applyAlignment="1">
      <alignment horizontal="center" vertical="center" wrapText="1" readingOrder="1"/>
    </xf>
    <xf numFmtId="0" fontId="6" fillId="14" borderId="10" xfId="0" applyFont="1" applyFill="1" applyBorder="1" applyAlignment="1">
      <alignment horizontal="left" vertical="center" wrapText="1" readingOrder="1"/>
    </xf>
    <xf numFmtId="0" fontId="6" fillId="14" borderId="10" xfId="0" applyFont="1" applyFill="1" applyBorder="1" applyAlignment="1">
      <alignment horizontal="center" vertical="center" wrapText="1" readingOrder="1"/>
    </xf>
    <xf numFmtId="0" fontId="6" fillId="14" borderId="12" xfId="0" applyFont="1" applyFill="1" applyBorder="1" applyAlignment="1">
      <alignment horizontal="left" vertical="center" wrapText="1" readingOrder="1"/>
    </xf>
    <xf numFmtId="0" fontId="6" fillId="11" borderId="9" xfId="0" applyFont="1" applyFill="1" applyBorder="1" applyAlignment="1">
      <alignment horizontal="left" vertical="center" wrapText="1" readingOrder="1"/>
    </xf>
    <xf numFmtId="0" fontId="6" fillId="11" borderId="10" xfId="0" applyFont="1" applyFill="1" applyBorder="1" applyAlignment="1">
      <alignment horizontal="center" vertical="center" wrapText="1" readingOrder="1"/>
    </xf>
    <xf numFmtId="0" fontId="6" fillId="11" borderId="12" xfId="0" applyFont="1" applyFill="1" applyBorder="1" applyAlignment="1">
      <alignment horizontal="center" vertical="center" wrapText="1" readingOrder="1"/>
    </xf>
    <xf numFmtId="0" fontId="6" fillId="11" borderId="11" xfId="0" applyFont="1" applyFill="1" applyBorder="1" applyAlignment="1">
      <alignment horizontal="center" vertical="center" wrapText="1" readingOrder="1"/>
    </xf>
    <xf numFmtId="0" fontId="4" fillId="16" borderId="11" xfId="0" applyFont="1" applyFill="1" applyBorder="1" applyAlignment="1">
      <alignment horizontal="left" vertical="center" wrapText="1" readingOrder="1"/>
    </xf>
    <xf numFmtId="0" fontId="4" fillId="16" borderId="11" xfId="0" applyFont="1" applyFill="1" applyBorder="1" applyAlignment="1">
      <alignment horizontal="center" vertical="center" wrapText="1" readingOrder="1"/>
    </xf>
    <xf numFmtId="0" fontId="4" fillId="17" borderId="11" xfId="0" applyFont="1" applyFill="1" applyBorder="1" applyAlignment="1">
      <alignment horizontal="left" vertical="center" wrapText="1" readingOrder="1"/>
    </xf>
    <xf numFmtId="0" fontId="4" fillId="17" borderId="11" xfId="0" applyFont="1" applyFill="1" applyBorder="1" applyAlignment="1">
      <alignment horizontal="center" vertical="center" wrapText="1" readingOrder="1"/>
    </xf>
    <xf numFmtId="0" fontId="6" fillId="14" borderId="9" xfId="0" applyFont="1" applyFill="1" applyBorder="1" applyAlignment="1">
      <alignment horizontal="left" vertical="center" wrapText="1" readingOrder="1"/>
    </xf>
    <xf numFmtId="0" fontId="6" fillId="14" borderId="12" xfId="0" applyFont="1" applyFill="1" applyBorder="1" applyAlignment="1">
      <alignment horizontal="center" vertical="center" wrapText="1" readingOrder="1"/>
    </xf>
    <xf numFmtId="0" fontId="6" fillId="14" borderId="11" xfId="0" applyFont="1" applyFill="1" applyBorder="1" applyAlignment="1">
      <alignment horizontal="center" vertical="center" wrapText="1" readingOrder="1"/>
    </xf>
    <xf numFmtId="0" fontId="4" fillId="15" borderId="11" xfId="0" applyFont="1" applyFill="1" applyBorder="1" applyAlignment="1">
      <alignment horizontal="left" vertical="center" wrapText="1" readingOrder="1"/>
    </xf>
    <xf numFmtId="0" fontId="4" fillId="15" borderId="11" xfId="0" applyFont="1" applyFill="1" applyBorder="1" applyAlignment="1">
      <alignment horizontal="center" vertical="center" wrapText="1" readingOrder="1"/>
    </xf>
    <xf numFmtId="0" fontId="8" fillId="15" borderId="11" xfId="0" applyFont="1" applyFill="1" applyBorder="1" applyAlignment="1">
      <alignment horizontal="center" vertical="top" wrapText="1"/>
    </xf>
    <xf numFmtId="0" fontId="3" fillId="18" borderId="42" xfId="0" applyFont="1" applyFill="1" applyBorder="1" applyAlignment="1">
      <alignment horizontal="left" vertical="center" wrapText="1" readingOrder="1"/>
    </xf>
    <xf numFmtId="0" fontId="3" fillId="0" borderId="41" xfId="0" applyFont="1" applyBorder="1" applyAlignment="1">
      <alignment horizontal="left" vertical="center" wrapText="1" readingOrder="1"/>
    </xf>
    <xf numFmtId="0" fontId="3" fillId="0" borderId="41" xfId="0" applyFont="1" applyBorder="1" applyAlignment="1">
      <alignment horizontal="center" vertical="center" wrapText="1" readingOrder="1"/>
    </xf>
    <xf numFmtId="0" fontId="3" fillId="18" borderId="38" xfId="0" applyFont="1" applyFill="1" applyBorder="1" applyAlignment="1">
      <alignment horizontal="left" vertical="center" wrapText="1" readingOrder="1"/>
    </xf>
    <xf numFmtId="0" fontId="3" fillId="0" borderId="38" xfId="0" applyFont="1" applyBorder="1" applyAlignment="1">
      <alignment horizontal="left" vertical="center" wrapText="1" readingOrder="1"/>
    </xf>
    <xf numFmtId="0" fontId="12" fillId="0" borderId="0" xfId="0" applyFont="1"/>
    <xf numFmtId="0" fontId="14" fillId="3" borderId="45" xfId="0" applyFont="1" applyFill="1" applyBorder="1" applyAlignment="1">
      <alignment horizontal="left" vertical="center"/>
    </xf>
    <xf numFmtId="0" fontId="15" fillId="3" borderId="46" xfId="0" applyFont="1" applyFill="1" applyBorder="1" applyAlignment="1">
      <alignment horizontal="center" vertical="center"/>
    </xf>
    <xf numFmtId="0" fontId="16" fillId="0" borderId="0" xfId="0" applyFont="1"/>
    <xf numFmtId="17" fontId="6" fillId="5" borderId="6" xfId="0" applyNumberFormat="1" applyFont="1" applyFill="1" applyBorder="1" applyAlignment="1">
      <alignment horizontal="center" vertical="center" wrapText="1"/>
    </xf>
    <xf numFmtId="2" fontId="4" fillId="10" borderId="11" xfId="0" applyNumberFormat="1" applyFont="1" applyFill="1" applyBorder="1" applyAlignment="1">
      <alignment horizontal="center" vertical="center" wrapText="1" readingOrder="1"/>
    </xf>
    <xf numFmtId="2" fontId="5" fillId="0" borderId="0" xfId="0" applyNumberFormat="1" applyFont="1"/>
    <xf numFmtId="0" fontId="17" fillId="0" borderId="0" xfId="0" applyFont="1"/>
    <xf numFmtId="0" fontId="18" fillId="3" borderId="29" xfId="0" applyFont="1" applyFill="1" applyBorder="1" applyAlignment="1">
      <alignment horizontal="center" vertical="center" wrapText="1" readingOrder="1"/>
    </xf>
    <xf numFmtId="0" fontId="13" fillId="2" borderId="42" xfId="0" applyFont="1" applyFill="1" applyBorder="1" applyAlignment="1">
      <alignment horizontal="center" vertical="center" wrapText="1"/>
    </xf>
    <xf numFmtId="0" fontId="13" fillId="2" borderId="44" xfId="0" applyFont="1" applyFill="1" applyBorder="1" applyAlignment="1">
      <alignment horizontal="center" vertical="center" wrapText="1"/>
    </xf>
    <xf numFmtId="0" fontId="3" fillId="2" borderId="1" xfId="0" applyFont="1" applyFill="1" applyBorder="1" applyAlignment="1">
      <alignment horizontal="center" vertical="center" wrapText="1" readingOrder="1"/>
    </xf>
    <xf numFmtId="0" fontId="2" fillId="0" borderId="0" xfId="0" applyFont="1" applyAlignment="1">
      <alignment horizontal="center"/>
    </xf>
    <xf numFmtId="0" fontId="3" fillId="18" borderId="42" xfId="0" applyFont="1" applyFill="1" applyBorder="1" applyAlignment="1">
      <alignment horizontal="center" vertical="center" wrapText="1" readingOrder="1"/>
    </xf>
    <xf numFmtId="0" fontId="3" fillId="0" borderId="39" xfId="0" applyFont="1" applyBorder="1" applyAlignment="1">
      <alignment horizontal="center" vertical="center" wrapText="1" readingOrder="1"/>
    </xf>
    <xf numFmtId="0" fontId="3" fillId="0" borderId="40" xfId="0" applyFont="1" applyBorder="1" applyAlignment="1">
      <alignment horizontal="center" vertical="center" wrapText="1" readingOrder="1"/>
    </xf>
    <xf numFmtId="0" fontId="6" fillId="11" borderId="13" xfId="0" applyFont="1" applyFill="1" applyBorder="1" applyAlignment="1">
      <alignment horizontal="center" vertical="center" wrapText="1" readingOrder="1"/>
    </xf>
    <xf numFmtId="164" fontId="4" fillId="12" borderId="37" xfId="0" applyNumberFormat="1" applyFont="1" applyFill="1" applyBorder="1" applyAlignment="1">
      <alignment horizontal="center" vertical="center" wrapText="1" readingOrder="1"/>
    </xf>
    <xf numFmtId="0" fontId="7" fillId="0" borderId="43" xfId="0" applyFont="1" applyBorder="1" applyAlignment="1">
      <alignment horizontal="center" vertical="center"/>
    </xf>
    <xf numFmtId="0" fontId="7" fillId="0" borderId="42" xfId="0" applyFont="1" applyBorder="1" applyAlignment="1">
      <alignment horizontal="center" vertical="center"/>
    </xf>
    <xf numFmtId="0" fontId="7" fillId="0" borderId="42" xfId="0" applyFont="1" applyBorder="1" applyAlignment="1">
      <alignment horizontal="center" vertical="center" wrapText="1"/>
    </xf>
    <xf numFmtId="49" fontId="7" fillId="19" borderId="49" xfId="0" applyNumberFormat="1" applyFont="1" applyFill="1" applyBorder="1" applyAlignment="1">
      <alignment horizontal="center" vertical="center" wrapText="1"/>
    </xf>
    <xf numFmtId="49" fontId="7" fillId="19" borderId="42" xfId="0" applyNumberFormat="1" applyFont="1" applyFill="1" applyBorder="1" applyAlignment="1">
      <alignment horizontal="center" vertical="center" wrapText="1"/>
    </xf>
    <xf numFmtId="49" fontId="7" fillId="19" borderId="42" xfId="0" applyNumberFormat="1" applyFont="1" applyFill="1" applyBorder="1" applyAlignment="1">
      <alignment vertical="center"/>
    </xf>
    <xf numFmtId="49" fontId="7" fillId="19" borderId="42" xfId="0" applyNumberFormat="1" applyFont="1" applyFill="1" applyBorder="1" applyAlignment="1">
      <alignment horizontal="left" vertical="center"/>
    </xf>
    <xf numFmtId="0" fontId="5" fillId="19" borderId="42" xfId="0" applyFont="1" applyFill="1" applyBorder="1" applyAlignment="1">
      <alignment horizontal="center" vertical="center"/>
    </xf>
    <xf numFmtId="49" fontId="7" fillId="0" borderId="51" xfId="0" applyNumberFormat="1" applyFont="1" applyBorder="1" applyAlignment="1">
      <alignment horizontal="center" vertical="center" wrapText="1"/>
    </xf>
    <xf numFmtId="49" fontId="7" fillId="0" borderId="43" xfId="0" applyNumberFormat="1" applyFont="1" applyBorder="1" applyAlignment="1">
      <alignment horizontal="center" vertical="center" wrapText="1"/>
    </xf>
    <xf numFmtId="49" fontId="5" fillId="0" borderId="42" xfId="0" applyNumberFormat="1" applyFont="1" applyBorder="1" applyAlignment="1">
      <alignment vertical="center"/>
    </xf>
    <xf numFmtId="49" fontId="5" fillId="0" borderId="42" xfId="0" applyNumberFormat="1" applyFont="1" applyBorder="1" applyAlignment="1">
      <alignment horizontal="left" vertical="center"/>
    </xf>
    <xf numFmtId="0" fontId="5" fillId="0" borderId="42" xfId="0" applyFont="1" applyBorder="1" applyAlignment="1">
      <alignment horizontal="center" vertical="center"/>
    </xf>
    <xf numFmtId="49" fontId="7" fillId="0" borderId="43" xfId="0" applyNumberFormat="1" applyFont="1" applyBorder="1" applyAlignment="1">
      <alignment horizontal="center" vertical="center"/>
    </xf>
    <xf numFmtId="49" fontId="7" fillId="0" borderId="42" xfId="0" applyNumberFormat="1" applyFont="1" applyBorder="1" applyAlignment="1">
      <alignment horizontal="center" vertical="center"/>
    </xf>
    <xf numFmtId="49" fontId="7" fillId="0" borderId="51" xfId="0" applyNumberFormat="1" applyFont="1" applyBorder="1" applyAlignment="1">
      <alignment horizontal="center" vertical="center"/>
    </xf>
    <xf numFmtId="0" fontId="8" fillId="0" borderId="42" xfId="0" applyFont="1" applyBorder="1" applyAlignment="1">
      <alignment horizontal="center" vertical="center"/>
    </xf>
    <xf numFmtId="0" fontId="19" fillId="0" borderId="46" xfId="0" applyFont="1" applyBorder="1" applyAlignment="1">
      <alignment horizontal="left" vertical="center"/>
    </xf>
    <xf numFmtId="0" fontId="19" fillId="0" borderId="46" xfId="0" applyFont="1" applyBorder="1" applyAlignment="1">
      <alignment horizontal="center" vertical="center"/>
    </xf>
    <xf numFmtId="0" fontId="3" fillId="2" borderId="1" xfId="0" applyFont="1" applyFill="1" applyBorder="1" applyAlignment="1">
      <alignment vertical="center" wrapText="1" readingOrder="1"/>
    </xf>
    <xf numFmtId="0" fontId="20" fillId="0" borderId="0" xfId="0" applyFont="1"/>
    <xf numFmtId="0" fontId="21" fillId="0" borderId="0" xfId="0" applyFont="1"/>
    <xf numFmtId="0" fontId="22" fillId="18" borderId="38" xfId="0" applyFont="1" applyFill="1" applyBorder="1" applyAlignment="1">
      <alignment horizontal="left" vertical="top" wrapText="1" readingOrder="1"/>
    </xf>
    <xf numFmtId="49" fontId="7" fillId="0" borderId="48" xfId="0" applyNumberFormat="1" applyFont="1" applyBorder="1" applyAlignment="1">
      <alignment horizontal="center" vertical="center" wrapText="1"/>
    </xf>
    <xf numFmtId="49" fontId="7" fillId="0" borderId="50" xfId="0" applyNumberFormat="1" applyFont="1" applyBorder="1" applyAlignment="1">
      <alignment horizontal="center" vertical="center" wrapText="1"/>
    </xf>
    <xf numFmtId="49" fontId="7" fillId="0" borderId="52" xfId="0" applyNumberFormat="1" applyFont="1" applyBorder="1" applyAlignment="1">
      <alignment horizontal="center" vertical="center" wrapText="1"/>
    </xf>
    <xf numFmtId="0" fontId="2" fillId="0" borderId="47" xfId="0" applyFont="1" applyBorder="1" applyAlignment="1">
      <alignment horizontal="center"/>
    </xf>
    <xf numFmtId="0" fontId="3" fillId="2" borderId="1" xfId="0" applyFont="1" applyFill="1" applyBorder="1" applyAlignment="1">
      <alignment vertical="center" readingOrder="1"/>
    </xf>
    <xf numFmtId="49" fontId="7" fillId="0" borderId="53" xfId="0" applyNumberFormat="1" applyFont="1" applyBorder="1" applyAlignment="1">
      <alignment vertical="center" wrapText="1"/>
    </xf>
    <xf numFmtId="49" fontId="7" fillId="0" borderId="54" xfId="0" applyNumberFormat="1" applyFont="1" applyBorder="1" applyAlignment="1">
      <alignment vertical="center" wrapText="1"/>
    </xf>
    <xf numFmtId="0" fontId="13" fillId="2" borderId="42" xfId="0" applyFont="1" applyFill="1" applyBorder="1" applyAlignment="1">
      <alignment vertical="center" wrapText="1"/>
    </xf>
    <xf numFmtId="0" fontId="13" fillId="2" borderId="44" xfId="0" applyFont="1" applyFill="1" applyBorder="1" applyAlignment="1">
      <alignment vertical="center" wrapText="1"/>
    </xf>
    <xf numFmtId="0" fontId="4" fillId="18" borderId="39" xfId="0" applyFont="1" applyFill="1" applyBorder="1" applyAlignment="1">
      <alignment vertical="center" wrapText="1" readingOrder="1"/>
    </xf>
    <xf numFmtId="0" fontId="3" fillId="18" borderId="39" xfId="0" applyFont="1" applyFill="1" applyBorder="1" applyAlignment="1">
      <alignment vertical="center" wrapText="1" readingOrder="1"/>
    </xf>
    <xf numFmtId="0" fontId="4" fillId="7" borderId="13" xfId="0" applyFont="1" applyFill="1" applyBorder="1" applyAlignment="1">
      <alignment vertical="center" wrapText="1" readingOrder="1"/>
    </xf>
    <xf numFmtId="0" fontId="4" fillId="8" borderId="13" xfId="0" applyFont="1" applyFill="1" applyBorder="1" applyAlignment="1">
      <alignment vertical="center" wrapText="1" readingOrder="1"/>
    </xf>
    <xf numFmtId="0" fontId="4" fillId="9" borderId="13" xfId="0" applyFont="1" applyFill="1" applyBorder="1" applyAlignment="1">
      <alignment vertical="center" wrapText="1" readingOrder="1"/>
    </xf>
    <xf numFmtId="0" fontId="4" fillId="9" borderId="22" xfId="0" applyFont="1" applyFill="1" applyBorder="1" applyAlignment="1">
      <alignment vertical="center" wrapText="1" readingOrder="1"/>
    </xf>
    <xf numFmtId="0" fontId="6" fillId="2" borderId="4" xfId="0" applyFont="1" applyFill="1" applyBorder="1" applyAlignment="1">
      <alignment horizontal="center" vertical="center" wrapText="1"/>
    </xf>
    <xf numFmtId="0" fontId="3" fillId="6" borderId="21" xfId="0" applyFont="1" applyFill="1" applyBorder="1" applyAlignment="1">
      <alignment horizontal="left" vertical="center" wrapText="1" readingOrder="1"/>
    </xf>
    <xf numFmtId="0" fontId="3" fillId="6" borderId="18" xfId="0" applyFont="1" applyFill="1" applyBorder="1" applyAlignment="1">
      <alignment horizontal="left" vertical="center" wrapText="1" readingOrder="1"/>
    </xf>
    <xf numFmtId="0" fontId="3" fillId="6" borderId="23" xfId="0" applyFont="1" applyFill="1" applyBorder="1" applyAlignment="1">
      <alignment horizontal="left" vertical="center" wrapText="1" readingOrder="1"/>
    </xf>
    <xf numFmtId="0" fontId="6" fillId="2" borderId="0" xfId="0" applyFont="1" applyFill="1" applyAlignment="1">
      <alignment horizontal="center" vertical="center" wrapText="1" readingOrder="1"/>
    </xf>
    <xf numFmtId="0" fontId="4" fillId="10" borderId="0" xfId="0" applyFont="1" applyFill="1" applyAlignment="1">
      <alignment horizontal="left" vertical="center" wrapText="1" readingOrder="1"/>
    </xf>
    <xf numFmtId="0" fontId="4" fillId="10" borderId="0" xfId="0" applyFont="1" applyFill="1" applyAlignment="1">
      <alignment horizontal="center" vertical="center" wrapText="1" readingOrder="1"/>
    </xf>
    <xf numFmtId="0" fontId="6" fillId="11" borderId="0" xfId="0" applyFont="1" applyFill="1" applyAlignment="1">
      <alignment horizontal="center" vertical="center" wrapText="1" readingOrder="1"/>
    </xf>
    <xf numFmtId="0" fontId="4" fillId="13" borderId="0" xfId="0" applyFont="1" applyFill="1" applyAlignment="1">
      <alignment horizontal="left" vertical="center" wrapText="1" readingOrder="1"/>
    </xf>
    <xf numFmtId="0" fontId="4" fillId="13" borderId="0" xfId="0" applyFont="1" applyFill="1" applyAlignment="1">
      <alignment horizontal="center" vertical="center" wrapText="1" readingOrder="1"/>
    </xf>
    <xf numFmtId="0" fontId="4" fillId="13" borderId="13" xfId="0" applyFont="1" applyFill="1" applyBorder="1" applyAlignment="1">
      <alignment vertical="center" wrapText="1" readingOrder="1"/>
    </xf>
    <xf numFmtId="2" fontId="4" fillId="13" borderId="0" xfId="0" applyNumberFormat="1" applyFont="1" applyFill="1" applyAlignment="1">
      <alignment horizontal="center" vertical="center" wrapText="1" readingOrder="1"/>
    </xf>
    <xf numFmtId="0" fontId="5" fillId="0" borderId="0" xfId="0" applyFont="1" applyAlignment="1">
      <alignment horizontal="center" vertical="center"/>
    </xf>
    <xf numFmtId="0" fontId="6" fillId="14" borderId="13" xfId="0" applyFont="1" applyFill="1" applyBorder="1" applyAlignment="1">
      <alignment vertical="center" wrapText="1" readingOrder="1"/>
    </xf>
    <xf numFmtId="0" fontId="4" fillId="15" borderId="14" xfId="0" applyFont="1" applyFill="1" applyBorder="1" applyAlignment="1">
      <alignment vertical="center" wrapText="1" readingOrder="1"/>
    </xf>
    <xf numFmtId="0" fontId="3" fillId="15" borderId="14" xfId="0" applyFont="1" applyFill="1" applyBorder="1" applyAlignment="1">
      <alignment vertical="center" wrapText="1" readingOrder="1"/>
    </xf>
    <xf numFmtId="0" fontId="16" fillId="0" borderId="42" xfId="0" applyFont="1" applyBorder="1" applyAlignment="1">
      <alignment horizontal="center" vertical="center"/>
    </xf>
    <xf numFmtId="0" fontId="2" fillId="0" borderId="42" xfId="0" applyFont="1" applyBorder="1" applyAlignment="1">
      <alignment horizontal="center" vertical="center"/>
    </xf>
    <xf numFmtId="0" fontId="8" fillId="15" borderId="11" xfId="0" applyFont="1" applyFill="1" applyBorder="1" applyAlignment="1">
      <alignment horizontal="center" vertical="center" wrapText="1"/>
    </xf>
    <xf numFmtId="0" fontId="5" fillId="20" borderId="42" xfId="0" applyFont="1" applyFill="1" applyBorder="1" applyAlignment="1">
      <alignment horizontal="center" vertical="center"/>
    </xf>
    <xf numFmtId="0" fontId="4" fillId="0" borderId="39" xfId="0" applyFont="1" applyBorder="1" applyAlignment="1">
      <alignment horizontal="left" vertical="center" wrapText="1" readingOrder="1"/>
    </xf>
    <xf numFmtId="0" fontId="4" fillId="0" borderId="40" xfId="0" applyFont="1" applyBorder="1" applyAlignment="1">
      <alignment horizontal="left" vertical="center" wrapText="1" readingOrder="1"/>
    </xf>
    <xf numFmtId="0" fontId="4" fillId="18" borderId="38" xfId="0" applyFont="1" applyFill="1" applyBorder="1" applyAlignment="1">
      <alignment horizontal="center" vertical="center" wrapText="1" readingOrder="1"/>
    </xf>
    <xf numFmtId="49" fontId="7" fillId="0" borderId="55" xfId="0" applyNumberFormat="1" applyFont="1" applyBorder="1" applyAlignment="1">
      <alignment vertical="center" wrapText="1"/>
    </xf>
    <xf numFmtId="49" fontId="7" fillId="0" borderId="55" xfId="0" applyNumberFormat="1" applyFont="1" applyBorder="1" applyAlignment="1">
      <alignment horizontal="center" vertical="center"/>
    </xf>
    <xf numFmtId="49" fontId="5" fillId="0" borderId="55" xfId="0" applyNumberFormat="1" applyFont="1" applyBorder="1" applyAlignment="1">
      <alignment vertical="center"/>
    </xf>
    <xf numFmtId="49" fontId="5" fillId="0" borderId="55" xfId="0" applyNumberFormat="1" applyFont="1" applyBorder="1" applyAlignment="1">
      <alignment horizontal="left" vertical="center"/>
    </xf>
    <xf numFmtId="0" fontId="5" fillId="0" borderId="55" xfId="0" applyFont="1" applyBorder="1" applyAlignment="1">
      <alignment horizontal="center"/>
    </xf>
    <xf numFmtId="49" fontId="7" fillId="0" borderId="55" xfId="0" applyNumberFormat="1" applyFont="1" applyBorder="1" applyAlignment="1">
      <alignment horizontal="center" vertical="center" wrapText="1"/>
    </xf>
    <xf numFmtId="0" fontId="2" fillId="0" borderId="55" xfId="0" applyFont="1" applyBorder="1" applyAlignment="1">
      <alignment horizontal="center" vertical="center"/>
    </xf>
    <xf numFmtId="49" fontId="5" fillId="0" borderId="43" xfId="0" applyNumberFormat="1" applyFont="1" applyBorder="1" applyAlignment="1">
      <alignment vertical="center"/>
    </xf>
    <xf numFmtId="49" fontId="5" fillId="0" borderId="43" xfId="0" applyNumberFormat="1" applyFont="1" applyBorder="1" applyAlignment="1">
      <alignment horizontal="left" vertical="center"/>
    </xf>
    <xf numFmtId="0" fontId="5" fillId="0" borderId="43" xfId="0" applyFont="1" applyBorder="1" applyAlignment="1">
      <alignment horizontal="center" vertical="center"/>
    </xf>
    <xf numFmtId="0" fontId="3" fillId="0" borderId="0" xfId="0" applyFont="1" applyAlignment="1">
      <alignment horizontal="left" vertical="center" wrapText="1" readingOrder="1"/>
    </xf>
    <xf numFmtId="0" fontId="7" fillId="19" borderId="0" xfId="0" applyFont="1" applyFill="1"/>
    <xf numFmtId="164" fontId="4" fillId="10" borderId="0" xfId="0" applyNumberFormat="1" applyFont="1" applyFill="1" applyAlignment="1">
      <alignment horizontal="center" vertical="center" wrapText="1" readingOrder="1"/>
    </xf>
    <xf numFmtId="0" fontId="3" fillId="0" borderId="39" xfId="0" applyFont="1" applyBorder="1" applyAlignment="1">
      <alignment horizontal="left" vertical="center" wrapText="1" readingOrder="1"/>
    </xf>
    <xf numFmtId="0" fontId="3" fillId="0" borderId="40" xfId="0" applyFont="1" applyBorder="1" applyAlignment="1">
      <alignment horizontal="left" vertical="center" wrapText="1" readingOrder="1"/>
    </xf>
    <xf numFmtId="0" fontId="2" fillId="0" borderId="0" xfId="0" applyFont="1" applyAlignment="1">
      <alignment horizontal="center"/>
    </xf>
    <xf numFmtId="0" fontId="3" fillId="6" borderId="15" xfId="0" applyFont="1" applyFill="1" applyBorder="1" applyAlignment="1">
      <alignment horizontal="center" vertical="center" wrapText="1" readingOrder="1"/>
    </xf>
    <xf numFmtId="0" fontId="3" fillId="6" borderId="16" xfId="0" applyFont="1" applyFill="1" applyBorder="1" applyAlignment="1">
      <alignment horizontal="center" vertical="center" wrapText="1" readingOrder="1"/>
    </xf>
    <xf numFmtId="0" fontId="3" fillId="6" borderId="17" xfId="0" applyFont="1" applyFill="1" applyBorder="1" applyAlignment="1">
      <alignment horizontal="center" vertical="center" wrapText="1" readingOrder="1"/>
    </xf>
    <xf numFmtId="0" fontId="3" fillId="7" borderId="9" xfId="0" applyFont="1" applyFill="1" applyBorder="1" applyAlignment="1">
      <alignment horizontal="center" vertical="center" wrapText="1" readingOrder="1"/>
    </xf>
    <xf numFmtId="0" fontId="3" fillId="7" borderId="10" xfId="0" applyFont="1" applyFill="1" applyBorder="1" applyAlignment="1">
      <alignment horizontal="center" vertical="center" wrapText="1" readingOrder="1"/>
    </xf>
    <xf numFmtId="0" fontId="3" fillId="7" borderId="12" xfId="0" applyFont="1" applyFill="1" applyBorder="1" applyAlignment="1">
      <alignment horizontal="center" vertical="center" wrapText="1" readingOrder="1"/>
    </xf>
    <xf numFmtId="0" fontId="3" fillId="8" borderId="9" xfId="0" applyFont="1" applyFill="1" applyBorder="1" applyAlignment="1">
      <alignment horizontal="center" vertical="center" wrapText="1" readingOrder="1"/>
    </xf>
    <xf numFmtId="0" fontId="3" fillId="8" borderId="10" xfId="0" applyFont="1" applyFill="1" applyBorder="1" applyAlignment="1">
      <alignment horizontal="center" vertical="center" wrapText="1" readingOrder="1"/>
    </xf>
    <xf numFmtId="0" fontId="3" fillId="8" borderId="12" xfId="0" applyFont="1" applyFill="1" applyBorder="1" applyAlignment="1">
      <alignment horizontal="center" vertical="center" wrapText="1" readingOrder="1"/>
    </xf>
    <xf numFmtId="0" fontId="3" fillId="9" borderId="9" xfId="0" applyFont="1" applyFill="1" applyBorder="1" applyAlignment="1">
      <alignment horizontal="center" vertical="center" wrapText="1" readingOrder="1"/>
    </xf>
    <xf numFmtId="0" fontId="3" fillId="9" borderId="10" xfId="0" applyFont="1" applyFill="1" applyBorder="1" applyAlignment="1">
      <alignment horizontal="center" vertical="center" wrapText="1" readingOrder="1"/>
    </xf>
    <xf numFmtId="0" fontId="3" fillId="9" borderId="19"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01E13-4B11-4763-B94D-D97A2305A4A4}">
  <dimension ref="A2:N165"/>
  <sheetViews>
    <sheetView tabSelected="1" zoomScale="85" zoomScaleNormal="85" workbookViewId="0">
      <pane xSplit="2" topLeftCell="C1" activePane="topRight" state="frozen"/>
      <selection pane="topRight" activeCell="H1" sqref="H1:H1048576"/>
    </sheetView>
  </sheetViews>
  <sheetFormatPr defaultColWidth="10.85546875" defaultRowHeight="15"/>
  <cols>
    <col min="1" max="1" width="10.85546875" style="1"/>
    <col min="2" max="2" width="23.7109375" style="20" customWidth="1"/>
    <col min="3" max="3" width="15" style="20" customWidth="1"/>
    <col min="4" max="4" width="14.140625" style="20" customWidth="1"/>
    <col min="5" max="5" width="15.140625" style="20" customWidth="1"/>
    <col min="6" max="6" width="25.7109375" style="20" customWidth="1"/>
    <col min="7" max="7" width="12.140625" style="20" customWidth="1"/>
    <col min="8" max="8" width="17.85546875" style="20" customWidth="1"/>
    <col min="9" max="9" width="17.7109375" style="20" customWidth="1"/>
    <col min="10" max="10" width="24" style="20" customWidth="1"/>
    <col min="11" max="11" width="17.140625" style="20" customWidth="1"/>
    <col min="12" max="13" width="10.85546875" style="20"/>
    <col min="14" max="14" width="38.5703125" style="20" customWidth="1"/>
    <col min="15" max="17" width="10.85546875" style="20"/>
    <col min="18" max="18" width="33.28515625" style="20" customWidth="1"/>
    <col min="19" max="16384" width="10.85546875" style="20"/>
  </cols>
  <sheetData>
    <row r="2" spans="1:9">
      <c r="B2" s="171" t="s">
        <v>0</v>
      </c>
      <c r="C2" s="171"/>
      <c r="D2" s="171"/>
      <c r="E2" s="171"/>
      <c r="F2" s="171"/>
      <c r="G2" s="171"/>
      <c r="H2" s="171"/>
      <c r="I2" s="171"/>
    </row>
    <row r="4" spans="1:9" ht="15.75">
      <c r="B4" s="175" t="s">
        <v>1</v>
      </c>
      <c r="C4" s="175"/>
    </row>
    <row r="6" spans="1:9">
      <c r="A6" s="1">
        <v>1</v>
      </c>
      <c r="B6" s="118"/>
      <c r="C6" s="92" t="s">
        <v>2</v>
      </c>
      <c r="D6" s="92" t="s">
        <v>3</v>
      </c>
      <c r="E6" s="92" t="s">
        <v>4</v>
      </c>
    </row>
    <row r="7" spans="1:9" ht="14.25">
      <c r="B7" s="22" t="s">
        <v>5</v>
      </c>
      <c r="C7" s="23">
        <v>407</v>
      </c>
      <c r="D7" s="23">
        <v>298</v>
      </c>
      <c r="E7" s="23">
        <v>42</v>
      </c>
    </row>
    <row r="8" spans="1:9" ht="14.25">
      <c r="B8" s="24" t="s">
        <v>6</v>
      </c>
      <c r="C8" s="25">
        <v>121</v>
      </c>
      <c r="D8" s="25">
        <v>88</v>
      </c>
      <c r="E8" s="25">
        <v>14</v>
      </c>
    </row>
    <row r="9" spans="1:9" ht="14.25">
      <c r="B9" s="26" t="s">
        <v>7</v>
      </c>
      <c r="C9" s="27">
        <f>SUM(C7:C8)</f>
        <v>528</v>
      </c>
      <c r="D9" s="27">
        <f>+D7+D8</f>
        <v>386</v>
      </c>
      <c r="E9" s="27">
        <v>56</v>
      </c>
    </row>
    <row r="11" spans="1:9" ht="15.75">
      <c r="B11" s="175" t="s">
        <v>8</v>
      </c>
      <c r="C11" s="175"/>
    </row>
    <row r="12" spans="1:9">
      <c r="B12" s="21"/>
      <c r="C12" s="21"/>
    </row>
    <row r="13" spans="1:9" ht="47.25" customHeight="1">
      <c r="A13" s="1">
        <v>2</v>
      </c>
      <c r="B13" s="85">
        <v>45474</v>
      </c>
      <c r="C13" s="137" t="s">
        <v>9</v>
      </c>
      <c r="D13" s="137" t="s">
        <v>10</v>
      </c>
      <c r="E13" s="137" t="s">
        <v>11</v>
      </c>
    </row>
    <row r="14" spans="1:9" ht="14.25">
      <c r="B14" s="28" t="s">
        <v>12</v>
      </c>
      <c r="C14" s="29">
        <v>251</v>
      </c>
      <c r="D14" s="33">
        <v>62</v>
      </c>
      <c r="E14" s="33">
        <v>23</v>
      </c>
    </row>
    <row r="15" spans="1:9" ht="14.25">
      <c r="B15" s="30" t="s">
        <v>13</v>
      </c>
      <c r="C15" s="31">
        <v>18.399999999999999</v>
      </c>
      <c r="D15" s="34">
        <v>12</v>
      </c>
      <c r="E15" s="34">
        <v>6.1</v>
      </c>
    </row>
    <row r="16" spans="1:9" ht="14.25">
      <c r="B16" s="28" t="s">
        <v>14</v>
      </c>
      <c r="C16" s="32">
        <f>+C14/C15</f>
        <v>13.641304347826088</v>
      </c>
      <c r="D16" s="35">
        <f>+D14/D15</f>
        <v>5.166666666666667</v>
      </c>
      <c r="E16" s="35">
        <f>E14/E15</f>
        <v>3.7704918032786887</v>
      </c>
    </row>
    <row r="17" spans="1:14">
      <c r="B17" s="119" t="s">
        <v>15</v>
      </c>
      <c r="I17" s="120"/>
    </row>
    <row r="18" spans="1:14">
      <c r="B18" s="119"/>
      <c r="I18" s="120"/>
    </row>
    <row r="19" spans="1:14" ht="15.75">
      <c r="B19" s="2" t="s">
        <v>16</v>
      </c>
      <c r="C19" s="81"/>
    </row>
    <row r="20" spans="1:14" ht="15" customHeight="1">
      <c r="A20" s="1">
        <v>3</v>
      </c>
      <c r="B20" s="176" t="s">
        <v>17</v>
      </c>
      <c r="C20" s="177"/>
      <c r="D20" s="177"/>
      <c r="E20" s="177"/>
      <c r="F20" s="177"/>
      <c r="G20" s="177"/>
      <c r="H20" s="177"/>
      <c r="I20" s="177"/>
      <c r="J20" s="177"/>
      <c r="K20" s="178"/>
    </row>
    <row r="21" spans="1:14">
      <c r="B21" s="3" t="s">
        <v>18</v>
      </c>
      <c r="C21" s="179" t="s">
        <v>2</v>
      </c>
      <c r="D21" s="180"/>
      <c r="E21" s="181"/>
      <c r="F21" s="182" t="s">
        <v>3</v>
      </c>
      <c r="G21" s="183"/>
      <c r="H21" s="184"/>
      <c r="I21" s="185" t="s">
        <v>4</v>
      </c>
      <c r="J21" s="186"/>
      <c r="K21" s="187"/>
    </row>
    <row r="22" spans="1:14" ht="30" customHeight="1">
      <c r="B22" s="3" t="s">
        <v>19</v>
      </c>
      <c r="C22" s="4" t="s">
        <v>5</v>
      </c>
      <c r="D22" s="4" t="s">
        <v>20</v>
      </c>
      <c r="E22" s="4" t="s">
        <v>6</v>
      </c>
      <c r="F22" s="5" t="s">
        <v>5</v>
      </c>
      <c r="G22" s="5" t="s">
        <v>21</v>
      </c>
      <c r="H22" s="5" t="s">
        <v>6</v>
      </c>
      <c r="I22" s="6" t="s">
        <v>5</v>
      </c>
      <c r="J22" s="6" t="s">
        <v>22</v>
      </c>
      <c r="K22" s="7" t="s">
        <v>23</v>
      </c>
    </row>
    <row r="23" spans="1:14" ht="15" customHeight="1">
      <c r="B23" s="138" t="s">
        <v>24</v>
      </c>
      <c r="C23" s="133"/>
      <c r="D23" s="133"/>
      <c r="E23" s="133"/>
      <c r="F23" s="134"/>
      <c r="G23" s="134"/>
      <c r="H23" s="134"/>
      <c r="I23" s="135"/>
      <c r="J23" s="135"/>
      <c r="K23" s="136"/>
    </row>
    <row r="24" spans="1:14" ht="15.75">
      <c r="B24" s="139" t="s">
        <v>25</v>
      </c>
      <c r="C24" s="8"/>
      <c r="D24" s="8"/>
      <c r="E24" s="8"/>
      <c r="F24" s="9"/>
      <c r="G24" s="9"/>
      <c r="H24" s="9"/>
      <c r="I24" s="10"/>
      <c r="J24" s="10"/>
      <c r="K24" s="11"/>
      <c r="M24" s="2"/>
      <c r="N24" s="81"/>
    </row>
    <row r="25" spans="1:14" ht="30">
      <c r="B25" s="140" t="s">
        <v>26</v>
      </c>
      <c r="C25" s="12"/>
      <c r="D25" s="12"/>
      <c r="E25" s="12"/>
      <c r="F25" s="13"/>
      <c r="G25" s="13"/>
      <c r="H25" s="13"/>
      <c r="I25" s="14"/>
      <c r="J25" s="14"/>
      <c r="K25" s="15"/>
    </row>
    <row r="28" spans="1:14" ht="15.75">
      <c r="B28" s="2" t="s">
        <v>27</v>
      </c>
    </row>
    <row r="29" spans="1:14" ht="14.25">
      <c r="A29" s="1">
        <v>4</v>
      </c>
      <c r="B29" s="36" t="s">
        <v>2</v>
      </c>
      <c r="C29" s="89">
        <v>250</v>
      </c>
    </row>
    <row r="30" spans="1:14" ht="14.25">
      <c r="B30" s="37" t="s">
        <v>3</v>
      </c>
      <c r="C30" s="38">
        <v>101</v>
      </c>
    </row>
    <row r="31" spans="1:14" ht="14.25">
      <c r="B31" s="39" t="s">
        <v>4</v>
      </c>
      <c r="C31" s="40">
        <v>18</v>
      </c>
    </row>
    <row r="34" spans="1:10" ht="15.75">
      <c r="B34" s="2" t="s">
        <v>28</v>
      </c>
    </row>
    <row r="35" spans="1:10" ht="30">
      <c r="A35" s="1">
        <v>5</v>
      </c>
      <c r="B35" s="16" t="s">
        <v>18</v>
      </c>
      <c r="C35" s="16" t="s">
        <v>29</v>
      </c>
      <c r="D35" s="16" t="s">
        <v>30</v>
      </c>
      <c r="E35" s="16" t="s">
        <v>31</v>
      </c>
      <c r="F35" s="16" t="s">
        <v>32</v>
      </c>
    </row>
    <row r="36" spans="1:10" ht="14.25">
      <c r="B36" s="16" t="s">
        <v>2</v>
      </c>
      <c r="C36" s="17" t="s">
        <v>33</v>
      </c>
      <c r="D36" s="17">
        <v>1</v>
      </c>
      <c r="E36" s="17">
        <v>1</v>
      </c>
      <c r="F36" s="17">
        <v>387</v>
      </c>
    </row>
    <row r="37" spans="1:10">
      <c r="B37" s="16" t="s">
        <v>3</v>
      </c>
      <c r="C37" s="18"/>
      <c r="D37" s="18"/>
      <c r="E37" s="18"/>
      <c r="F37" s="18"/>
    </row>
    <row r="38" spans="1:10" ht="14.25">
      <c r="B38" s="16" t="s">
        <v>4</v>
      </c>
      <c r="C38" s="19">
        <v>0</v>
      </c>
      <c r="D38" s="19">
        <v>0</v>
      </c>
      <c r="E38" s="19">
        <v>0</v>
      </c>
      <c r="F38" s="19">
        <v>0</v>
      </c>
    </row>
    <row r="39" spans="1:10">
      <c r="B39" s="20" t="s">
        <v>34</v>
      </c>
    </row>
    <row r="42" spans="1:10" ht="15.75">
      <c r="B42" s="2" t="s">
        <v>35</v>
      </c>
    </row>
    <row r="43" spans="1:10">
      <c r="A43" s="1">
        <v>6</v>
      </c>
      <c r="C43" s="126" t="s">
        <v>2</v>
      </c>
      <c r="F43" s="118" t="s">
        <v>3</v>
      </c>
      <c r="I43" s="126" t="s">
        <v>4</v>
      </c>
    </row>
    <row r="44" spans="1:10" ht="19.5" customHeight="1">
      <c r="B44" s="41" t="s">
        <v>36</v>
      </c>
      <c r="C44" s="23">
        <v>1</v>
      </c>
      <c r="E44" s="41" t="s">
        <v>36</v>
      </c>
      <c r="F44" s="23">
        <v>21</v>
      </c>
      <c r="H44" s="41" t="s">
        <v>36</v>
      </c>
      <c r="I44" s="23"/>
      <c r="J44" s="20">
        <v>22</v>
      </c>
    </row>
    <row r="45" spans="1:10" ht="19.5" customHeight="1">
      <c r="B45" s="42" t="s">
        <v>6</v>
      </c>
      <c r="C45" s="25">
        <v>121</v>
      </c>
      <c r="E45" s="42" t="s">
        <v>6</v>
      </c>
      <c r="F45" s="25"/>
      <c r="H45" s="42" t="s">
        <v>6</v>
      </c>
      <c r="I45" s="25"/>
    </row>
    <row r="46" spans="1:10" ht="19.5" customHeight="1">
      <c r="B46" s="43" t="s">
        <v>37</v>
      </c>
      <c r="C46" s="27">
        <v>18</v>
      </c>
      <c r="E46" s="43" t="s">
        <v>37</v>
      </c>
      <c r="F46" s="27">
        <v>5</v>
      </c>
      <c r="H46" s="43" t="s">
        <v>37</v>
      </c>
      <c r="I46" s="27">
        <v>4</v>
      </c>
      <c r="J46" s="20">
        <v>27</v>
      </c>
    </row>
    <row r="49" spans="1:7" ht="15.75">
      <c r="B49" s="2" t="s">
        <v>38</v>
      </c>
    </row>
    <row r="50" spans="1:7" ht="30">
      <c r="A50" s="1">
        <v>7</v>
      </c>
      <c r="B50" s="44" t="s">
        <v>39</v>
      </c>
      <c r="C50" s="45" t="s">
        <v>40</v>
      </c>
      <c r="D50" s="45" t="s">
        <v>41</v>
      </c>
      <c r="E50" s="45" t="s">
        <v>42</v>
      </c>
      <c r="F50" s="45" t="s">
        <v>43</v>
      </c>
      <c r="G50" s="46" t="s">
        <v>44</v>
      </c>
    </row>
    <row r="51" spans="1:7" ht="14.25">
      <c r="B51" s="47" t="s">
        <v>45</v>
      </c>
      <c r="C51" s="48" t="s">
        <v>46</v>
      </c>
      <c r="D51" s="49">
        <v>102</v>
      </c>
      <c r="E51" s="49">
        <v>7.1</v>
      </c>
      <c r="F51" s="49"/>
      <c r="G51" s="86">
        <f>+D51/E51</f>
        <v>14.366197183098592</v>
      </c>
    </row>
    <row r="52" spans="1:7" ht="14.25">
      <c r="B52" s="47" t="s">
        <v>47</v>
      </c>
      <c r="C52" s="50" t="s">
        <v>48</v>
      </c>
      <c r="D52" s="51">
        <v>64</v>
      </c>
      <c r="E52" s="51">
        <v>4.9000000000000004</v>
      </c>
      <c r="F52" s="51"/>
      <c r="G52" s="86">
        <f>+D52/E52</f>
        <v>13.061224489795917</v>
      </c>
    </row>
    <row r="53" spans="1:7" ht="14.25">
      <c r="B53" s="47" t="s">
        <v>49</v>
      </c>
      <c r="C53" s="48" t="s">
        <v>50</v>
      </c>
      <c r="D53" s="49">
        <v>85</v>
      </c>
      <c r="E53" s="49">
        <v>6.4</v>
      </c>
      <c r="F53" s="49"/>
      <c r="G53" s="86">
        <f>+D53/E53</f>
        <v>13.28125</v>
      </c>
    </row>
    <row r="54" spans="1:7" ht="14.25">
      <c r="B54" s="141"/>
      <c r="C54" s="142"/>
      <c r="D54" s="143">
        <f>SUM(D51:D53)</f>
        <v>251</v>
      </c>
      <c r="E54" s="143">
        <f>SUM(E51:E53)</f>
        <v>18.399999999999999</v>
      </c>
      <c r="F54" s="172"/>
      <c r="G54" s="143"/>
    </row>
    <row r="55" spans="1:7">
      <c r="G55" s="87"/>
    </row>
    <row r="56" spans="1:7" ht="30">
      <c r="A56" s="1">
        <v>8</v>
      </c>
      <c r="B56" s="52" t="s">
        <v>39</v>
      </c>
      <c r="C56" s="52" t="s">
        <v>40</v>
      </c>
      <c r="D56" s="52" t="s">
        <v>41</v>
      </c>
      <c r="E56" s="52" t="s">
        <v>42</v>
      </c>
      <c r="F56" s="52" t="s">
        <v>43</v>
      </c>
      <c r="G56" s="53" t="s">
        <v>44</v>
      </c>
    </row>
    <row r="57" spans="1:7" ht="14.25">
      <c r="B57" s="54" t="s">
        <v>51</v>
      </c>
      <c r="C57" s="55" t="s">
        <v>52</v>
      </c>
      <c r="D57" s="56">
        <v>35</v>
      </c>
      <c r="E57" s="56">
        <v>6</v>
      </c>
      <c r="F57" s="56"/>
      <c r="G57" s="98">
        <f>+D57/E57</f>
        <v>5.833333333333333</v>
      </c>
    </row>
    <row r="58" spans="1:7" ht="32.1" customHeight="1">
      <c r="B58" s="97" t="s">
        <v>53</v>
      </c>
      <c r="C58" s="147" t="s">
        <v>54</v>
      </c>
      <c r="D58" s="57">
        <v>27</v>
      </c>
      <c r="E58" s="57">
        <v>6</v>
      </c>
      <c r="F58" s="57"/>
      <c r="G58" s="57">
        <f>+D58/E58</f>
        <v>4.5</v>
      </c>
    </row>
    <row r="59" spans="1:7" ht="14.25">
      <c r="B59" s="144"/>
      <c r="C59" s="145"/>
      <c r="D59" s="146">
        <f>SUM(D57:D58)</f>
        <v>62</v>
      </c>
      <c r="E59" s="146">
        <f>SUM(E57:E58)</f>
        <v>12</v>
      </c>
      <c r="F59" s="146"/>
      <c r="G59" s="148">
        <f>SUM(G57:G58)</f>
        <v>10.333333333333332</v>
      </c>
    </row>
    <row r="60" spans="1:7">
      <c r="D60" s="149"/>
      <c r="E60" s="149"/>
      <c r="F60" s="149"/>
      <c r="G60" s="149"/>
    </row>
    <row r="61" spans="1:7" ht="37.5" customHeight="1">
      <c r="A61" s="1">
        <v>9</v>
      </c>
      <c r="B61" s="58" t="s">
        <v>39</v>
      </c>
      <c r="C61" s="59" t="s">
        <v>40</v>
      </c>
      <c r="D61" s="59" t="s">
        <v>41</v>
      </c>
      <c r="E61" s="59" t="s">
        <v>42</v>
      </c>
      <c r="F61" s="60" t="s">
        <v>43</v>
      </c>
      <c r="G61" s="61" t="s">
        <v>44</v>
      </c>
    </row>
    <row r="62" spans="1:7" ht="37.5" customHeight="1">
      <c r="B62" s="150" t="s">
        <v>55</v>
      </c>
      <c r="C62" s="151" t="s">
        <v>56</v>
      </c>
      <c r="D62" s="151" t="s">
        <v>57</v>
      </c>
      <c r="E62" s="151">
        <v>6.1</v>
      </c>
      <c r="F62" s="151" t="s">
        <v>58</v>
      </c>
      <c r="G62" s="152">
        <v>3.77</v>
      </c>
    </row>
    <row r="63" spans="1:7">
      <c r="B63" s="20" t="s">
        <v>59</v>
      </c>
    </row>
    <row r="65" spans="1:7" ht="15.75">
      <c r="B65" s="2" t="s">
        <v>60</v>
      </c>
    </row>
    <row r="67" spans="1:7" ht="30">
      <c r="A67" s="1">
        <v>10</v>
      </c>
      <c r="B67" s="44" t="s">
        <v>39</v>
      </c>
      <c r="C67" s="45" t="s">
        <v>40</v>
      </c>
      <c r="D67" s="45" t="s">
        <v>61</v>
      </c>
      <c r="E67" s="45" t="s">
        <v>62</v>
      </c>
      <c r="F67" s="45" t="s">
        <v>63</v>
      </c>
      <c r="G67" s="46" t="s">
        <v>43</v>
      </c>
    </row>
    <row r="68" spans="1:7" ht="27" customHeight="1">
      <c r="B68" s="47" t="s">
        <v>45</v>
      </c>
      <c r="C68" s="48" t="s">
        <v>46</v>
      </c>
      <c r="D68" s="49">
        <v>104</v>
      </c>
      <c r="E68" s="49">
        <v>102</v>
      </c>
      <c r="F68" s="49" t="s">
        <v>64</v>
      </c>
      <c r="G68" s="49"/>
    </row>
    <row r="69" spans="1:7" ht="27" customHeight="1">
      <c r="B69" s="47" t="s">
        <v>47</v>
      </c>
      <c r="C69" s="50" t="s">
        <v>48</v>
      </c>
      <c r="D69" s="51">
        <v>75</v>
      </c>
      <c r="E69" s="51">
        <v>64</v>
      </c>
      <c r="F69" s="51" t="s">
        <v>65</v>
      </c>
      <c r="G69" s="51" t="s">
        <v>66</v>
      </c>
    </row>
    <row r="70" spans="1:7" ht="27" customHeight="1">
      <c r="B70" s="47" t="s">
        <v>49</v>
      </c>
      <c r="C70" s="48" t="s">
        <v>50</v>
      </c>
      <c r="D70" s="49">
        <v>89</v>
      </c>
      <c r="E70" s="49">
        <v>85</v>
      </c>
      <c r="F70" s="49" t="s">
        <v>67</v>
      </c>
      <c r="G70" s="49"/>
    </row>
    <row r="71" spans="1:7" ht="18.75" customHeight="1">
      <c r="D71" s="149">
        <f>SUM(D68:D70)</f>
        <v>268</v>
      </c>
      <c r="E71" s="149">
        <f>SUM(E68:E70)</f>
        <v>251</v>
      </c>
    </row>
    <row r="73" spans="1:7" ht="30">
      <c r="A73" s="1">
        <v>11</v>
      </c>
      <c r="B73" s="62" t="s">
        <v>39</v>
      </c>
      <c r="C73" s="63" t="s">
        <v>40</v>
      </c>
      <c r="D73" s="63" t="s">
        <v>61</v>
      </c>
      <c r="E73" s="63" t="s">
        <v>62</v>
      </c>
      <c r="F73" s="63" t="s">
        <v>68</v>
      </c>
      <c r="G73" s="64" t="s">
        <v>43</v>
      </c>
    </row>
    <row r="74" spans="1:7" ht="30" customHeight="1">
      <c r="B74" s="65" t="s">
        <v>51</v>
      </c>
      <c r="C74" s="66" t="s">
        <v>52</v>
      </c>
      <c r="D74" s="67">
        <v>36</v>
      </c>
      <c r="E74" s="67">
        <v>35</v>
      </c>
      <c r="F74" s="67" t="s">
        <v>69</v>
      </c>
      <c r="G74" s="67"/>
    </row>
    <row r="75" spans="1:7" ht="30" customHeight="1">
      <c r="B75" s="65" t="s">
        <v>53</v>
      </c>
      <c r="C75" s="68" t="s">
        <v>70</v>
      </c>
      <c r="D75" s="69">
        <v>37</v>
      </c>
      <c r="E75" s="69">
        <v>27</v>
      </c>
      <c r="F75" s="69" t="s">
        <v>71</v>
      </c>
      <c r="G75" s="69"/>
    </row>
    <row r="76" spans="1:7" ht="24.75" customHeight="1">
      <c r="D76" s="149">
        <f>SUM(D74:D75)</f>
        <v>73</v>
      </c>
      <c r="E76" s="149">
        <f>SUM(E74:E75)</f>
        <v>62</v>
      </c>
    </row>
    <row r="78" spans="1:7" ht="30">
      <c r="A78" s="1">
        <v>12</v>
      </c>
      <c r="B78" s="70" t="s">
        <v>39</v>
      </c>
      <c r="C78" s="60" t="s">
        <v>40</v>
      </c>
      <c r="D78" s="60" t="s">
        <v>61</v>
      </c>
      <c r="E78" s="60" t="s">
        <v>62</v>
      </c>
      <c r="F78" s="60" t="s">
        <v>72</v>
      </c>
      <c r="G78" s="71" t="s">
        <v>43</v>
      </c>
    </row>
    <row r="79" spans="1:7" ht="44.25" customHeight="1">
      <c r="B79" s="72" t="s">
        <v>55</v>
      </c>
      <c r="C79" s="73" t="s">
        <v>73</v>
      </c>
      <c r="D79" s="74">
        <v>24</v>
      </c>
      <c r="E79" s="74">
        <v>23</v>
      </c>
      <c r="F79" s="155" t="s">
        <v>74</v>
      </c>
      <c r="G79" s="75" t="s">
        <v>75</v>
      </c>
    </row>
    <row r="82" spans="2:7">
      <c r="B82" s="88" t="s">
        <v>76</v>
      </c>
    </row>
    <row r="84" spans="2:7" ht="15.75">
      <c r="B84" s="125" t="s">
        <v>77</v>
      </c>
      <c r="C84" s="125"/>
      <c r="D84" s="125"/>
      <c r="E84" s="125"/>
      <c r="F84" s="125"/>
      <c r="G84" s="125"/>
    </row>
    <row r="85" spans="2:7" ht="44.25" customHeight="1">
      <c r="B85" s="99" t="s">
        <v>18</v>
      </c>
      <c r="C85" s="100" t="s">
        <v>78</v>
      </c>
      <c r="D85" s="100" t="s">
        <v>79</v>
      </c>
      <c r="E85" s="100" t="s">
        <v>80</v>
      </c>
      <c r="F85" s="100" t="s">
        <v>81</v>
      </c>
      <c r="G85" s="101" t="s">
        <v>82</v>
      </c>
    </row>
    <row r="86" spans="2:7" ht="15" customHeight="1">
      <c r="B86" s="122" t="s">
        <v>83</v>
      </c>
      <c r="C86" s="102" t="s">
        <v>45</v>
      </c>
      <c r="D86" s="103" t="s">
        <v>84</v>
      </c>
      <c r="E86" s="104" t="s">
        <v>85</v>
      </c>
      <c r="F86" s="105" t="s">
        <v>86</v>
      </c>
      <c r="G86" s="106"/>
    </row>
    <row r="87" spans="2:7">
      <c r="B87" s="123"/>
      <c r="C87" s="107" t="s">
        <v>45</v>
      </c>
      <c r="D87" s="108" t="s">
        <v>87</v>
      </c>
      <c r="E87" s="109" t="s">
        <v>88</v>
      </c>
      <c r="F87" s="110" t="s">
        <v>89</v>
      </c>
      <c r="G87" s="111">
        <v>13</v>
      </c>
    </row>
    <row r="88" spans="2:7">
      <c r="B88" s="123"/>
      <c r="C88" s="107" t="s">
        <v>45</v>
      </c>
      <c r="D88" s="108" t="s">
        <v>90</v>
      </c>
      <c r="E88" s="109" t="s">
        <v>91</v>
      </c>
      <c r="F88" s="110" t="s">
        <v>92</v>
      </c>
      <c r="G88" s="111">
        <v>14</v>
      </c>
    </row>
    <row r="89" spans="2:7">
      <c r="B89" s="123"/>
      <c r="C89" s="107" t="s">
        <v>45</v>
      </c>
      <c r="D89" s="108" t="s">
        <v>93</v>
      </c>
      <c r="E89" s="109" t="s">
        <v>94</v>
      </c>
      <c r="F89" s="110" t="s">
        <v>92</v>
      </c>
      <c r="G89" s="111">
        <v>14</v>
      </c>
    </row>
    <row r="90" spans="2:7">
      <c r="B90" s="123"/>
      <c r="C90" s="107" t="s">
        <v>45</v>
      </c>
      <c r="D90" s="108" t="s">
        <v>95</v>
      </c>
      <c r="E90" s="109" t="s">
        <v>96</v>
      </c>
      <c r="F90" s="110" t="s">
        <v>97</v>
      </c>
      <c r="G90" s="111">
        <v>13</v>
      </c>
    </row>
    <row r="91" spans="2:7">
      <c r="B91" s="123"/>
      <c r="C91" s="107" t="s">
        <v>45</v>
      </c>
      <c r="D91" s="108" t="s">
        <v>98</v>
      </c>
      <c r="E91" s="109" t="s">
        <v>99</v>
      </c>
      <c r="F91" s="110" t="s">
        <v>92</v>
      </c>
      <c r="G91" s="111">
        <v>11</v>
      </c>
    </row>
    <row r="92" spans="2:7">
      <c r="B92" s="123"/>
      <c r="C92" s="107" t="s">
        <v>45</v>
      </c>
      <c r="D92" s="108" t="s">
        <v>100</v>
      </c>
      <c r="E92" s="109" t="s">
        <v>101</v>
      </c>
      <c r="F92" s="110" t="s">
        <v>97</v>
      </c>
      <c r="G92" s="111">
        <v>13</v>
      </c>
    </row>
    <row r="93" spans="2:7">
      <c r="B93" s="123"/>
      <c r="C93" s="107" t="s">
        <v>45</v>
      </c>
      <c r="D93" s="108" t="s">
        <v>102</v>
      </c>
      <c r="E93" s="109" t="s">
        <v>103</v>
      </c>
      <c r="F93" s="110" t="s">
        <v>92</v>
      </c>
      <c r="G93" s="111">
        <v>9</v>
      </c>
    </row>
    <row r="94" spans="2:7">
      <c r="B94" s="123"/>
      <c r="C94" s="107" t="s">
        <v>45</v>
      </c>
      <c r="D94" s="112" t="s">
        <v>104</v>
      </c>
      <c r="E94" s="109" t="s">
        <v>105</v>
      </c>
      <c r="F94" s="110" t="s">
        <v>106</v>
      </c>
      <c r="G94" s="111">
        <v>15</v>
      </c>
    </row>
    <row r="95" spans="2:7">
      <c r="B95" s="123"/>
      <c r="C95" s="102" t="s">
        <v>47</v>
      </c>
      <c r="D95" s="103" t="s">
        <v>107</v>
      </c>
      <c r="E95" s="104" t="s">
        <v>108</v>
      </c>
      <c r="F95" s="105" t="s">
        <v>109</v>
      </c>
      <c r="G95" s="106"/>
    </row>
    <row r="96" spans="2:7">
      <c r="B96" s="123"/>
      <c r="C96" s="107" t="s">
        <v>47</v>
      </c>
      <c r="D96" s="108" t="s">
        <v>110</v>
      </c>
      <c r="E96" s="109" t="s">
        <v>111</v>
      </c>
      <c r="F96" s="110" t="s">
        <v>106</v>
      </c>
      <c r="G96" s="111">
        <v>10</v>
      </c>
    </row>
    <row r="97" spans="1:7">
      <c r="B97" s="123"/>
      <c r="C97" s="107" t="s">
        <v>47</v>
      </c>
      <c r="D97" s="108" t="s">
        <v>112</v>
      </c>
      <c r="E97" s="109" t="s">
        <v>113</v>
      </c>
      <c r="F97" s="110" t="s">
        <v>89</v>
      </c>
      <c r="G97" s="111">
        <v>11</v>
      </c>
    </row>
    <row r="98" spans="1:7">
      <c r="B98" s="123"/>
      <c r="C98" s="107" t="s">
        <v>47</v>
      </c>
      <c r="D98" s="112" t="s">
        <v>114</v>
      </c>
      <c r="E98" s="109" t="s">
        <v>115</v>
      </c>
      <c r="F98" s="110" t="s">
        <v>89</v>
      </c>
      <c r="G98" s="111">
        <v>11</v>
      </c>
    </row>
    <row r="99" spans="1:7">
      <c r="B99" s="123"/>
      <c r="C99" s="107" t="s">
        <v>47</v>
      </c>
      <c r="D99" s="112" t="s">
        <v>116</v>
      </c>
      <c r="E99" s="109" t="s">
        <v>117</v>
      </c>
      <c r="F99" s="110" t="s">
        <v>118</v>
      </c>
      <c r="G99" s="111">
        <v>12</v>
      </c>
    </row>
    <row r="100" spans="1:7">
      <c r="B100" s="123"/>
      <c r="C100" s="107" t="s">
        <v>47</v>
      </c>
      <c r="D100" s="108" t="s">
        <v>119</v>
      </c>
      <c r="E100" s="109" t="s">
        <v>120</v>
      </c>
      <c r="F100" s="110" t="s">
        <v>89</v>
      </c>
      <c r="G100" s="111">
        <v>6</v>
      </c>
    </row>
    <row r="101" spans="1:7">
      <c r="A101" s="1">
        <v>14</v>
      </c>
      <c r="B101" s="123"/>
      <c r="C101" s="107" t="s">
        <v>47</v>
      </c>
      <c r="D101" s="108" t="s">
        <v>121</v>
      </c>
      <c r="E101" s="109" t="s">
        <v>122</v>
      </c>
      <c r="F101" s="110" t="s">
        <v>97</v>
      </c>
      <c r="G101" s="111">
        <v>14</v>
      </c>
    </row>
    <row r="102" spans="1:7">
      <c r="B102" s="123"/>
      <c r="C102" s="107"/>
      <c r="D102" s="108"/>
      <c r="E102" s="109" t="s">
        <v>123</v>
      </c>
      <c r="F102" s="110"/>
      <c r="G102" s="156">
        <v>14</v>
      </c>
    </row>
    <row r="103" spans="1:7">
      <c r="B103" s="123"/>
      <c r="C103" s="102" t="s">
        <v>49</v>
      </c>
      <c r="D103" s="103" t="s">
        <v>124</v>
      </c>
      <c r="E103" s="104" t="s">
        <v>125</v>
      </c>
      <c r="F103" s="105" t="s">
        <v>126</v>
      </c>
      <c r="G103" s="106"/>
    </row>
    <row r="104" spans="1:7">
      <c r="B104" s="123"/>
      <c r="C104" s="107" t="s">
        <v>49</v>
      </c>
      <c r="D104" s="108"/>
      <c r="E104" s="109" t="s">
        <v>108</v>
      </c>
      <c r="F104" s="110"/>
      <c r="G104" s="111">
        <v>3</v>
      </c>
    </row>
    <row r="105" spans="1:7">
      <c r="B105" s="123"/>
      <c r="C105" s="107" t="s">
        <v>49</v>
      </c>
      <c r="D105" s="108" t="s">
        <v>127</v>
      </c>
      <c r="E105" s="109" t="s">
        <v>128</v>
      </c>
      <c r="F105" s="110" t="s">
        <v>106</v>
      </c>
      <c r="G105" s="111">
        <v>14</v>
      </c>
    </row>
    <row r="106" spans="1:7">
      <c r="B106" s="123"/>
      <c r="C106" s="107" t="s">
        <v>49</v>
      </c>
      <c r="D106" s="108" t="s">
        <v>129</v>
      </c>
      <c r="E106" s="109" t="s">
        <v>130</v>
      </c>
      <c r="F106" s="110" t="s">
        <v>106</v>
      </c>
      <c r="G106" s="111">
        <v>10</v>
      </c>
    </row>
    <row r="107" spans="1:7">
      <c r="B107" s="123"/>
      <c r="C107" s="107" t="s">
        <v>49</v>
      </c>
      <c r="D107" s="108" t="s">
        <v>131</v>
      </c>
      <c r="E107" s="109" t="s">
        <v>132</v>
      </c>
      <c r="F107" s="110" t="s">
        <v>89</v>
      </c>
      <c r="G107" s="111">
        <v>11</v>
      </c>
    </row>
    <row r="108" spans="1:7">
      <c r="B108" s="123"/>
      <c r="C108" s="107" t="s">
        <v>49</v>
      </c>
      <c r="D108" s="113" t="s">
        <v>133</v>
      </c>
      <c r="E108" s="109" t="s">
        <v>134</v>
      </c>
      <c r="F108" s="110" t="s">
        <v>97</v>
      </c>
      <c r="G108" s="111">
        <v>11</v>
      </c>
    </row>
    <row r="109" spans="1:7">
      <c r="B109" s="123"/>
      <c r="C109" s="107" t="s">
        <v>49</v>
      </c>
      <c r="D109" s="113" t="s">
        <v>135</v>
      </c>
      <c r="E109" s="109" t="s">
        <v>136</v>
      </c>
      <c r="F109" s="110" t="s">
        <v>97</v>
      </c>
      <c r="G109" s="111">
        <v>11</v>
      </c>
    </row>
    <row r="110" spans="1:7">
      <c r="B110" s="123"/>
      <c r="C110" s="107" t="s">
        <v>49</v>
      </c>
      <c r="D110" s="108" t="s">
        <v>137</v>
      </c>
      <c r="E110" s="109" t="s">
        <v>138</v>
      </c>
      <c r="F110" s="110" t="s">
        <v>97</v>
      </c>
      <c r="G110" s="111">
        <v>17</v>
      </c>
    </row>
    <row r="111" spans="1:7" ht="15" customHeight="1">
      <c r="B111" s="124"/>
      <c r="C111" s="107" t="s">
        <v>49</v>
      </c>
      <c r="D111" s="113" t="s">
        <v>139</v>
      </c>
      <c r="E111" s="109" t="s">
        <v>140</v>
      </c>
      <c r="F111" s="110" t="s">
        <v>92</v>
      </c>
      <c r="G111" s="111">
        <v>8</v>
      </c>
    </row>
    <row r="112" spans="1:7" ht="21.75" customHeight="1">
      <c r="B112" s="123" t="s">
        <v>141</v>
      </c>
      <c r="C112" s="107"/>
      <c r="D112" s="113"/>
      <c r="E112" s="109"/>
      <c r="F112" s="110"/>
      <c r="G112" s="153">
        <f>SUM(G87:G111)-14</f>
        <v>251</v>
      </c>
    </row>
    <row r="113" spans="2:7" ht="15" customHeight="1">
      <c r="B113" s="122" t="s">
        <v>142</v>
      </c>
      <c r="C113" s="102" t="s">
        <v>143</v>
      </c>
      <c r="D113" s="103" t="s">
        <v>144</v>
      </c>
      <c r="E113" s="104" t="s">
        <v>145</v>
      </c>
      <c r="F113" s="105" t="s">
        <v>109</v>
      </c>
      <c r="G113" s="106"/>
    </row>
    <row r="114" spans="2:7">
      <c r="B114" s="123"/>
      <c r="C114" s="114" t="s">
        <v>51</v>
      </c>
      <c r="D114" s="112" t="s">
        <v>146</v>
      </c>
      <c r="E114" s="109" t="s">
        <v>147</v>
      </c>
      <c r="F114" s="110" t="s">
        <v>106</v>
      </c>
      <c r="G114" s="111">
        <v>5</v>
      </c>
    </row>
    <row r="115" spans="2:7">
      <c r="B115" s="123"/>
      <c r="C115" s="114" t="s">
        <v>51</v>
      </c>
      <c r="D115" s="112" t="s">
        <v>104</v>
      </c>
      <c r="E115" s="109" t="s">
        <v>148</v>
      </c>
      <c r="F115" s="110" t="s">
        <v>106</v>
      </c>
      <c r="G115" s="111">
        <v>5</v>
      </c>
    </row>
    <row r="116" spans="2:7">
      <c r="B116" s="123"/>
      <c r="C116" s="114" t="s">
        <v>51</v>
      </c>
      <c r="D116" s="112" t="s">
        <v>149</v>
      </c>
      <c r="E116" s="109" t="s">
        <v>150</v>
      </c>
      <c r="F116" s="110" t="s">
        <v>106</v>
      </c>
      <c r="G116" s="111">
        <v>0</v>
      </c>
    </row>
    <row r="117" spans="2:7">
      <c r="B117" s="123"/>
      <c r="C117" s="114" t="s">
        <v>51</v>
      </c>
      <c r="D117" s="112" t="s">
        <v>151</v>
      </c>
      <c r="E117" s="109" t="s">
        <v>152</v>
      </c>
      <c r="F117" s="110" t="s">
        <v>153</v>
      </c>
      <c r="G117" s="111">
        <v>7</v>
      </c>
    </row>
    <row r="118" spans="2:7">
      <c r="B118" s="123"/>
      <c r="C118" s="114" t="s">
        <v>51</v>
      </c>
      <c r="D118" s="112" t="s">
        <v>154</v>
      </c>
      <c r="E118" s="109" t="s">
        <v>155</v>
      </c>
      <c r="F118" s="110" t="s">
        <v>97</v>
      </c>
      <c r="G118" s="111">
        <v>9</v>
      </c>
    </row>
    <row r="119" spans="2:7">
      <c r="B119" s="123"/>
      <c r="C119" s="114" t="s">
        <v>51</v>
      </c>
      <c r="D119" s="112" t="s">
        <v>156</v>
      </c>
      <c r="E119" s="109" t="s">
        <v>157</v>
      </c>
      <c r="F119" s="110" t="s">
        <v>97</v>
      </c>
      <c r="G119" s="115">
        <v>0</v>
      </c>
    </row>
    <row r="120" spans="2:7">
      <c r="B120" s="123"/>
      <c r="C120" s="114" t="s">
        <v>51</v>
      </c>
      <c r="D120" s="112" t="s">
        <v>158</v>
      </c>
      <c r="E120" s="109" t="s">
        <v>159</v>
      </c>
      <c r="F120" s="110" t="s">
        <v>106</v>
      </c>
      <c r="G120" s="115">
        <v>9</v>
      </c>
    </row>
    <row r="121" spans="2:7">
      <c r="B121" s="123"/>
      <c r="C121" s="102" t="s">
        <v>53</v>
      </c>
      <c r="D121" s="103" t="s">
        <v>160</v>
      </c>
      <c r="E121" s="104" t="s">
        <v>161</v>
      </c>
      <c r="F121" s="105" t="s">
        <v>109</v>
      </c>
      <c r="G121" s="106"/>
    </row>
    <row r="122" spans="2:7">
      <c r="B122" s="123"/>
      <c r="C122" s="114" t="s">
        <v>53</v>
      </c>
      <c r="D122" s="112" t="s">
        <v>162</v>
      </c>
      <c r="E122" s="109" t="s">
        <v>163</v>
      </c>
      <c r="F122" s="110" t="s">
        <v>89</v>
      </c>
      <c r="G122" s="111">
        <v>2</v>
      </c>
    </row>
    <row r="123" spans="2:7">
      <c r="B123" s="123"/>
      <c r="C123" s="114" t="s">
        <v>53</v>
      </c>
      <c r="D123" s="112" t="s">
        <v>164</v>
      </c>
      <c r="E123" s="109" t="s">
        <v>165</v>
      </c>
      <c r="F123" s="110" t="s">
        <v>106</v>
      </c>
      <c r="G123" s="111">
        <v>7</v>
      </c>
    </row>
    <row r="124" spans="2:7">
      <c r="B124" s="123"/>
      <c r="C124" s="114" t="s">
        <v>53</v>
      </c>
      <c r="D124" s="112" t="s">
        <v>166</v>
      </c>
      <c r="E124" s="109" t="s">
        <v>167</v>
      </c>
      <c r="F124" s="110" t="s">
        <v>153</v>
      </c>
      <c r="G124" s="111">
        <v>7</v>
      </c>
    </row>
    <row r="125" spans="2:7">
      <c r="B125" s="123"/>
      <c r="C125" s="114" t="s">
        <v>53</v>
      </c>
      <c r="D125" s="112" t="s">
        <v>168</v>
      </c>
      <c r="E125" s="109" t="s">
        <v>169</v>
      </c>
      <c r="F125" s="110" t="s">
        <v>106</v>
      </c>
      <c r="G125" s="111">
        <v>3</v>
      </c>
    </row>
    <row r="126" spans="2:7">
      <c r="B126" s="123"/>
      <c r="C126" s="114" t="s">
        <v>53</v>
      </c>
      <c r="D126" s="112" t="s">
        <v>170</v>
      </c>
      <c r="E126" s="109" t="s">
        <v>171</v>
      </c>
      <c r="F126" s="110" t="s">
        <v>92</v>
      </c>
      <c r="G126" s="111">
        <v>8</v>
      </c>
    </row>
    <row r="127" spans="2:7" ht="15" customHeight="1">
      <c r="B127" s="124"/>
      <c r="C127" s="114" t="s">
        <v>53</v>
      </c>
      <c r="D127" s="112" t="s">
        <v>172</v>
      </c>
      <c r="E127" s="109" t="s">
        <v>173</v>
      </c>
      <c r="F127" s="110" t="s">
        <v>153</v>
      </c>
      <c r="G127" s="111">
        <v>0</v>
      </c>
    </row>
    <row r="128" spans="2:7" ht="15" customHeight="1">
      <c r="B128" s="123" t="s">
        <v>174</v>
      </c>
      <c r="C128" s="114"/>
      <c r="D128" s="112"/>
      <c r="E128" s="109"/>
      <c r="F128" s="110"/>
      <c r="G128" s="154">
        <f>SUM(G114:G127)</f>
        <v>62</v>
      </c>
    </row>
    <row r="129" spans="2:8" ht="65.25" customHeight="1">
      <c r="B129" s="127" t="s">
        <v>175</v>
      </c>
      <c r="C129" s="102" t="s">
        <v>176</v>
      </c>
      <c r="D129" s="103" t="s">
        <v>177</v>
      </c>
      <c r="E129" s="104" t="s">
        <v>178</v>
      </c>
      <c r="F129" s="105" t="s">
        <v>109</v>
      </c>
      <c r="G129" s="106"/>
    </row>
    <row r="130" spans="2:8" ht="26.25" customHeight="1">
      <c r="B130" s="128"/>
      <c r="C130" s="114" t="s">
        <v>55</v>
      </c>
      <c r="D130" s="112" t="s">
        <v>179</v>
      </c>
      <c r="E130" s="109" t="s">
        <v>180</v>
      </c>
      <c r="F130" s="110" t="s">
        <v>92</v>
      </c>
      <c r="G130" s="111">
        <v>1</v>
      </c>
    </row>
    <row r="131" spans="2:8">
      <c r="B131" s="128"/>
      <c r="C131" s="114" t="s">
        <v>55</v>
      </c>
      <c r="D131" s="112" t="s">
        <v>181</v>
      </c>
      <c r="E131" s="109" t="s">
        <v>182</v>
      </c>
      <c r="F131" s="110" t="s">
        <v>89</v>
      </c>
      <c r="G131" s="111">
        <v>3</v>
      </c>
    </row>
    <row r="132" spans="2:8">
      <c r="B132" s="128"/>
      <c r="C132" s="114" t="s">
        <v>55</v>
      </c>
      <c r="D132" s="112" t="s">
        <v>183</v>
      </c>
      <c r="E132" s="109" t="s">
        <v>123</v>
      </c>
      <c r="F132" s="110" t="s">
        <v>92</v>
      </c>
      <c r="G132" s="111">
        <v>6</v>
      </c>
    </row>
    <row r="133" spans="2:8">
      <c r="B133" s="128"/>
      <c r="C133" s="114" t="s">
        <v>55</v>
      </c>
      <c r="D133" s="112" t="s">
        <v>184</v>
      </c>
      <c r="E133" s="109" t="s">
        <v>185</v>
      </c>
      <c r="F133" s="110" t="s">
        <v>89</v>
      </c>
      <c r="G133" s="111">
        <v>3</v>
      </c>
    </row>
    <row r="134" spans="2:8">
      <c r="B134" s="128"/>
      <c r="C134" s="114" t="s">
        <v>55</v>
      </c>
      <c r="D134" s="113" t="s">
        <v>186</v>
      </c>
      <c r="E134" s="109" t="s">
        <v>187</v>
      </c>
      <c r="F134" s="110" t="s">
        <v>97</v>
      </c>
      <c r="G134" s="111">
        <v>2</v>
      </c>
    </row>
    <row r="135" spans="2:8">
      <c r="B135" s="128"/>
      <c r="C135" s="114" t="s">
        <v>55</v>
      </c>
      <c r="D135" s="113" t="s">
        <v>188</v>
      </c>
      <c r="E135" s="109" t="s">
        <v>189</v>
      </c>
      <c r="F135" s="110" t="s">
        <v>92</v>
      </c>
      <c r="G135" s="111">
        <v>4</v>
      </c>
    </row>
    <row r="136" spans="2:8">
      <c r="B136" s="128"/>
      <c r="C136" s="112" t="s">
        <v>55</v>
      </c>
      <c r="D136" s="112" t="s">
        <v>190</v>
      </c>
      <c r="E136" s="167" t="s">
        <v>191</v>
      </c>
      <c r="F136" s="168" t="s">
        <v>89</v>
      </c>
      <c r="G136" s="169">
        <v>4</v>
      </c>
    </row>
    <row r="137" spans="2:8">
      <c r="B137" s="160"/>
      <c r="C137" s="161" t="s">
        <v>55</v>
      </c>
      <c r="D137" s="161" t="s">
        <v>192</v>
      </c>
      <c r="E137" s="162" t="s">
        <v>193</v>
      </c>
      <c r="F137" s="163" t="s">
        <v>118</v>
      </c>
      <c r="G137" s="164">
        <v>0</v>
      </c>
    </row>
    <row r="138" spans="2:8" ht="15.75">
      <c r="B138" s="165" t="s">
        <v>174</v>
      </c>
      <c r="C138" s="161"/>
      <c r="D138" s="161"/>
      <c r="E138" s="162"/>
      <c r="F138" s="163"/>
      <c r="G138" s="166">
        <f>SUM(G130:G137)</f>
        <v>23</v>
      </c>
      <c r="H138" s="93">
        <f>SUM(G112+G128+G138)</f>
        <v>336</v>
      </c>
    </row>
    <row r="141" spans="2:8" ht="15.75">
      <c r="B141" s="2"/>
      <c r="H141" s="2"/>
    </row>
    <row r="142" spans="2:8" ht="15.75">
      <c r="B142" s="2" t="s">
        <v>194</v>
      </c>
    </row>
    <row r="143" spans="2:8" ht="27" customHeight="1">
      <c r="H143" s="2"/>
    </row>
    <row r="144" spans="2:8" ht="27" customHeight="1">
      <c r="B144" s="76"/>
      <c r="C144" s="94" t="s">
        <v>195</v>
      </c>
      <c r="D144" s="94"/>
      <c r="H144" s="2"/>
    </row>
    <row r="145" spans="2:9" ht="36" customHeight="1">
      <c r="B145" s="77"/>
      <c r="C145" s="78" t="s">
        <v>196</v>
      </c>
      <c r="D145" s="78" t="s">
        <v>197</v>
      </c>
      <c r="H145" s="2"/>
    </row>
    <row r="146" spans="2:9" ht="36" customHeight="1">
      <c r="B146" s="132" t="s">
        <v>2</v>
      </c>
      <c r="C146" s="131"/>
      <c r="D146" s="131"/>
      <c r="H146" s="2"/>
    </row>
    <row r="147" spans="2:9" ht="36" customHeight="1">
      <c r="B147" s="173" t="s">
        <v>3</v>
      </c>
      <c r="C147" s="95" t="s">
        <v>198</v>
      </c>
      <c r="D147" s="157" t="s">
        <v>199</v>
      </c>
      <c r="H147" s="2"/>
    </row>
    <row r="148" spans="2:9" ht="36" customHeight="1">
      <c r="B148" s="174"/>
      <c r="C148" s="96" t="s">
        <v>200</v>
      </c>
      <c r="D148" s="158" t="s">
        <v>201</v>
      </c>
      <c r="H148" s="2"/>
    </row>
    <row r="149" spans="2:9" ht="36" customHeight="1">
      <c r="B149" s="174"/>
      <c r="C149" s="96" t="s">
        <v>202</v>
      </c>
      <c r="D149" s="158" t="s">
        <v>203</v>
      </c>
      <c r="H149" s="2"/>
    </row>
    <row r="150" spans="2:9" ht="36" customHeight="1">
      <c r="B150" s="79" t="s">
        <v>4</v>
      </c>
      <c r="C150" s="159" t="s">
        <v>204</v>
      </c>
      <c r="D150" s="121" t="s">
        <v>205</v>
      </c>
      <c r="H150" s="2"/>
    </row>
    <row r="151" spans="2:9" ht="28.5" customHeight="1">
      <c r="B151" s="80" t="s">
        <v>7</v>
      </c>
      <c r="C151" s="80"/>
      <c r="D151" s="80"/>
    </row>
    <row r="152" spans="2:9" ht="17.25" customHeight="1">
      <c r="B152" s="170"/>
      <c r="C152" s="170"/>
      <c r="D152" s="170"/>
    </row>
    <row r="153" spans="2:9" ht="17.25" customHeight="1">
      <c r="B153" s="170"/>
      <c r="C153" s="170"/>
      <c r="D153" s="170"/>
    </row>
    <row r="155" spans="2:9">
      <c r="B155" s="84" t="s">
        <v>206</v>
      </c>
      <c r="E155" s="84" t="s">
        <v>206</v>
      </c>
      <c r="H155" s="84" t="s">
        <v>206</v>
      </c>
    </row>
    <row r="157" spans="2:9" ht="17.25">
      <c r="B157" s="129" t="s">
        <v>207</v>
      </c>
      <c r="C157" s="130" t="s">
        <v>2</v>
      </c>
      <c r="E157" s="90" t="s">
        <v>207</v>
      </c>
      <c r="F157" s="91" t="s">
        <v>3</v>
      </c>
      <c r="H157" s="129" t="s">
        <v>207</v>
      </c>
      <c r="I157" s="130" t="s">
        <v>4</v>
      </c>
    </row>
    <row r="158" spans="2:9" ht="18.75">
      <c r="B158" s="82" t="s">
        <v>208</v>
      </c>
      <c r="C158" s="83">
        <v>240</v>
      </c>
      <c r="E158" s="82" t="s">
        <v>208</v>
      </c>
      <c r="F158" s="83">
        <v>58</v>
      </c>
      <c r="H158" s="82" t="s">
        <v>208</v>
      </c>
      <c r="I158" s="83">
        <v>22</v>
      </c>
    </row>
    <row r="159" spans="2:9" ht="18.75">
      <c r="B159" s="82" t="s">
        <v>209</v>
      </c>
      <c r="C159" s="83">
        <v>14</v>
      </c>
      <c r="E159" s="116" t="s">
        <v>210</v>
      </c>
      <c r="F159" s="117">
        <v>0</v>
      </c>
      <c r="H159" s="82" t="s">
        <v>209</v>
      </c>
      <c r="I159" s="117">
        <v>0</v>
      </c>
    </row>
    <row r="160" spans="2:9" ht="18.75">
      <c r="B160" s="82" t="s">
        <v>211</v>
      </c>
      <c r="C160" s="83">
        <v>10</v>
      </c>
      <c r="E160" s="82" t="s">
        <v>211</v>
      </c>
      <c r="F160" s="83">
        <v>3</v>
      </c>
      <c r="H160" s="82" t="s">
        <v>211</v>
      </c>
      <c r="I160" s="83">
        <v>1</v>
      </c>
    </row>
    <row r="161" spans="2:9" ht="18.75">
      <c r="B161" s="82" t="s">
        <v>212</v>
      </c>
      <c r="C161" s="83">
        <v>0</v>
      </c>
      <c r="E161" s="116" t="s">
        <v>213</v>
      </c>
      <c r="F161" s="117">
        <v>0</v>
      </c>
      <c r="H161" s="82" t="s">
        <v>212</v>
      </c>
      <c r="I161" s="117">
        <v>0</v>
      </c>
    </row>
    <row r="162" spans="2:9" ht="18.75">
      <c r="B162" s="82" t="s">
        <v>214</v>
      </c>
      <c r="C162" s="83">
        <v>0</v>
      </c>
      <c r="E162" s="82" t="s">
        <v>214</v>
      </c>
      <c r="F162" s="83">
        <v>0</v>
      </c>
      <c r="H162" s="82" t="s">
        <v>214</v>
      </c>
      <c r="I162" s="117">
        <v>0</v>
      </c>
    </row>
    <row r="163" spans="2:9" ht="18.75">
      <c r="B163" s="82" t="s">
        <v>215</v>
      </c>
      <c r="C163" s="83">
        <v>1</v>
      </c>
      <c r="E163" s="116" t="s">
        <v>216</v>
      </c>
      <c r="F163" s="117">
        <v>1</v>
      </c>
      <c r="H163" s="82" t="s">
        <v>215</v>
      </c>
      <c r="I163" s="117">
        <v>0</v>
      </c>
    </row>
    <row r="164" spans="2:9" ht="18.75">
      <c r="B164" s="82" t="s">
        <v>217</v>
      </c>
      <c r="C164" s="83">
        <f>SUM(C158:C163)</f>
        <v>265</v>
      </c>
      <c r="E164" s="82" t="s">
        <v>217</v>
      </c>
      <c r="F164" s="83">
        <f>SUM(F158:F163)</f>
        <v>62</v>
      </c>
      <c r="H164" s="82" t="s">
        <v>217</v>
      </c>
      <c r="I164" s="83">
        <f>SUM(I158:I163)</f>
        <v>23</v>
      </c>
    </row>
    <row r="165" spans="2:9">
      <c r="H165" s="20" t="s">
        <v>218</v>
      </c>
    </row>
  </sheetData>
  <mergeCells count="7">
    <mergeCell ref="B147:B149"/>
    <mergeCell ref="B4:C4"/>
    <mergeCell ref="B11:C11"/>
    <mergeCell ref="B20:K20"/>
    <mergeCell ref="C21:E21"/>
    <mergeCell ref="F21:H21"/>
    <mergeCell ref="I21:K21"/>
  </mergeCells>
  <conditionalFormatting sqref="A101:A102 A6 A13 A20 A29 A35 A43 A50 A56 A61 A67 A73 A78">
    <cfRule type="iconSet" priority="3">
      <iconSet iconSet="3Symbols2" showValue="0">
        <cfvo type="percent" val="0"/>
        <cfvo type="num" val="0"/>
        <cfvo type="num" val="0"/>
      </iconSet>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63A6AE8B7E4A2449C903AFD2456BD74" ma:contentTypeVersion="4" ma:contentTypeDescription="Crear nuevo documento." ma:contentTypeScope="" ma:versionID="ddec260070336827ee8c328f02272273">
  <xsd:schema xmlns:xsd="http://www.w3.org/2001/XMLSchema" xmlns:xs="http://www.w3.org/2001/XMLSchema" xmlns:p="http://schemas.microsoft.com/office/2006/metadata/properties" xmlns:ns2="c4795172-acc8-41fc-abdb-af5ed44f61af" targetNamespace="http://schemas.microsoft.com/office/2006/metadata/properties" ma:root="true" ma:fieldsID="590a657cbc5fcb450edb0ba38c295f5b" ns2:_="">
    <xsd:import namespace="c4795172-acc8-41fc-abdb-af5ed44f61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795172-acc8-41fc-abdb-af5ed44f61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5B830D8-62A0-47CE-8C06-2E280D1114D9}"/>
</file>

<file path=customXml/itemProps2.xml><?xml version="1.0" encoding="utf-8"?>
<ds:datastoreItem xmlns:ds="http://schemas.openxmlformats.org/officeDocument/2006/customXml" ds:itemID="{9C8F7AD4-07B5-412B-8182-0197CBA7DF87}"/>
</file>

<file path=customXml/itemProps3.xml><?xml version="1.0" encoding="utf-8"?>
<ds:datastoreItem xmlns:ds="http://schemas.openxmlformats.org/officeDocument/2006/customXml" ds:itemID="{2A858AEC-F1AD-4D26-86F9-F9C1A74AAE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Gonzales Estrada Sara Stephany</dc:creator>
  <cp:keywords/>
  <dc:description/>
  <cp:lastModifiedBy>Cortez Quispe Linda</cp:lastModifiedBy>
  <cp:revision/>
  <dcterms:created xsi:type="dcterms:W3CDTF">2024-01-03T15:06:50Z</dcterms:created>
  <dcterms:modified xsi:type="dcterms:W3CDTF">2024-08-12T07:32:38Z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0x010100863A6AE8B7E4A2449C903AFD2456BD74</vt:lpwstr>
  </property>
</Properties>
</file>