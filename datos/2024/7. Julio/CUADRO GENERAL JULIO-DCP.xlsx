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defaultThemeVersion="166925"/>
  <mc:AlternateContent xmlns:mc="http://schemas.openxmlformats.org/markup-compatibility/2006">
    <mc:Choice Requires="x15">
      <x15ac:absPath xmlns:x15ac="http://schemas.microsoft.com/office/spreadsheetml/2010/11/ac" url="D:\DATA\data\DATA\División de Controversias\PROGRAMACIÓN DE CASOS Y PRODUCCIÓN\2024\JULIO\"/>
    </mc:Choice>
  </mc:AlternateContent>
  <xr:revisionPtr revIDLastSave="2" documentId="13_ncr:1_{5BF4556F-2E58-4808-BD78-7689C25FBAF1}" xr6:coauthVersionLast="47" xr6:coauthVersionMax="47" xr10:uidLastSave="{61C5E57E-7EEB-4093-B04E-586E444E778D}"/>
  <bookViews>
    <workbookView xWindow="-110" yWindow="-110" windowWidth="19420" windowHeight="10420" xr2:uid="{2EFA1358-0385-4213-83A5-14E931E4CB47}"/>
  </bookViews>
  <sheets>
    <sheet name="DC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6" i="1" l="1"/>
  <c r="G146" i="1"/>
  <c r="C24" i="1"/>
</calcChain>
</file>

<file path=xl/sharedStrings.xml><?xml version="1.0" encoding="utf-8"?>
<sst xmlns="http://schemas.openxmlformats.org/spreadsheetml/2006/main" count="356" uniqueCount="203">
  <si>
    <t>COMITÉ INI</t>
  </si>
  <si>
    <t>STOCK DE DOCUMENTOS</t>
  </si>
  <si>
    <t>DCP</t>
  </si>
  <si>
    <t>FONDO DCP (INCA + IAMC)</t>
  </si>
  <si>
    <t>ADMISIBILIDAD</t>
  </si>
  <si>
    <t>TOTAL</t>
  </si>
  <si>
    <t xml:space="preserve">PRODUCTIVIDAD RECLAMOS </t>
  </si>
  <si>
    <t>DIVISIÓN DE CONTROL CONCURRENTE-I</t>
  </si>
  <si>
    <t>JULIO</t>
  </si>
  <si>
    <t>Reclamos resueltos</t>
  </si>
  <si>
    <t>Resolutor</t>
  </si>
  <si>
    <t>Producción Promedio</t>
  </si>
  <si>
    <t>DIVISIÓN DE CONTROL CONCURRENTE-II</t>
  </si>
  <si>
    <t>DIVISIÓN DE CONTROL POSTERIOR</t>
  </si>
  <si>
    <t>(*)</t>
  </si>
  <si>
    <t>(*) Se resolvieron reclamos de origen INCA (10 casos)  por un monto de 915 mil soles y 14 casos de DCCI</t>
  </si>
  <si>
    <t>PRODUCTIVIDAD (LABORES ADICIONALES)</t>
  </si>
  <si>
    <t>PRODUCCIÓN</t>
  </si>
  <si>
    <t>UUOO</t>
  </si>
  <si>
    <t>DCCI</t>
  </si>
  <si>
    <t>DCCII</t>
  </si>
  <si>
    <t>MATERIA</t>
  </si>
  <si>
    <t>FONDO</t>
  </si>
  <si>
    <t>MEJORA RD</t>
  </si>
  <si>
    <t>MEJORA LC</t>
  </si>
  <si>
    <t xml:space="preserve">MEJORA </t>
  </si>
  <si>
    <t>ADMISIBILIDAD APELACIÓN</t>
  </si>
  <si>
    <t xml:space="preserve">PRODUCTO RESUELTO </t>
  </si>
  <si>
    <t>RESOLUTOR (EJEMPLO)</t>
  </si>
  <si>
    <t>PRODUCCIÓN PROMEDIO (EJEMPLO)</t>
  </si>
  <si>
    <t>PROGRAMACIÓN-AGOSTO 2024</t>
  </si>
  <si>
    <t>STOCK VENCIDOS</t>
  </si>
  <si>
    <t>VENCIDO +9 MESES</t>
  </si>
  <si>
    <t>9 MESES</t>
  </si>
  <si>
    <t>8 MESES</t>
  </si>
  <si>
    <t>7 MESES</t>
  </si>
  <si>
    <t>NO GESTIONABLE Y REINGRESADOS</t>
  </si>
  <si>
    <t>DCCI/DCCII/DCP</t>
  </si>
  <si>
    <t>NO GESTIONABLE</t>
  </si>
  <si>
    <t xml:space="preserve">REINGRESADOS </t>
  </si>
  <si>
    <t>(*) Incluye dos casos origen DCCI.</t>
  </si>
  <si>
    <t>PRODUCTIVIDAD POR SUPERVISIÓN</t>
  </si>
  <si>
    <t>Supervisión</t>
  </si>
  <si>
    <t>Nombre y apellido</t>
  </si>
  <si>
    <t>Resolución aplicada</t>
  </si>
  <si>
    <t>Resolutor efectivo</t>
  </si>
  <si>
    <t>Complejidad</t>
  </si>
  <si>
    <t>Producción promedio</t>
  </si>
  <si>
    <t>7U7101</t>
  </si>
  <si>
    <t>Roberto Vera Tudela</t>
  </si>
  <si>
    <t>7U7102</t>
  </si>
  <si>
    <t>Vanesa Chávez</t>
  </si>
  <si>
    <t>7U7103</t>
  </si>
  <si>
    <t>Angelita Santillan</t>
  </si>
  <si>
    <t>7U7201</t>
  </si>
  <si>
    <t>Yessenia Salcedo</t>
  </si>
  <si>
    <t>7U7202</t>
  </si>
  <si>
    <t>Allison Castro</t>
  </si>
  <si>
    <t>7U7301</t>
  </si>
  <si>
    <t xml:space="preserve">Cynthia Sánchez Ferrer </t>
  </si>
  <si>
    <t>23 Resoluciones(*)</t>
  </si>
  <si>
    <t>Muy Alta 3
Alta 10
Media 2</t>
  </si>
  <si>
    <t>(*) Incluye 14 casos orginen DCCI.</t>
  </si>
  <si>
    <t>PROYECTADO Y NO APLICADO</t>
  </si>
  <si>
    <t xml:space="preserve">Resolución proyectada </t>
  </si>
  <si>
    <r>
      <t>Resolución</t>
    </r>
    <r>
      <rPr>
        <b/>
        <u/>
        <sz val="10"/>
        <color rgb="FFFFFFFF"/>
        <rFont val="Calibri Light"/>
        <family val="2"/>
        <scheme val="major"/>
      </rPr>
      <t xml:space="preserve"> </t>
    </r>
    <r>
      <rPr>
        <b/>
        <sz val="10"/>
        <color rgb="FFFFFFFF"/>
        <rFont val="Calibri Light"/>
        <family val="2"/>
        <scheme val="major"/>
      </rPr>
      <t>aplicada</t>
    </r>
    <r>
      <rPr>
        <b/>
        <u/>
        <sz val="10"/>
        <color rgb="FFFFFFFF"/>
        <rFont val="Calibri Light"/>
        <family val="2"/>
        <scheme val="major"/>
      </rPr>
      <t xml:space="preserve"> </t>
    </r>
  </si>
  <si>
    <t xml:space="preserve">Motivo </t>
  </si>
  <si>
    <t xml:space="preserve">      Motivo</t>
  </si>
  <si>
    <t>Motivo</t>
  </si>
  <si>
    <t>Cynthia Sánchez Ferrer</t>
  </si>
  <si>
    <t xml:space="preserve">I-980806 </t>
  </si>
  <si>
    <t>Se generó ticket en virtud a que de la acumulación de 03 expedientes SIGERI el sistema no actualiza los intereses de los Expedientes acumulados, solamente actualiza intereses del SIGERI básico. Solución de este problema es fundamental dado que impacta en todas los casos que se acumulen exp. SIGERI, que involucren un valor nativo</t>
  </si>
  <si>
    <t>EQUIPO SIGERI</t>
  </si>
  <si>
    <t>PRODUCCIÓN POR RESOLUTOR</t>
  </si>
  <si>
    <t>SUPERVISIONES</t>
  </si>
  <si>
    <t>REGISTRO</t>
  </si>
  <si>
    <t xml:space="preserve">FUNCIONARIO </t>
  </si>
  <si>
    <t>CARGO</t>
  </si>
  <si>
    <t>PRODUCCIÓN  MENSUAL</t>
  </si>
  <si>
    <t>7U7100 DIVISION DE CONTROL CONCURRENTE I</t>
  </si>
  <si>
    <t>5877</t>
  </si>
  <si>
    <t>Roberto Vera Tudela Gallesi</t>
  </si>
  <si>
    <t>Supervisor 2</t>
  </si>
  <si>
    <t>2900</t>
  </si>
  <si>
    <t>Carolina Cavero Carrion</t>
  </si>
  <si>
    <t>Especialista 4</t>
  </si>
  <si>
    <t>4469</t>
  </si>
  <si>
    <t>Maria Hurtado Custodio</t>
  </si>
  <si>
    <t>Especialista 5</t>
  </si>
  <si>
    <t>5534</t>
  </si>
  <si>
    <t>Celso Sanchez Garrido</t>
  </si>
  <si>
    <t>3284</t>
  </si>
  <si>
    <t>Ana Diaz Jurado</t>
  </si>
  <si>
    <t>Especialista 2</t>
  </si>
  <si>
    <t>3085</t>
  </si>
  <si>
    <t>Edgar Cosio Jara</t>
  </si>
  <si>
    <t>8351</t>
  </si>
  <si>
    <t>Debra Araoz Laines</t>
  </si>
  <si>
    <t>5565</t>
  </si>
  <si>
    <t>Victoria Santa Cruz Martinez</t>
  </si>
  <si>
    <t>4644</t>
  </si>
  <si>
    <t>Cesar Linares Alcantara</t>
  </si>
  <si>
    <t>Especialista 3</t>
  </si>
  <si>
    <t>7580</t>
  </si>
  <si>
    <t>Vanesa Chavez Silva</t>
  </si>
  <si>
    <t>2968</t>
  </si>
  <si>
    <t>Maria Chire Tunque</t>
  </si>
  <si>
    <t>4949</t>
  </si>
  <si>
    <t>Javier Oyarse Cruz</t>
  </si>
  <si>
    <t>4504</t>
  </si>
  <si>
    <t xml:space="preserve">Hugo Jimenez Suclla </t>
  </si>
  <si>
    <t>8319</t>
  </si>
  <si>
    <t>Carla Vilcapaza Amaro</t>
  </si>
  <si>
    <t>Especialista 1</t>
  </si>
  <si>
    <t>3977</t>
  </si>
  <si>
    <t>William Godoy Escalante</t>
  </si>
  <si>
    <t>7324</t>
  </si>
  <si>
    <t>Zaira Carbajal Jara</t>
  </si>
  <si>
    <t>5569</t>
  </si>
  <si>
    <t>Gladys Santillan Valdivia</t>
  </si>
  <si>
    <t>Supervisor 3</t>
  </si>
  <si>
    <t>7625</t>
  </si>
  <si>
    <t>Teresita Quezada Villar</t>
  </si>
  <si>
    <t>7330</t>
  </si>
  <si>
    <t>Tania Rosales Ochoa</t>
  </si>
  <si>
    <t>4770</t>
  </si>
  <si>
    <t>Maritza Mollinedo Catunta</t>
  </si>
  <si>
    <t>2858</t>
  </si>
  <si>
    <t>Julio Castañeda Calderon</t>
  </si>
  <si>
    <t>7611</t>
  </si>
  <si>
    <t>Azhir Sandoval Guevara</t>
  </si>
  <si>
    <t>7661</t>
  </si>
  <si>
    <t>Luis Cordova Meza</t>
  </si>
  <si>
    <t>7674</t>
  </si>
  <si>
    <t>Andres Angulo Farfan</t>
  </si>
  <si>
    <t>5556</t>
  </si>
  <si>
    <t>Jorge Sanchez Torres</t>
  </si>
  <si>
    <t>7U7200 DIVISION DE CONTROL CONCURRENTE II</t>
  </si>
  <si>
    <t xml:space="preserve">7U7201 </t>
  </si>
  <si>
    <t>7587</t>
  </si>
  <si>
    <t>Yessenia Salcedo Diaz</t>
  </si>
  <si>
    <t>7342</t>
  </si>
  <si>
    <t>Juan Cuya Velarde</t>
  </si>
  <si>
    <t>Carlos Malaga Portocarrero</t>
  </si>
  <si>
    <t>4569</t>
  </si>
  <si>
    <t xml:space="preserve">Jose Linarez Amacifuen </t>
  </si>
  <si>
    <t>AO21</t>
  </si>
  <si>
    <t>Renierd Rios Gomez</t>
  </si>
  <si>
    <t>CAS</t>
  </si>
  <si>
    <t>7211</t>
  </si>
  <si>
    <t>Roberto Rivarola Hidalgo</t>
  </si>
  <si>
    <t>7624</t>
  </si>
  <si>
    <t>Poul Valdivia Charca</t>
  </si>
  <si>
    <t>5844</t>
  </si>
  <si>
    <t>Richard Vela Nuñez</t>
  </si>
  <si>
    <t>7575</t>
  </si>
  <si>
    <t xml:space="preserve">Allison Castro </t>
  </si>
  <si>
    <t>2423</t>
  </si>
  <si>
    <t>Cecilia Acosta Salazar</t>
  </si>
  <si>
    <t>7326</t>
  </si>
  <si>
    <t>Lydia Arestegui Pereyra</t>
  </si>
  <si>
    <t>AT75</t>
  </si>
  <si>
    <t>Victoria Flores Alvitez</t>
  </si>
  <si>
    <t>7151</t>
  </si>
  <si>
    <t>Lourdes Pretel Noblecilla</t>
  </si>
  <si>
    <t>5749</t>
  </si>
  <si>
    <t>Wilder Ulloa Ascencio</t>
  </si>
  <si>
    <t>AX34</t>
  </si>
  <si>
    <t>Enrique Villanueva Hurtado</t>
  </si>
  <si>
    <t>7U7300 DIVISION DE CONTROL POSTERIOR</t>
  </si>
  <si>
    <t xml:space="preserve">7U7301 </t>
  </si>
  <si>
    <t>2834</t>
  </si>
  <si>
    <t xml:space="preserve">Ellsworth Carpio Charres </t>
  </si>
  <si>
    <t>2694</t>
  </si>
  <si>
    <t>Gustavo Bernuy Nuñez</t>
  </si>
  <si>
    <t>4700</t>
  </si>
  <si>
    <t>Carlos Mauro Sampen</t>
  </si>
  <si>
    <t>5730</t>
  </si>
  <si>
    <t>Marco Tregear Jimenez</t>
  </si>
  <si>
    <t>7660</t>
  </si>
  <si>
    <t>Marco Fournier Castillo</t>
  </si>
  <si>
    <t>7148</t>
  </si>
  <si>
    <t>Jesus Garcia Rodriguez</t>
  </si>
  <si>
    <t>4594</t>
  </si>
  <si>
    <t>Carlos Lopez Cornelio</t>
  </si>
  <si>
    <t>4990</t>
  </si>
  <si>
    <t xml:space="preserve">Cecilia Pantoja Urizar Garfias </t>
  </si>
  <si>
    <t>ITOP REPORTADOS-JULIO 2024</t>
  </si>
  <si>
    <t>N° ITOP</t>
  </si>
  <si>
    <t> ASUNTO</t>
  </si>
  <si>
    <t xml:space="preserve"> </t>
  </si>
  <si>
    <t xml:space="preserve">I-980806 
I-985541
 I-902560 
</t>
  </si>
  <si>
    <r>
      <rPr>
        <b/>
        <sz val="8"/>
        <color rgb="FF000000"/>
        <rFont val="Calibri Light"/>
        <family val="2"/>
        <scheme val="major"/>
      </rPr>
      <t>I-980806</t>
    </r>
    <r>
      <rPr>
        <sz val="8"/>
        <color rgb="FF000000"/>
        <rFont val="Calibri Light"/>
        <family val="2"/>
        <scheme val="major"/>
      </rPr>
      <t xml:space="preserve">: Se generó ticket en virtud a que de la acumulación de 03 expedientes SIGERI el sistema no actualiza los intereses de los Expedientes acumulados, solamente actualiza intereses del SIGERI básico. 
</t>
    </r>
    <r>
      <rPr>
        <b/>
        <sz val="8"/>
        <color rgb="FF000000"/>
        <rFont val="Calibri Light"/>
        <family val="2"/>
        <scheme val="major"/>
      </rPr>
      <t>I-985541:</t>
    </r>
    <r>
      <rPr>
        <sz val="8"/>
        <color rgb="FF000000"/>
        <rFont val="Calibri Light"/>
        <family val="2"/>
        <scheme val="major"/>
      </rPr>
      <t xml:space="preserve"> Actualización de resultados de L/Cs.
</t>
    </r>
    <r>
      <rPr>
        <b/>
        <sz val="8"/>
        <color rgb="FF000000"/>
        <rFont val="Calibri Light"/>
        <family val="2"/>
        <scheme val="major"/>
      </rPr>
      <t xml:space="preserve"> I-902560:</t>
    </r>
    <r>
      <rPr>
        <sz val="8"/>
        <color rgb="FF000000"/>
        <rFont val="Calibri Light"/>
        <family val="2"/>
        <scheme val="major"/>
      </rPr>
      <t xml:space="preserve">
 Se solicitó verificar pago anulado en el RSIRAT al momento de calificar valor.</t>
    </r>
  </si>
  <si>
    <t>RESULTADOS DE RECLAMO</t>
  </si>
  <si>
    <t>ESTADO</t>
  </si>
  <si>
    <t>Total</t>
  </si>
  <si>
    <t>Infundado</t>
  </si>
  <si>
    <t>Fundado/F.P</t>
  </si>
  <si>
    <t>Nulidad</t>
  </si>
  <si>
    <t>Improcedente</t>
  </si>
  <si>
    <t>Desistimiento</t>
  </si>
  <si>
    <t>Otros</t>
  </si>
  <si>
    <t>(*) Incluye 14 casos origen DCCI.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</si>
</sst>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Light"/>
      <family val="2"/>
      <scheme val="major"/>
    </font>
    <font>
      <b/>
      <sz val="12"/>
      <color theme="1"/>
      <name val="Calibri Light"/>
      <family val="2"/>
      <scheme val="major"/>
    </font>
    <font>
      <b/>
      <sz val="10"/>
      <color rgb="FF000000"/>
      <name val="Calibri Light"/>
      <family val="2"/>
      <scheme val="major"/>
    </font>
    <font>
      <sz val="10"/>
      <color rgb="FF000000"/>
      <name val="Calibri Light"/>
      <family val="2"/>
      <scheme val="major"/>
    </font>
    <font>
      <sz val="10"/>
      <color theme="1"/>
      <name val="Calibri Light"/>
      <family val="2"/>
      <scheme val="major"/>
    </font>
    <font>
      <b/>
      <sz val="10"/>
      <color rgb="FFFFFFFF"/>
      <name val="Calibri Light"/>
      <family val="2"/>
      <scheme val="major"/>
    </font>
    <font>
      <b/>
      <sz val="10"/>
      <color theme="1"/>
      <name val="Calibri Light"/>
      <family val="2"/>
      <scheme val="major"/>
    </font>
    <font>
      <sz val="10"/>
      <name val="Calibri Light"/>
      <family val="2"/>
      <scheme val="major"/>
    </font>
    <font>
      <b/>
      <sz val="10"/>
      <color theme="0"/>
      <name val="Calibri Light"/>
      <family val="2"/>
      <scheme val="major"/>
    </font>
    <font>
      <b/>
      <sz val="10"/>
      <color rgb="FF833C0C"/>
      <name val="Calibri Light"/>
      <family val="2"/>
      <scheme val="major"/>
    </font>
    <font>
      <b/>
      <u/>
      <sz val="10"/>
      <color rgb="FFFFFFFF"/>
      <name val="Calibri Light"/>
      <family val="2"/>
      <scheme val="major"/>
    </font>
    <font>
      <sz val="12"/>
      <color theme="1"/>
      <name val="Calibri Light"/>
      <family val="2"/>
      <scheme val="major"/>
    </font>
    <font>
      <b/>
      <sz val="12"/>
      <color theme="0"/>
      <name val="Calibri Light"/>
      <family val="2"/>
    </font>
    <font>
      <b/>
      <sz val="14"/>
      <name val="Calibri Light"/>
      <family val="2"/>
    </font>
    <font>
      <b/>
      <sz val="12"/>
      <color rgb="FF000000"/>
      <name val="Calibri Light"/>
      <family val="2"/>
    </font>
    <font>
      <b/>
      <sz val="11"/>
      <color theme="1"/>
      <name val="Calibri Light"/>
      <family val="2"/>
      <scheme val="major"/>
    </font>
    <font>
      <b/>
      <sz val="10"/>
      <color rgb="FFFF0000"/>
      <name val="Calibri Light"/>
      <family val="2"/>
      <scheme val="major"/>
    </font>
    <font>
      <sz val="8"/>
      <color rgb="FF000000"/>
      <name val="Calibri Light"/>
      <family val="2"/>
      <scheme val="major"/>
    </font>
    <font>
      <sz val="10"/>
      <color rgb="FFFF0000"/>
      <name val="Calibri Light"/>
      <family val="2"/>
      <scheme val="major"/>
    </font>
    <font>
      <b/>
      <sz val="8"/>
      <color rgb="FF000000"/>
      <name val="Calibri Light"/>
      <family val="2"/>
      <scheme val="major"/>
    </font>
  </fonts>
  <fills count="20">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rgb="FFD9E2F3"/>
        <bgColor indexed="64"/>
      </patternFill>
    </fill>
    <fill>
      <patternFill patternType="solid">
        <fgColor theme="8" tint="-0.249977111117893"/>
        <bgColor indexed="64"/>
      </patternFill>
    </fill>
    <fill>
      <patternFill patternType="solid">
        <fgColor rgb="FFF2F2F2"/>
        <bgColor indexed="64"/>
      </patternFill>
    </fill>
    <fill>
      <patternFill patternType="solid">
        <fgColor rgb="FF9DC3E6"/>
        <bgColor indexed="64"/>
      </patternFill>
    </fill>
    <fill>
      <patternFill patternType="solid">
        <fgColor rgb="FFFFCCFF"/>
        <bgColor indexed="64"/>
      </patternFill>
    </fill>
    <fill>
      <patternFill patternType="solid">
        <fgColor rgb="FFC5E0B4"/>
        <bgColor indexed="64"/>
      </patternFill>
    </fill>
    <fill>
      <patternFill patternType="solid">
        <fgColor rgb="FFBDD6EE"/>
        <bgColor indexed="64"/>
      </patternFill>
    </fill>
    <fill>
      <patternFill patternType="solid">
        <fgColor rgb="FFFFC000"/>
        <bgColor indexed="64"/>
      </patternFill>
    </fill>
    <fill>
      <patternFill patternType="solid">
        <fgColor rgb="FFFFE8CB"/>
        <bgColor indexed="64"/>
      </patternFill>
    </fill>
    <fill>
      <patternFill patternType="solid">
        <fgColor rgb="FFFFF4E7"/>
        <bgColor indexed="64"/>
      </patternFill>
    </fill>
    <fill>
      <patternFill patternType="solid">
        <fgColor rgb="FF70AD47"/>
        <bgColor indexed="64"/>
      </patternFill>
    </fill>
    <fill>
      <patternFill patternType="solid">
        <fgColor rgb="FFC5E0B3"/>
        <bgColor indexed="64"/>
      </patternFill>
    </fill>
    <fill>
      <patternFill patternType="solid">
        <fgColor rgb="FFFFE599"/>
        <bgColor indexed="64"/>
      </patternFill>
    </fill>
    <fill>
      <patternFill patternType="solid">
        <fgColor rgb="FFFFF2CC"/>
        <bgColor indexed="64"/>
      </patternFill>
    </fill>
    <fill>
      <patternFill patternType="solid">
        <fgColor rgb="FFEBF1E9"/>
        <bgColor indexed="64"/>
      </patternFill>
    </fill>
    <fill>
      <patternFill patternType="solid">
        <fgColor theme="8" tint="0.79998168889431442"/>
        <bgColor indexed="64"/>
      </patternFill>
    </fill>
  </fills>
  <borders count="60">
    <border>
      <left/>
      <right/>
      <top/>
      <bottom/>
      <diagonal/>
    </border>
    <border>
      <left style="medium">
        <color rgb="FF5B9BD5"/>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9CC2E5"/>
      </left>
      <right style="medium">
        <color rgb="FF9CC2E5"/>
      </right>
      <top style="medium">
        <color rgb="FF5B9BD5"/>
      </top>
      <bottom style="medium">
        <color rgb="FF9CC2E5"/>
      </bottom>
      <diagonal/>
    </border>
    <border>
      <left style="medium">
        <color rgb="FF9CC2E5"/>
      </left>
      <right style="medium">
        <color rgb="FF9CC2E5"/>
      </right>
      <top style="medium">
        <color rgb="FF9CC2E5"/>
      </top>
      <bottom style="medium">
        <color rgb="FF9CC2E5"/>
      </bottom>
      <diagonal/>
    </border>
    <border>
      <left style="medium">
        <color theme="8" tint="0.39994506668294322"/>
      </left>
      <right/>
      <top style="medium">
        <color theme="8" tint="0.39994506668294322"/>
      </top>
      <bottom style="medium">
        <color theme="8" tint="0.39994506668294322"/>
      </bottom>
      <diagonal/>
    </border>
    <border>
      <left style="medium">
        <color theme="8" tint="0.39994506668294322"/>
      </left>
      <right style="medium">
        <color rgb="FF8EAADB"/>
      </right>
      <top style="medium">
        <color theme="8" tint="0.39994506668294322"/>
      </top>
      <bottom style="medium">
        <color theme="8" tint="0.39994506668294322"/>
      </bottom>
      <diagonal/>
    </border>
    <border>
      <left/>
      <right style="medium">
        <color theme="8" tint="0.39994506668294322"/>
      </right>
      <top/>
      <bottom style="medium">
        <color theme="8" tint="0.39994506668294322"/>
      </bottom>
      <diagonal/>
    </border>
    <border>
      <left style="medium">
        <color rgb="FF9CC2E5"/>
      </left>
      <right style="medium">
        <color theme="8" tint="0.39994506668294322"/>
      </right>
      <top style="medium">
        <color theme="8" tint="0.39994506668294322"/>
      </top>
      <bottom style="medium">
        <color theme="8" tint="0.39994506668294322"/>
      </bottom>
      <diagonal/>
    </border>
    <border>
      <left/>
      <right style="medium">
        <color theme="8" tint="0.39994506668294322"/>
      </right>
      <top style="medium">
        <color theme="8" tint="0.39994506668294322"/>
      </top>
      <bottom style="medium">
        <color theme="8" tint="0.39994506668294322"/>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indexed="64"/>
      </left>
      <right/>
      <top style="medium">
        <color indexed="64"/>
      </top>
      <bottom style="medium">
        <color rgb="FFFFFFFF"/>
      </bottom>
      <diagonal/>
    </border>
    <border>
      <left/>
      <right/>
      <top style="medium">
        <color indexed="64"/>
      </top>
      <bottom style="medium">
        <color rgb="FFFFFFFF"/>
      </bottom>
      <diagonal/>
    </border>
    <border>
      <left/>
      <right style="medium">
        <color indexed="64"/>
      </right>
      <top style="medium">
        <color indexed="64"/>
      </top>
      <bottom style="medium">
        <color rgb="FFFFFFFF"/>
      </bottom>
      <diagonal/>
    </border>
    <border>
      <left style="medium">
        <color indexed="64"/>
      </left>
      <right style="medium">
        <color rgb="FFFFFFFF"/>
      </right>
      <top style="medium">
        <color rgb="FFFFFFFF"/>
      </top>
      <bottom style="medium">
        <color rgb="FFFFFFFF"/>
      </bottom>
      <diagonal/>
    </border>
    <border>
      <left/>
      <right style="medium">
        <color indexed="64"/>
      </right>
      <top style="medium">
        <color rgb="FFFFFFFF"/>
      </top>
      <bottom style="medium">
        <color rgb="FFFFFFFF"/>
      </bottom>
      <diagonal/>
    </border>
    <border>
      <left style="medium">
        <color rgb="FFFFFFFF"/>
      </left>
      <right style="medium">
        <color indexed="64"/>
      </right>
      <top style="medium">
        <color rgb="FFFFFFFF"/>
      </top>
      <bottom style="medium">
        <color rgb="FFFFFFFF"/>
      </bottom>
      <diagonal/>
    </border>
    <border>
      <left style="medium">
        <color indexed="64"/>
      </left>
      <right style="medium">
        <color rgb="FFFFFFFF"/>
      </right>
      <top style="medium">
        <color rgb="FFFFFFFF"/>
      </top>
      <bottom/>
      <diagonal/>
    </border>
    <border>
      <left style="medium">
        <color rgb="FFFFFFFF"/>
      </left>
      <right style="medium">
        <color indexed="64"/>
      </right>
      <top style="medium">
        <color rgb="FFFFFFFF"/>
      </top>
      <bottom/>
      <diagonal/>
    </border>
    <border>
      <left style="medium">
        <color indexed="64"/>
      </left>
      <right style="medium">
        <color rgb="FFFFFFFF"/>
      </right>
      <top/>
      <bottom/>
      <diagonal/>
    </border>
    <border>
      <left style="medium">
        <color rgb="FFFFFFFF"/>
      </left>
      <right style="medium">
        <color indexed="64"/>
      </right>
      <top/>
      <bottom/>
      <diagonal/>
    </border>
    <border>
      <left style="medium">
        <color indexed="64"/>
      </left>
      <right style="medium">
        <color rgb="FFFFFFFF"/>
      </right>
      <top/>
      <bottom style="medium">
        <color rgb="FFFFFFFF"/>
      </bottom>
      <diagonal/>
    </border>
    <border>
      <left style="medium">
        <color rgb="FFFFFFFF"/>
      </left>
      <right style="medium">
        <color indexed="64"/>
      </right>
      <top/>
      <bottom style="medium">
        <color rgb="FFFFFFFF"/>
      </bottom>
      <diagonal/>
    </border>
    <border>
      <left style="medium">
        <color indexed="64"/>
      </left>
      <right style="medium">
        <color rgb="FFFFFFFF"/>
      </right>
      <top style="medium">
        <color rgb="FFFFFFFF"/>
      </top>
      <bottom style="medium">
        <color indexed="64"/>
      </bottom>
      <diagonal/>
    </border>
    <border>
      <left style="medium">
        <color rgb="FFFFFFFF"/>
      </left>
      <right style="medium">
        <color rgb="FFFFFFFF"/>
      </right>
      <top style="medium">
        <color rgb="FFFFFFFF"/>
      </top>
      <bottom style="medium">
        <color indexed="64"/>
      </bottom>
      <diagonal/>
    </border>
    <border>
      <left style="medium">
        <color rgb="FFFFFFFF"/>
      </left>
      <right style="medium">
        <color indexed="64"/>
      </right>
      <top style="medium">
        <color rgb="FFFFFFFF"/>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rgb="FF9CC2E5"/>
      </left>
      <right style="medium">
        <color indexed="64"/>
      </right>
      <top style="medium">
        <color indexed="64"/>
      </top>
      <bottom style="medium">
        <color rgb="FF9CC2E5"/>
      </bottom>
      <diagonal/>
    </border>
    <border>
      <left style="medium">
        <color rgb="FF9CC2E5"/>
      </left>
      <right style="medium">
        <color indexed="64"/>
      </right>
      <top style="medium">
        <color rgb="FF9CC2E5"/>
      </top>
      <bottom style="medium">
        <color rgb="FF9CC2E5"/>
      </bottom>
      <diagonal/>
    </border>
    <border>
      <left style="medium">
        <color rgb="FF9CC2E5"/>
      </left>
      <right style="medium">
        <color indexed="64"/>
      </right>
      <top style="medium">
        <color rgb="FF9CC2E5"/>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9CC2E5"/>
      </bottom>
      <diagonal/>
    </border>
    <border>
      <left style="medium">
        <color rgb="FF000000"/>
      </left>
      <right style="medium">
        <color rgb="FF000000"/>
      </right>
      <top style="medium">
        <color rgb="FF9CC2E5"/>
      </top>
      <bottom style="medium">
        <color rgb="FF9CC2E5"/>
      </bottom>
      <diagonal/>
    </border>
    <border>
      <left style="medium">
        <color rgb="FF000000"/>
      </left>
      <right style="medium">
        <color rgb="FF000000"/>
      </right>
      <top/>
      <bottom style="medium">
        <color rgb="FF9CC2E5"/>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70AD47"/>
      </left>
      <right style="medium">
        <color rgb="FF70AD47"/>
      </right>
      <top style="medium">
        <color rgb="FF70AD47"/>
      </top>
      <bottom style="medium">
        <color rgb="FF70AD47"/>
      </bottom>
      <diagonal/>
    </border>
    <border>
      <left style="medium">
        <color rgb="FF70AD47"/>
      </left>
      <right style="medium">
        <color rgb="FF70AD47"/>
      </right>
      <top style="medium">
        <color rgb="FF70AD47"/>
      </top>
      <bottom/>
      <diagonal/>
    </border>
    <border>
      <left style="medium">
        <color rgb="FF70AD47"/>
      </left>
      <right style="medium">
        <color rgb="FF70AD47"/>
      </right>
      <top/>
      <bottom/>
      <diagonal/>
    </border>
    <border>
      <left style="medium">
        <color rgb="FF70AD47"/>
      </left>
      <right style="medium">
        <color rgb="FF70AD47"/>
      </right>
      <top/>
      <bottom style="medium">
        <color rgb="FF70AD47"/>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s>
  <cellStyleXfs count="1">
    <xf numFmtId="0" fontId="0" fillId="0" borderId="0"/>
  </cellStyleXfs>
  <cellXfs count="192">
    <xf numFmtId="0" fontId="0" fillId="0" borderId="0" xfId="0"/>
    <xf numFmtId="0" fontId="1" fillId="0" borderId="0" xfId="0" applyFont="1"/>
    <xf numFmtId="0" fontId="2" fillId="0" borderId="0" xfId="0" applyFont="1"/>
    <xf numFmtId="0" fontId="3" fillId="6" borderId="20" xfId="0" applyFont="1" applyFill="1" applyBorder="1" applyAlignment="1">
      <alignment horizontal="center" vertical="center" wrapText="1" readingOrder="1"/>
    </xf>
    <xf numFmtId="0" fontId="3" fillId="7" borderId="12" xfId="0" applyFont="1" applyFill="1" applyBorder="1" applyAlignment="1">
      <alignment horizontal="center" vertical="center" wrapText="1" readingOrder="1"/>
    </xf>
    <xf numFmtId="0" fontId="3" fillId="8" borderId="12" xfId="0" applyFont="1" applyFill="1" applyBorder="1" applyAlignment="1">
      <alignment horizontal="center" vertical="center" wrapText="1" readingOrder="1"/>
    </xf>
    <xf numFmtId="0" fontId="3" fillId="9" borderId="12" xfId="0" applyFont="1" applyFill="1" applyBorder="1" applyAlignment="1">
      <alignment horizontal="center" vertical="center" wrapText="1" readingOrder="1"/>
    </xf>
    <xf numFmtId="0" fontId="3" fillId="9" borderId="22" xfId="0" applyFont="1" applyFill="1" applyBorder="1" applyAlignment="1">
      <alignment horizontal="center" vertical="center" wrapText="1" readingOrder="1"/>
    </xf>
    <xf numFmtId="0" fontId="4" fillId="7" borderId="14" xfId="0" applyFont="1" applyFill="1" applyBorder="1" applyAlignment="1">
      <alignment horizontal="center" vertical="center" wrapText="1" readingOrder="1"/>
    </xf>
    <xf numFmtId="0" fontId="4" fillId="8" borderId="14" xfId="0" applyFont="1" applyFill="1" applyBorder="1" applyAlignment="1">
      <alignment horizontal="center" vertical="center" wrapText="1" readingOrder="1"/>
    </xf>
    <xf numFmtId="0" fontId="4" fillId="8" borderId="14" xfId="0" applyFont="1" applyFill="1" applyBorder="1" applyAlignment="1">
      <alignment horizontal="left" vertical="center" wrapText="1" readingOrder="1"/>
    </xf>
    <xf numFmtId="0" fontId="4" fillId="7" borderId="15" xfId="0" applyFont="1" applyFill="1" applyBorder="1" applyAlignment="1">
      <alignment horizontal="center" vertical="center" wrapText="1" readingOrder="1"/>
    </xf>
    <xf numFmtId="0" fontId="4" fillId="8" borderId="15" xfId="0" applyFont="1" applyFill="1" applyBorder="1" applyAlignment="1">
      <alignment horizontal="center" vertical="center" wrapText="1" readingOrder="1"/>
    </xf>
    <xf numFmtId="0" fontId="4" fillId="8" borderId="15" xfId="0" applyFont="1" applyFill="1" applyBorder="1" applyAlignment="1">
      <alignment horizontal="left" vertical="center" wrapText="1" readingOrder="1"/>
    </xf>
    <xf numFmtId="0" fontId="5" fillId="7" borderId="15"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4" fillId="8" borderId="16" xfId="0" applyFont="1" applyFill="1" applyBorder="1" applyAlignment="1">
      <alignment horizontal="left" vertical="center" wrapText="1" readingOrder="1"/>
    </xf>
    <xf numFmtId="0" fontId="4" fillId="7" borderId="12" xfId="0" applyFont="1" applyFill="1" applyBorder="1" applyAlignment="1">
      <alignment horizontal="center" vertical="center" wrapText="1" readingOrder="1"/>
    </xf>
    <xf numFmtId="0" fontId="4" fillId="8" borderId="12" xfId="0" applyFont="1" applyFill="1" applyBorder="1" applyAlignment="1">
      <alignment horizontal="center" vertical="center" wrapText="1" readingOrder="1"/>
    </xf>
    <xf numFmtId="0" fontId="4" fillId="9" borderId="12" xfId="0" applyFont="1" applyFill="1" applyBorder="1" applyAlignment="1">
      <alignment horizontal="center" vertical="center" wrapText="1" readingOrder="1"/>
    </xf>
    <xf numFmtId="16" fontId="4" fillId="9" borderId="22" xfId="0" applyNumberFormat="1" applyFont="1" applyFill="1" applyBorder="1" applyAlignment="1">
      <alignment horizontal="center" vertical="center" wrapText="1" readingOrder="1"/>
    </xf>
    <xf numFmtId="0" fontId="3" fillId="6" borderId="29" xfId="0" applyFont="1" applyFill="1" applyBorder="1" applyAlignment="1">
      <alignment horizontal="center" vertical="center" wrapText="1" readingOrder="1"/>
    </xf>
    <xf numFmtId="0" fontId="4" fillId="7" borderId="30" xfId="0" applyFont="1" applyFill="1" applyBorder="1" applyAlignment="1">
      <alignment horizontal="center" vertical="center" wrapText="1" readingOrder="1"/>
    </xf>
    <xf numFmtId="0" fontId="4" fillId="8" borderId="30" xfId="0" applyFont="1" applyFill="1" applyBorder="1" applyAlignment="1">
      <alignment horizontal="center" vertical="center" wrapText="1" readingOrder="1"/>
    </xf>
    <xf numFmtId="0" fontId="4" fillId="9" borderId="30" xfId="0" applyFont="1" applyFill="1" applyBorder="1" applyAlignment="1">
      <alignment horizontal="center" vertical="center" wrapText="1" readingOrder="1"/>
    </xf>
    <xf numFmtId="0" fontId="4" fillId="9" borderId="31" xfId="0" applyFont="1" applyFill="1" applyBorder="1" applyAlignment="1">
      <alignment horizontal="center" vertical="center" wrapText="1" readingOrder="1"/>
    </xf>
    <xf numFmtId="0" fontId="6" fillId="2" borderId="38" xfId="0" applyFont="1" applyFill="1" applyBorder="1" applyAlignment="1">
      <alignment horizontal="center" vertical="center" wrapText="1" readingOrder="1"/>
    </xf>
    <xf numFmtId="0" fontId="3" fillId="3" borderId="39" xfId="0" applyFont="1" applyFill="1" applyBorder="1" applyAlignment="1">
      <alignment horizontal="center" vertical="center" wrapText="1" readingOrder="1"/>
    </xf>
    <xf numFmtId="0" fontId="3" fillId="3" borderId="41" xfId="0" applyFont="1" applyFill="1" applyBorder="1" applyAlignment="1">
      <alignment horizontal="center" vertical="center" wrapText="1" readingOrder="1"/>
    </xf>
    <xf numFmtId="0" fontId="3" fillId="0" borderId="40" xfId="0" applyFont="1" applyBorder="1" applyAlignment="1">
      <alignment horizontal="center" vertical="center" wrapText="1" readingOrder="1"/>
    </xf>
    <xf numFmtId="49" fontId="7" fillId="19" borderId="48" xfId="0" applyNumberFormat="1" applyFont="1" applyFill="1" applyBorder="1" applyAlignment="1">
      <alignment vertical="center"/>
    </xf>
    <xf numFmtId="49" fontId="7" fillId="19" borderId="48" xfId="0" applyNumberFormat="1" applyFont="1" applyFill="1" applyBorder="1" applyAlignment="1">
      <alignment horizontal="left" vertical="center"/>
    </xf>
    <xf numFmtId="0" fontId="5" fillId="19" borderId="48" xfId="0" applyFont="1" applyFill="1" applyBorder="1" applyAlignment="1">
      <alignment horizontal="center" vertical="center"/>
    </xf>
    <xf numFmtId="49" fontId="5" fillId="0" borderId="48" xfId="0" applyNumberFormat="1" applyFont="1" applyBorder="1" applyAlignment="1">
      <alignment vertical="center"/>
    </xf>
    <xf numFmtId="49" fontId="5" fillId="0" borderId="48" xfId="0" applyNumberFormat="1" applyFont="1" applyBorder="1" applyAlignment="1">
      <alignment horizontal="left" vertical="center"/>
    </xf>
    <xf numFmtId="0" fontId="5" fillId="0" borderId="48" xfId="0" applyFont="1" applyBorder="1" applyAlignment="1">
      <alignment horizontal="center" vertical="center"/>
    </xf>
    <xf numFmtId="0" fontId="8" fillId="0" borderId="48" xfId="0" applyFont="1" applyBorder="1" applyAlignment="1">
      <alignment horizontal="center" vertical="center"/>
    </xf>
    <xf numFmtId="0" fontId="5" fillId="0" borderId="0" xfId="0" applyFont="1"/>
    <xf numFmtId="0" fontId="7" fillId="0" borderId="0" xfId="0" applyFont="1" applyAlignment="1">
      <alignment horizontal="center"/>
    </xf>
    <xf numFmtId="0" fontId="4" fillId="3" borderId="3" xfId="0" applyFont="1" applyFill="1" applyBorder="1" applyAlignment="1">
      <alignment horizontal="left" vertical="center" wrapText="1" readingOrder="1"/>
    </xf>
    <xf numFmtId="0" fontId="3" fillId="3" borderId="3" xfId="0" applyFont="1" applyFill="1" applyBorder="1" applyAlignment="1">
      <alignment horizontal="center" vertical="center" wrapText="1" readingOrder="1"/>
    </xf>
    <xf numFmtId="0" fontId="4" fillId="0" borderId="4" xfId="0" applyFont="1" applyBorder="1" applyAlignment="1">
      <alignment horizontal="left" vertical="center" wrapText="1" readingOrder="1"/>
    </xf>
    <xf numFmtId="0" fontId="3" fillId="0" borderId="4" xfId="0" applyFont="1" applyBorder="1" applyAlignment="1">
      <alignment horizontal="center" vertical="center" wrapText="1" readingOrder="1"/>
    </xf>
    <xf numFmtId="0" fontId="4" fillId="3" borderId="4" xfId="0" applyFont="1" applyFill="1" applyBorder="1" applyAlignment="1">
      <alignment horizontal="left" vertical="center" wrapText="1" readingOrder="1"/>
    </xf>
    <xf numFmtId="0" fontId="3" fillId="3" borderId="4" xfId="0" applyFont="1" applyFill="1" applyBorder="1" applyAlignment="1">
      <alignment horizontal="center" vertical="center" wrapText="1" readingOrder="1"/>
    </xf>
    <xf numFmtId="0" fontId="6" fillId="2"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3" fillId="4" borderId="6" xfId="0" applyFont="1" applyFill="1" applyBorder="1" applyAlignment="1">
      <alignment vertical="center" wrapText="1"/>
    </xf>
    <xf numFmtId="0" fontId="4" fillId="3" borderId="8" xfId="0" applyFont="1" applyFill="1" applyBorder="1" applyAlignment="1">
      <alignment horizontal="center" vertical="center" wrapText="1" readingOrder="1"/>
    </xf>
    <xf numFmtId="0" fontId="3" fillId="0" borderId="6" xfId="0" applyFont="1" applyBorder="1" applyAlignment="1">
      <alignment vertical="center" wrapText="1"/>
    </xf>
    <xf numFmtId="0" fontId="4" fillId="0" borderId="8" xfId="0" applyFont="1" applyBorder="1" applyAlignment="1">
      <alignment horizontal="center" vertical="center" wrapText="1" readingOrder="1"/>
    </xf>
    <xf numFmtId="2" fontId="3" fillId="3" borderId="8" xfId="0" applyNumberFormat="1" applyFont="1" applyFill="1" applyBorder="1" applyAlignment="1">
      <alignment horizontal="center" vertical="center" wrapText="1" readingOrder="1"/>
    </xf>
    <xf numFmtId="0" fontId="4" fillId="3" borderId="9" xfId="0" applyFont="1" applyFill="1" applyBorder="1" applyAlignment="1">
      <alignment horizontal="center" vertical="center" wrapText="1"/>
    </xf>
    <xf numFmtId="0" fontId="4" fillId="0" borderId="9" xfId="0" applyFont="1" applyBorder="1" applyAlignment="1">
      <alignment horizontal="center" vertical="center" wrapText="1"/>
    </xf>
    <xf numFmtId="2" fontId="3" fillId="3" borderId="9" xfId="0" applyNumberFormat="1" applyFont="1" applyFill="1" applyBorder="1" applyAlignment="1">
      <alignment horizontal="center" vertical="center" wrapText="1"/>
    </xf>
    <xf numFmtId="0" fontId="9" fillId="2" borderId="34" xfId="0" applyFont="1" applyFill="1" applyBorder="1" applyAlignment="1">
      <alignment horizontal="center" vertical="center" wrapText="1"/>
    </xf>
    <xf numFmtId="0" fontId="10" fillId="3" borderId="35" xfId="0" applyFont="1" applyFill="1" applyBorder="1" applyAlignment="1">
      <alignment horizontal="center" vertical="center" wrapText="1" readingOrder="1"/>
    </xf>
    <xf numFmtId="0" fontId="9" fillId="2" borderId="32" xfId="0" applyFont="1" applyFill="1" applyBorder="1" applyAlignment="1">
      <alignment horizontal="center" vertical="center" wrapText="1"/>
    </xf>
    <xf numFmtId="0" fontId="10" fillId="0" borderId="36" xfId="0" applyFont="1" applyBorder="1" applyAlignment="1">
      <alignment horizontal="center" vertical="center" wrapText="1" readingOrder="1"/>
    </xf>
    <xf numFmtId="0" fontId="9" fillId="2" borderId="33" xfId="0" applyFont="1" applyFill="1" applyBorder="1" applyAlignment="1">
      <alignment horizontal="center" vertical="center" wrapText="1"/>
    </xf>
    <xf numFmtId="0" fontId="10" fillId="3" borderId="37" xfId="0" applyFont="1" applyFill="1" applyBorder="1" applyAlignment="1">
      <alignment horizontal="center" vertical="center" wrapText="1" readingOrder="1"/>
    </xf>
    <xf numFmtId="0" fontId="3" fillId="3" borderId="3" xfId="0" applyFont="1" applyFill="1" applyBorder="1" applyAlignment="1">
      <alignment horizontal="left" vertical="center" wrapText="1" readingOrder="1"/>
    </xf>
    <xf numFmtId="0" fontId="3" fillId="0" borderId="4" xfId="0" applyFont="1" applyBorder="1" applyAlignment="1">
      <alignment horizontal="left" vertical="center" wrapText="1" readingOrder="1"/>
    </xf>
    <xf numFmtId="0" fontId="3" fillId="3" borderId="4" xfId="0" applyFont="1" applyFill="1" applyBorder="1" applyAlignment="1">
      <alignment horizontal="left" vertical="center" wrapText="1" readingOrder="1"/>
    </xf>
    <xf numFmtId="0" fontId="6" fillId="2" borderId="10" xfId="0" applyFont="1" applyFill="1" applyBorder="1" applyAlignment="1">
      <alignment horizontal="center" vertical="center" wrapText="1" readingOrder="1"/>
    </xf>
    <xf numFmtId="0" fontId="6" fillId="2" borderId="11" xfId="0" applyFont="1" applyFill="1" applyBorder="1" applyAlignment="1">
      <alignment horizontal="center" vertical="center" wrapText="1" readingOrder="1"/>
    </xf>
    <xf numFmtId="0" fontId="6" fillId="2" borderId="13" xfId="0" applyFont="1" applyFill="1" applyBorder="1" applyAlignment="1">
      <alignment horizontal="center" vertical="center" wrapText="1" readingOrder="1"/>
    </xf>
    <xf numFmtId="0" fontId="6" fillId="2" borderId="12" xfId="0" applyFont="1" applyFill="1" applyBorder="1" applyAlignment="1">
      <alignment horizontal="center" vertical="center" wrapText="1" readingOrder="1"/>
    </xf>
    <xf numFmtId="0" fontId="4" fillId="10" borderId="12" xfId="0" applyFont="1" applyFill="1" applyBorder="1" applyAlignment="1">
      <alignment horizontal="left" vertical="center" wrapText="1" readingOrder="1"/>
    </xf>
    <xf numFmtId="0" fontId="4" fillId="10" borderId="12" xfId="0" applyFont="1" applyFill="1" applyBorder="1" applyAlignment="1">
      <alignment horizontal="center" vertical="center" wrapText="1" readingOrder="1"/>
    </xf>
    <xf numFmtId="0" fontId="4" fillId="3" borderId="12" xfId="0" applyFont="1" applyFill="1" applyBorder="1" applyAlignment="1">
      <alignment horizontal="left" vertical="center" wrapText="1" readingOrder="1"/>
    </xf>
    <xf numFmtId="0" fontId="4" fillId="3" borderId="12" xfId="0" applyFont="1" applyFill="1" applyBorder="1" applyAlignment="1">
      <alignment horizontal="center" vertical="center" wrapText="1" readingOrder="1"/>
    </xf>
    <xf numFmtId="0" fontId="6" fillId="11" borderId="42" xfId="0" applyFont="1" applyFill="1" applyBorder="1" applyAlignment="1">
      <alignment horizontal="center" vertical="center" wrapText="1" readingOrder="1"/>
    </xf>
    <xf numFmtId="0" fontId="6" fillId="11" borderId="42" xfId="0" applyFont="1" applyFill="1" applyBorder="1" applyAlignment="1">
      <alignment horizontal="left" vertical="center" wrapText="1" readingOrder="1"/>
    </xf>
    <xf numFmtId="0" fontId="6" fillId="11" borderId="43" xfId="0" applyFont="1" applyFill="1" applyBorder="1" applyAlignment="1">
      <alignment horizontal="center" vertical="center" wrapText="1" readingOrder="1"/>
    </xf>
    <xf numFmtId="0" fontId="4" fillId="12" borderId="43" xfId="0" applyFont="1" applyFill="1" applyBorder="1" applyAlignment="1">
      <alignment horizontal="left" vertical="center" wrapText="1" readingOrder="1"/>
    </xf>
    <xf numFmtId="0" fontId="4" fillId="12" borderId="43" xfId="0" applyFont="1" applyFill="1" applyBorder="1" applyAlignment="1">
      <alignment horizontal="center" vertical="center" wrapText="1" readingOrder="1"/>
    </xf>
    <xf numFmtId="0" fontId="4" fillId="13" borderId="14" xfId="0" applyFont="1" applyFill="1" applyBorder="1" applyAlignment="1">
      <alignment horizontal="center" vertical="center" wrapText="1" readingOrder="1"/>
    </xf>
    <xf numFmtId="0" fontId="4" fillId="13" borderId="16" xfId="0" applyFont="1" applyFill="1" applyBorder="1" applyAlignment="1">
      <alignment horizontal="center" vertical="center" wrapText="1" readingOrder="1"/>
    </xf>
    <xf numFmtId="0" fontId="6" fillId="14" borderId="10" xfId="0" applyFont="1" applyFill="1" applyBorder="1" applyAlignment="1">
      <alignment horizontal="center" vertical="center" wrapText="1" readingOrder="1"/>
    </xf>
    <xf numFmtId="0" fontId="6" fillId="14" borderId="11" xfId="0" applyFont="1" applyFill="1" applyBorder="1" applyAlignment="1">
      <alignment horizontal="left" vertical="center" wrapText="1" readingOrder="1"/>
    </xf>
    <xf numFmtId="0" fontId="6" fillId="14" borderId="11" xfId="0" applyFont="1" applyFill="1" applyBorder="1" applyAlignment="1">
      <alignment horizontal="center" vertical="center" wrapText="1" readingOrder="1"/>
    </xf>
    <xf numFmtId="0" fontId="6" fillId="14" borderId="13" xfId="0" applyFont="1" applyFill="1" applyBorder="1" applyAlignment="1">
      <alignment horizontal="left" vertical="center" wrapText="1" readingOrder="1"/>
    </xf>
    <xf numFmtId="0" fontId="4" fillId="15" borderId="15" xfId="0" applyFont="1" applyFill="1" applyBorder="1" applyAlignment="1">
      <alignment horizontal="left" vertical="center" wrapText="1" readingOrder="1"/>
    </xf>
    <xf numFmtId="0" fontId="4" fillId="15" borderId="15" xfId="0" applyFont="1" applyFill="1" applyBorder="1" applyAlignment="1">
      <alignment horizontal="center" vertical="center" wrapText="1" readingOrder="1"/>
    </xf>
    <xf numFmtId="0" fontId="6" fillId="11" borderId="10" xfId="0" applyFont="1" applyFill="1" applyBorder="1" applyAlignment="1">
      <alignment horizontal="left" vertical="center" wrapText="1" readingOrder="1"/>
    </xf>
    <xf numFmtId="0" fontId="6" fillId="11" borderId="11" xfId="0" applyFont="1" applyFill="1" applyBorder="1" applyAlignment="1">
      <alignment horizontal="center" vertical="center" wrapText="1" readingOrder="1"/>
    </xf>
    <xf numFmtId="0" fontId="6" fillId="11" borderId="13" xfId="0" applyFont="1" applyFill="1" applyBorder="1" applyAlignment="1">
      <alignment horizontal="center" vertical="center" wrapText="1" readingOrder="1"/>
    </xf>
    <xf numFmtId="0" fontId="6" fillId="11" borderId="12" xfId="0" applyFont="1" applyFill="1" applyBorder="1" applyAlignment="1">
      <alignment horizontal="center" vertical="center" wrapText="1" readingOrder="1"/>
    </xf>
    <xf numFmtId="0" fontId="4" fillId="16" borderId="12" xfId="0" applyFont="1" applyFill="1" applyBorder="1" applyAlignment="1">
      <alignment horizontal="left" vertical="center" wrapText="1" readingOrder="1"/>
    </xf>
    <xf numFmtId="0" fontId="4" fillId="16" borderId="12" xfId="0" applyFont="1" applyFill="1" applyBorder="1" applyAlignment="1">
      <alignment horizontal="center" vertical="center" wrapText="1" readingOrder="1"/>
    </xf>
    <xf numFmtId="0" fontId="4" fillId="17" borderId="12" xfId="0" applyFont="1" applyFill="1" applyBorder="1" applyAlignment="1">
      <alignment horizontal="left" vertical="center" wrapText="1" readingOrder="1"/>
    </xf>
    <xf numFmtId="0" fontId="4" fillId="17" borderId="12" xfId="0" applyFont="1" applyFill="1" applyBorder="1" applyAlignment="1">
      <alignment horizontal="center" vertical="center" wrapText="1" readingOrder="1"/>
    </xf>
    <xf numFmtId="0" fontId="6" fillId="14" borderId="10" xfId="0" applyFont="1" applyFill="1" applyBorder="1" applyAlignment="1">
      <alignment horizontal="left" vertical="center" wrapText="1" readingOrder="1"/>
    </xf>
    <xf numFmtId="0" fontId="6" fillId="14" borderId="13" xfId="0" applyFont="1" applyFill="1" applyBorder="1" applyAlignment="1">
      <alignment horizontal="center" vertical="center" wrapText="1" readingOrder="1"/>
    </xf>
    <xf numFmtId="0" fontId="6" fillId="14" borderId="12" xfId="0" applyFont="1" applyFill="1" applyBorder="1" applyAlignment="1">
      <alignment horizontal="center" vertical="center" wrapText="1" readingOrder="1"/>
    </xf>
    <xf numFmtId="0" fontId="4" fillId="15" borderId="12" xfId="0" applyFont="1" applyFill="1" applyBorder="1" applyAlignment="1">
      <alignment horizontal="left" vertical="center" wrapText="1" readingOrder="1"/>
    </xf>
    <xf numFmtId="0" fontId="4" fillId="15" borderId="12" xfId="0" applyFont="1" applyFill="1" applyBorder="1" applyAlignment="1">
      <alignment horizontal="center" vertical="center" wrapText="1" readingOrder="1"/>
    </xf>
    <xf numFmtId="0" fontId="8" fillId="15" borderId="12" xfId="0" applyFont="1" applyFill="1" applyBorder="1" applyAlignment="1">
      <alignment horizontal="center" vertical="top" wrapText="1"/>
    </xf>
    <xf numFmtId="0" fontId="7" fillId="0" borderId="50" xfId="0" applyFont="1" applyBorder="1" applyAlignment="1">
      <alignment horizontal="center" vertical="center"/>
    </xf>
    <xf numFmtId="0" fontId="7" fillId="0" borderId="48" xfId="0" applyFont="1" applyBorder="1" applyAlignment="1">
      <alignment horizontal="center" vertical="center"/>
    </xf>
    <xf numFmtId="0" fontId="7" fillId="0" borderId="48" xfId="0" applyFont="1" applyBorder="1" applyAlignment="1">
      <alignment horizontal="center" vertical="center" wrapText="1"/>
    </xf>
    <xf numFmtId="49" fontId="7" fillId="19" borderId="52" xfId="0" applyNumberFormat="1" applyFont="1" applyFill="1" applyBorder="1" applyAlignment="1">
      <alignment horizontal="center" vertical="center" wrapText="1"/>
    </xf>
    <xf numFmtId="49" fontId="7" fillId="19" borderId="48" xfId="0" applyNumberFormat="1" applyFont="1" applyFill="1" applyBorder="1" applyAlignment="1">
      <alignment horizontal="center" vertical="center" wrapText="1"/>
    </xf>
    <xf numFmtId="49" fontId="7" fillId="0" borderId="54" xfId="0" applyNumberFormat="1" applyFont="1" applyBorder="1" applyAlignment="1">
      <alignment horizontal="center" vertical="center" wrapText="1"/>
    </xf>
    <xf numFmtId="49" fontId="7" fillId="0" borderId="50" xfId="0" applyNumberFormat="1" applyFont="1" applyBorder="1" applyAlignment="1">
      <alignment horizontal="center" vertical="center" wrapText="1"/>
    </xf>
    <xf numFmtId="49" fontId="7" fillId="0" borderId="50" xfId="0" applyNumberFormat="1" applyFont="1" applyBorder="1" applyAlignment="1">
      <alignment horizontal="center" vertical="center"/>
    </xf>
    <xf numFmtId="49" fontId="7" fillId="0" borderId="48" xfId="0" applyNumberFormat="1" applyFont="1" applyBorder="1" applyAlignment="1">
      <alignment horizontal="center" vertical="center"/>
    </xf>
    <xf numFmtId="49" fontId="7" fillId="0" borderId="54" xfId="0" applyNumberFormat="1" applyFont="1" applyBorder="1" applyAlignment="1">
      <alignment horizontal="center" vertical="center"/>
    </xf>
    <xf numFmtId="0" fontId="3" fillId="18" borderId="48" xfId="0" applyFont="1" applyFill="1" applyBorder="1" applyAlignment="1">
      <alignment horizontal="left" vertical="center" wrapText="1" readingOrder="1"/>
    </xf>
    <xf numFmtId="0" fontId="3" fillId="0" borderId="47" xfId="0" applyFont="1" applyBorder="1" applyAlignment="1">
      <alignment horizontal="left" vertical="center" wrapText="1" readingOrder="1"/>
    </xf>
    <xf numFmtId="0" fontId="3" fillId="0" borderId="47" xfId="0" applyFont="1" applyBorder="1" applyAlignment="1">
      <alignment horizontal="center" vertical="center" wrapText="1" readingOrder="1"/>
    </xf>
    <xf numFmtId="0" fontId="4" fillId="18" borderId="45" xfId="0" applyFont="1" applyFill="1" applyBorder="1" applyAlignment="1">
      <alignment horizontal="left" vertical="center" wrapText="1" readingOrder="1"/>
    </xf>
    <xf numFmtId="0" fontId="4" fillId="18" borderId="46" xfId="0" applyFont="1" applyFill="1" applyBorder="1" applyAlignment="1">
      <alignment horizontal="left" vertical="center" wrapText="1" readingOrder="1"/>
    </xf>
    <xf numFmtId="0" fontId="4" fillId="18" borderId="47" xfId="0" applyFont="1" applyFill="1" applyBorder="1" applyAlignment="1">
      <alignment horizontal="left" vertical="center" wrapText="1" readingOrder="1"/>
    </xf>
    <xf numFmtId="0" fontId="3" fillId="18" borderId="44" xfId="0" applyFont="1" applyFill="1" applyBorder="1" applyAlignment="1">
      <alignment horizontal="left" vertical="center" wrapText="1" readingOrder="1"/>
    </xf>
    <xf numFmtId="0" fontId="3" fillId="0" borderId="44" xfId="0" applyFont="1" applyBorder="1" applyAlignment="1">
      <alignment horizontal="left" vertical="center" wrapText="1" readingOrder="1"/>
    </xf>
    <xf numFmtId="0" fontId="12" fillId="0" borderId="0" xfId="0" applyFont="1"/>
    <xf numFmtId="0" fontId="14" fillId="3" borderId="58" xfId="0" applyFont="1" applyFill="1" applyBorder="1" applyAlignment="1">
      <alignment horizontal="left" vertical="center"/>
    </xf>
    <xf numFmtId="0" fontId="15" fillId="3" borderId="59" xfId="0" applyFont="1" applyFill="1" applyBorder="1" applyAlignment="1">
      <alignment horizontal="center" vertical="center"/>
    </xf>
    <xf numFmtId="0" fontId="16" fillId="0" borderId="0" xfId="0" applyFont="1"/>
    <xf numFmtId="0" fontId="6" fillId="14" borderId="14" xfId="0" applyFont="1" applyFill="1" applyBorder="1" applyAlignment="1">
      <alignment horizontal="center" vertical="center" wrapText="1" readingOrder="1"/>
    </xf>
    <xf numFmtId="0" fontId="17" fillId="0" borderId="0" xfId="0" applyFont="1"/>
    <xf numFmtId="0" fontId="6" fillId="14" borderId="15" xfId="0" applyFont="1" applyFill="1" applyBorder="1" applyAlignment="1">
      <alignment vertical="center" wrapText="1" readingOrder="1"/>
    </xf>
    <xf numFmtId="0" fontId="3" fillId="15" borderId="15" xfId="0" applyFont="1" applyFill="1" applyBorder="1" applyAlignment="1">
      <alignment horizontal="center" vertical="center" wrapText="1" readingOrder="1"/>
    </xf>
    <xf numFmtId="0" fontId="18" fillId="18" borderId="44" xfId="0" applyFont="1" applyFill="1" applyBorder="1" applyAlignment="1">
      <alignment horizontal="center" vertical="center" wrapText="1" readingOrder="1"/>
    </xf>
    <xf numFmtId="0" fontId="19" fillId="0" borderId="0" xfId="0" applyFont="1"/>
    <xf numFmtId="0" fontId="18" fillId="18" borderId="44" xfId="0" applyFont="1" applyFill="1" applyBorder="1" applyAlignment="1">
      <alignment horizontal="left" vertical="top" wrapText="1" readingOrder="1"/>
    </xf>
    <xf numFmtId="0" fontId="4" fillId="0" borderId="45" xfId="0" applyFont="1" applyBorder="1" applyAlignment="1">
      <alignment horizontal="center" vertical="center" wrapText="1" readingOrder="1"/>
    </xf>
    <xf numFmtId="0" fontId="4" fillId="0" borderId="46" xfId="0" applyFont="1" applyBorder="1" applyAlignment="1">
      <alignment horizontal="center" vertical="center" wrapText="1" readingOrder="1"/>
    </xf>
    <xf numFmtId="0" fontId="4" fillId="0" borderId="47" xfId="0" applyFont="1" applyBorder="1" applyAlignment="1">
      <alignment horizontal="center" vertical="center" wrapText="1" readingOrder="1"/>
    </xf>
    <xf numFmtId="0" fontId="7" fillId="0" borderId="0" xfId="0" applyFont="1" applyAlignment="1">
      <alignment horizontal="center"/>
    </xf>
    <xf numFmtId="0" fontId="2" fillId="0" borderId="49" xfId="0" applyFont="1" applyBorder="1" applyAlignment="1">
      <alignment horizontal="center"/>
    </xf>
    <xf numFmtId="49" fontId="7" fillId="0" borderId="51" xfId="0" applyNumberFormat="1" applyFont="1" applyBorder="1" applyAlignment="1">
      <alignment horizontal="center" vertical="center" wrapText="1"/>
    </xf>
    <xf numFmtId="49" fontId="7" fillId="0" borderId="53" xfId="0" applyNumberFormat="1" applyFont="1" applyBorder="1" applyAlignment="1">
      <alignment horizontal="center" vertical="center" wrapText="1"/>
    </xf>
    <xf numFmtId="49" fontId="7" fillId="0" borderId="55" xfId="0" applyNumberFormat="1" applyFont="1" applyBorder="1" applyAlignment="1">
      <alignment horizontal="center" vertical="center" wrapText="1"/>
    </xf>
    <xf numFmtId="49" fontId="7" fillId="0" borderId="56" xfId="0" applyNumberFormat="1" applyFont="1" applyBorder="1" applyAlignment="1">
      <alignment horizontal="center" vertical="center" wrapText="1"/>
    </xf>
    <xf numFmtId="0" fontId="3" fillId="18" borderId="45" xfId="0" applyFont="1" applyFill="1" applyBorder="1" applyAlignment="1">
      <alignment horizontal="left" vertical="center" wrapText="1" readingOrder="1"/>
    </xf>
    <xf numFmtId="0" fontId="3" fillId="18" borderId="46" xfId="0" applyFont="1" applyFill="1" applyBorder="1" applyAlignment="1">
      <alignment horizontal="left" vertical="center" wrapText="1" readingOrder="1"/>
    </xf>
    <xf numFmtId="0" fontId="3" fillId="18" borderId="47" xfId="0" applyFont="1" applyFill="1" applyBorder="1" applyAlignment="1">
      <alignment horizontal="left" vertical="center" wrapText="1" readingOrder="1"/>
    </xf>
    <xf numFmtId="0" fontId="4" fillId="18" borderId="45" xfId="0" applyFont="1" applyFill="1" applyBorder="1" applyAlignment="1">
      <alignment horizontal="center" vertical="center" wrapText="1" readingOrder="1"/>
    </xf>
    <xf numFmtId="0" fontId="4" fillId="18" borderId="46" xfId="0" applyFont="1" applyFill="1" applyBorder="1" applyAlignment="1">
      <alignment horizontal="center" vertical="center" wrapText="1" readingOrder="1"/>
    </xf>
    <xf numFmtId="0" fontId="4" fillId="18" borderId="47" xfId="0" applyFont="1" applyFill="1" applyBorder="1" applyAlignment="1">
      <alignment horizontal="center" vertical="center" wrapText="1" readingOrder="1"/>
    </xf>
    <xf numFmtId="0" fontId="3" fillId="0" borderId="45" xfId="0" applyFont="1" applyBorder="1" applyAlignment="1">
      <alignment horizontal="left" vertical="center" wrapText="1" readingOrder="1"/>
    </xf>
    <xf numFmtId="0" fontId="3" fillId="0" borderId="46" xfId="0" applyFont="1" applyBorder="1" applyAlignment="1">
      <alignment horizontal="left" vertical="center" wrapText="1" readingOrder="1"/>
    </xf>
    <xf numFmtId="0" fontId="3" fillId="0" borderId="47" xfId="0" applyFont="1" applyBorder="1" applyAlignment="1">
      <alignment horizontal="left" vertical="center" wrapText="1" readingOrder="1"/>
    </xf>
    <xf numFmtId="0" fontId="7" fillId="19" borderId="0" xfId="0" applyFont="1" applyFill="1" applyAlignment="1">
      <alignment horizontal="center"/>
    </xf>
    <xf numFmtId="0" fontId="4" fillId="9" borderId="14" xfId="0" applyFont="1" applyFill="1" applyBorder="1" applyAlignment="1">
      <alignment horizontal="center" vertical="center" wrapText="1" readingOrder="1"/>
    </xf>
    <xf numFmtId="0" fontId="4" fillId="9" borderId="15" xfId="0" applyFont="1" applyFill="1" applyBorder="1" applyAlignment="1">
      <alignment horizontal="center" vertical="center" wrapText="1" readingOrder="1"/>
    </xf>
    <xf numFmtId="0" fontId="4" fillId="9" borderId="16" xfId="0" applyFont="1" applyFill="1" applyBorder="1" applyAlignment="1">
      <alignment horizontal="center" vertical="center" wrapText="1" readingOrder="1"/>
    </xf>
    <xf numFmtId="0" fontId="13" fillId="2" borderId="48"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3" fillId="2" borderId="1" xfId="0" applyFont="1" applyFill="1" applyBorder="1" applyAlignment="1">
      <alignment horizontal="center" vertical="center" wrapText="1" readingOrder="1"/>
    </xf>
    <xf numFmtId="0" fontId="3" fillId="2" borderId="2" xfId="0" applyFont="1" applyFill="1" applyBorder="1" applyAlignment="1">
      <alignment horizontal="center" vertical="center" wrapText="1" readingOrder="1"/>
    </xf>
    <xf numFmtId="0" fontId="2" fillId="0" borderId="0" xfId="0" applyFont="1" applyAlignment="1">
      <alignment horizontal="center"/>
    </xf>
    <xf numFmtId="0" fontId="3" fillId="6" borderId="17" xfId="0" applyFont="1" applyFill="1" applyBorder="1" applyAlignment="1">
      <alignment horizontal="center" vertical="center" wrapText="1" readingOrder="1"/>
    </xf>
    <xf numFmtId="0" fontId="3" fillId="6" borderId="18" xfId="0" applyFont="1" applyFill="1" applyBorder="1" applyAlignment="1">
      <alignment horizontal="center" vertical="center" wrapText="1" readingOrder="1"/>
    </xf>
    <xf numFmtId="0" fontId="3" fillId="6" borderId="19" xfId="0" applyFont="1" applyFill="1" applyBorder="1" applyAlignment="1">
      <alignment horizontal="center" vertical="center" wrapText="1" readingOrder="1"/>
    </xf>
    <xf numFmtId="0" fontId="3" fillId="7" borderId="10" xfId="0" applyFont="1" applyFill="1" applyBorder="1" applyAlignment="1">
      <alignment horizontal="center" vertical="center" wrapText="1" readingOrder="1"/>
    </xf>
    <xf numFmtId="0" fontId="3" fillId="7" borderId="11" xfId="0" applyFont="1" applyFill="1" applyBorder="1" applyAlignment="1">
      <alignment horizontal="center" vertical="center" wrapText="1" readingOrder="1"/>
    </xf>
    <xf numFmtId="0" fontId="3" fillId="7" borderId="13" xfId="0" applyFont="1" applyFill="1" applyBorder="1" applyAlignment="1">
      <alignment horizontal="center" vertical="center" wrapText="1" readingOrder="1"/>
    </xf>
    <xf numFmtId="0" fontId="3" fillId="8" borderId="10" xfId="0" applyFont="1" applyFill="1" applyBorder="1" applyAlignment="1">
      <alignment horizontal="center" vertical="center" wrapText="1" readingOrder="1"/>
    </xf>
    <xf numFmtId="0" fontId="3" fillId="8" borderId="11" xfId="0" applyFont="1" applyFill="1" applyBorder="1" applyAlignment="1">
      <alignment horizontal="center" vertical="center" wrapText="1" readingOrder="1"/>
    </xf>
    <xf numFmtId="0" fontId="3" fillId="8" borderId="13" xfId="0" applyFont="1" applyFill="1" applyBorder="1" applyAlignment="1">
      <alignment horizontal="center" vertical="center" wrapText="1" readingOrder="1"/>
    </xf>
    <xf numFmtId="0" fontId="3" fillId="9" borderId="10" xfId="0" applyFont="1" applyFill="1" applyBorder="1" applyAlignment="1">
      <alignment horizontal="center" vertical="center" wrapText="1" readingOrder="1"/>
    </xf>
    <xf numFmtId="0" fontId="3" fillId="9" borderId="11" xfId="0" applyFont="1" applyFill="1" applyBorder="1" applyAlignment="1">
      <alignment horizontal="center" vertical="center" wrapText="1" readingOrder="1"/>
    </xf>
    <xf numFmtId="0" fontId="3" fillId="9" borderId="21" xfId="0" applyFont="1" applyFill="1" applyBorder="1" applyAlignment="1">
      <alignment horizontal="center" vertical="center" wrapText="1" readingOrder="1"/>
    </xf>
    <xf numFmtId="0" fontId="4" fillId="15" borderId="15" xfId="0" applyFont="1" applyFill="1" applyBorder="1" applyAlignment="1">
      <alignment horizontal="left" vertical="center" wrapText="1" readingOrder="1"/>
    </xf>
    <xf numFmtId="0" fontId="3" fillId="18" borderId="48" xfId="0" applyFont="1" applyFill="1" applyBorder="1" applyAlignment="1">
      <alignment horizontal="center" vertical="center" wrapText="1" readingOrder="1"/>
    </xf>
    <xf numFmtId="0" fontId="3" fillId="0" borderId="45" xfId="0" applyFont="1" applyBorder="1" applyAlignment="1">
      <alignment horizontal="center" vertical="center" wrapText="1" readingOrder="1"/>
    </xf>
    <xf numFmtId="0" fontId="3" fillId="0" borderId="46" xfId="0" applyFont="1" applyBorder="1" applyAlignment="1">
      <alignment horizontal="center" vertical="center" wrapText="1" readingOrder="1"/>
    </xf>
    <xf numFmtId="0" fontId="3" fillId="0" borderId="47" xfId="0" applyFont="1" applyBorder="1" applyAlignment="1">
      <alignment horizontal="center" vertical="center" wrapText="1" readingOrder="1"/>
    </xf>
    <xf numFmtId="0" fontId="4" fillId="9" borderId="24" xfId="0" applyFont="1" applyFill="1" applyBorder="1" applyAlignment="1">
      <alignment horizontal="center" vertical="center" wrapText="1" readingOrder="1"/>
    </xf>
    <xf numFmtId="0" fontId="4" fillId="9" borderId="26" xfId="0" applyFont="1" applyFill="1" applyBorder="1" applyAlignment="1">
      <alignment horizontal="center" vertical="center" wrapText="1" readingOrder="1"/>
    </xf>
    <xf numFmtId="0" fontId="4" fillId="9" borderId="28" xfId="0" applyFont="1" applyFill="1" applyBorder="1" applyAlignment="1">
      <alignment horizontal="center" vertical="center" wrapText="1" readingOrder="1"/>
    </xf>
    <xf numFmtId="0" fontId="4" fillId="13" borderId="14" xfId="0" applyFont="1" applyFill="1" applyBorder="1" applyAlignment="1">
      <alignment horizontal="center" vertical="center" wrapText="1" readingOrder="1"/>
    </xf>
    <xf numFmtId="0" fontId="4" fillId="13" borderId="16" xfId="0" applyFont="1" applyFill="1" applyBorder="1" applyAlignment="1">
      <alignment horizontal="center" vertical="center" wrapText="1" readingOrder="1"/>
    </xf>
    <xf numFmtId="0" fontId="4" fillId="7" borderId="14" xfId="0" applyFont="1" applyFill="1" applyBorder="1" applyAlignment="1">
      <alignment horizontal="center" vertical="center" wrapText="1" readingOrder="1"/>
    </xf>
    <xf numFmtId="0" fontId="4" fillId="7" borderId="15" xfId="0" applyFont="1" applyFill="1" applyBorder="1" applyAlignment="1">
      <alignment horizontal="center" vertical="center" wrapText="1" readingOrder="1"/>
    </xf>
    <xf numFmtId="0" fontId="4" fillId="7" borderId="16" xfId="0" applyFont="1" applyFill="1" applyBorder="1" applyAlignment="1">
      <alignment horizontal="center" vertical="center" wrapText="1" readingOrder="1"/>
    </xf>
    <xf numFmtId="0" fontId="6" fillId="11" borderId="14" xfId="0" applyFont="1" applyFill="1" applyBorder="1" applyAlignment="1">
      <alignment horizontal="center" vertical="center" wrapText="1" readingOrder="1"/>
    </xf>
    <xf numFmtId="0" fontId="6" fillId="11" borderId="16" xfId="0" applyFont="1" applyFill="1" applyBorder="1" applyAlignment="1">
      <alignment horizontal="center" vertical="center" wrapText="1" readingOrder="1"/>
    </xf>
    <xf numFmtId="0" fontId="3" fillId="6" borderId="23" xfId="0" applyFont="1" applyFill="1" applyBorder="1" applyAlignment="1">
      <alignment horizontal="center" vertical="center" wrapText="1" readingOrder="1"/>
    </xf>
    <xf numFmtId="0" fontId="3" fillId="6" borderId="25" xfId="0" applyFont="1" applyFill="1" applyBorder="1" applyAlignment="1">
      <alignment horizontal="center" vertical="center" wrapText="1" readingOrder="1"/>
    </xf>
    <xf numFmtId="0" fontId="3" fillId="6" borderId="27" xfId="0" applyFont="1" applyFill="1" applyBorder="1" applyAlignment="1">
      <alignment horizontal="center" vertical="center" wrapText="1" readingOrder="1"/>
    </xf>
    <xf numFmtId="0" fontId="4" fillId="8" borderId="14" xfId="0" applyFont="1" applyFill="1" applyBorder="1" applyAlignment="1">
      <alignment horizontal="center" vertical="center" wrapText="1" readingOrder="1"/>
    </xf>
    <xf numFmtId="0" fontId="4" fillId="8" borderId="15" xfId="0" applyFont="1" applyFill="1" applyBorder="1" applyAlignment="1">
      <alignment horizontal="center" vertical="center" wrapText="1" readingOrder="1"/>
    </xf>
    <xf numFmtId="0" fontId="4" fillId="8" borderId="16" xfId="0" applyFont="1" applyFill="1" applyBorder="1" applyAlignment="1">
      <alignment horizontal="center" vertical="center" wrapText="1" readingOrder="1"/>
    </xf>
    <xf numFmtId="0" fontId="4" fillId="13" borderId="14" xfId="0" applyFont="1" applyFill="1" applyBorder="1" applyAlignment="1">
      <alignment horizontal="left" vertical="center" wrapText="1" readingOrder="1"/>
    </xf>
    <xf numFmtId="0" fontId="4" fillId="13" borderId="16" xfId="0" applyFont="1" applyFill="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01E13-4B11-4763-B94D-D97A2305A4A4}">
  <dimension ref="A2:K177"/>
  <sheetViews>
    <sheetView tabSelected="1" workbookViewId="0">
      <selection activeCell="B7" sqref="B7"/>
    </sheetView>
  </sheetViews>
  <sheetFormatPr defaultColWidth="10.85546875" defaultRowHeight="14.45"/>
  <cols>
    <col min="1" max="1" width="10.85546875" style="1"/>
    <col min="2" max="2" width="22.28515625" style="39" customWidth="1"/>
    <col min="3" max="3" width="12.85546875" style="39" customWidth="1"/>
    <col min="4" max="4" width="13.5703125" style="39" customWidth="1"/>
    <col min="5" max="5" width="17.42578125" style="39" customWidth="1"/>
    <col min="6" max="6" width="10.85546875" style="39"/>
    <col min="7" max="7" width="23.85546875" style="39" customWidth="1"/>
    <col min="8" max="8" width="13.28515625" style="39" customWidth="1"/>
    <col min="9" max="16384" width="10.85546875" style="39"/>
  </cols>
  <sheetData>
    <row r="2" spans="1:9">
      <c r="B2" s="148" t="s">
        <v>0</v>
      </c>
      <c r="C2" s="148"/>
      <c r="D2" s="148"/>
      <c r="E2" s="148"/>
      <c r="F2" s="148"/>
      <c r="G2" s="148"/>
      <c r="H2" s="148"/>
      <c r="I2" s="148"/>
    </row>
    <row r="4" spans="1:9" ht="15.6">
      <c r="B4" s="156" t="s">
        <v>1</v>
      </c>
      <c r="C4" s="156"/>
    </row>
    <row r="5" spans="1:9" ht="15" thickBot="1"/>
    <row r="6" spans="1:9" ht="15">
      <c r="A6" s="1">
        <v>1</v>
      </c>
      <c r="B6" s="154" t="s">
        <v>2</v>
      </c>
      <c r="C6" s="155"/>
    </row>
    <row r="7" spans="1:9" ht="15" thickBot="1">
      <c r="B7" s="41" t="s">
        <v>3</v>
      </c>
      <c r="C7" s="42">
        <v>42</v>
      </c>
    </row>
    <row r="8" spans="1:9" ht="15" thickBot="1">
      <c r="B8" s="43" t="s">
        <v>4</v>
      </c>
      <c r="C8" s="44">
        <v>14</v>
      </c>
    </row>
    <row r="9" spans="1:9" ht="15" thickBot="1">
      <c r="B9" s="45" t="s">
        <v>5</v>
      </c>
      <c r="C9" s="46">
        <v>56</v>
      </c>
    </row>
    <row r="11" spans="1:9" ht="15.6">
      <c r="B11" s="156" t="s">
        <v>6</v>
      </c>
      <c r="C11" s="156"/>
    </row>
    <row r="12" spans="1:9" ht="15" thickBot="1">
      <c r="B12" s="40"/>
      <c r="C12" s="40"/>
    </row>
    <row r="13" spans="1:9" ht="26.45" thickBot="1">
      <c r="A13" s="1">
        <v>2</v>
      </c>
      <c r="B13" s="47" t="s">
        <v>7</v>
      </c>
      <c r="C13" s="48" t="s">
        <v>8</v>
      </c>
    </row>
    <row r="14" spans="1:9" ht="15" thickBot="1">
      <c r="B14" s="49" t="s">
        <v>9</v>
      </c>
      <c r="C14" s="50"/>
    </row>
    <row r="15" spans="1:9" ht="15" thickBot="1">
      <c r="B15" s="51" t="s">
        <v>10</v>
      </c>
      <c r="C15" s="52"/>
    </row>
    <row r="16" spans="1:9" ht="15" thickBot="1">
      <c r="B16" s="49" t="s">
        <v>11</v>
      </c>
      <c r="C16" s="53"/>
    </row>
    <row r="17" spans="1:11" ht="26.45" thickBot="1">
      <c r="B17" s="47" t="s">
        <v>12</v>
      </c>
      <c r="C17" s="48" t="s">
        <v>8</v>
      </c>
    </row>
    <row r="18" spans="1:11" ht="15" thickBot="1">
      <c r="B18" s="49" t="s">
        <v>9</v>
      </c>
      <c r="C18" s="54"/>
    </row>
    <row r="19" spans="1:11" ht="15" thickBot="1">
      <c r="B19" s="51" t="s">
        <v>10</v>
      </c>
      <c r="C19" s="55"/>
    </row>
    <row r="20" spans="1:11" ht="15" thickBot="1">
      <c r="B20" s="49" t="s">
        <v>11</v>
      </c>
      <c r="C20" s="56"/>
    </row>
    <row r="21" spans="1:11" ht="26.45" thickBot="1">
      <c r="B21" s="47" t="s">
        <v>13</v>
      </c>
      <c r="C21" s="48" t="s">
        <v>8</v>
      </c>
    </row>
    <row r="22" spans="1:11" ht="15" thickBot="1">
      <c r="B22" s="49" t="s">
        <v>9</v>
      </c>
      <c r="C22" s="54">
        <v>23</v>
      </c>
      <c r="D22" s="39" t="s">
        <v>14</v>
      </c>
    </row>
    <row r="23" spans="1:11" ht="15" thickBot="1">
      <c r="B23" s="51" t="s">
        <v>10</v>
      </c>
      <c r="C23" s="55">
        <v>6.1</v>
      </c>
    </row>
    <row r="24" spans="1:11" ht="15" thickBot="1">
      <c r="B24" s="49" t="s">
        <v>11</v>
      </c>
      <c r="C24" s="56">
        <f>C22/C23</f>
        <v>3.7704918032786887</v>
      </c>
    </row>
    <row r="25" spans="1:11">
      <c r="B25" s="124" t="s">
        <v>15</v>
      </c>
      <c r="C25" s="128"/>
      <c r="D25" s="124"/>
      <c r="E25" s="124"/>
      <c r="F25" s="124"/>
      <c r="G25" s="124"/>
    </row>
    <row r="28" spans="1:11" ht="15.6">
      <c r="B28" s="2" t="s">
        <v>16</v>
      </c>
      <c r="C28" s="119"/>
    </row>
    <row r="29" spans="1:11" ht="15" thickBot="1"/>
    <row r="30" spans="1:11" ht="15" thickBot="1">
      <c r="A30" s="1">
        <v>3</v>
      </c>
      <c r="B30" s="157" t="s">
        <v>17</v>
      </c>
      <c r="C30" s="158"/>
      <c r="D30" s="158"/>
      <c r="E30" s="158"/>
      <c r="F30" s="158"/>
      <c r="G30" s="158"/>
      <c r="H30" s="158"/>
      <c r="I30" s="158"/>
      <c r="J30" s="158"/>
      <c r="K30" s="159"/>
    </row>
    <row r="31" spans="1:11" ht="15" thickBot="1">
      <c r="B31" s="3" t="s">
        <v>18</v>
      </c>
      <c r="C31" s="160" t="s">
        <v>19</v>
      </c>
      <c r="D31" s="161"/>
      <c r="E31" s="162"/>
      <c r="F31" s="163" t="s">
        <v>20</v>
      </c>
      <c r="G31" s="164"/>
      <c r="H31" s="165"/>
      <c r="I31" s="166" t="s">
        <v>2</v>
      </c>
      <c r="J31" s="167"/>
      <c r="K31" s="168"/>
    </row>
    <row r="32" spans="1:11" ht="39.6" thickBot="1">
      <c r="B32" s="3" t="s">
        <v>21</v>
      </c>
      <c r="C32" s="4" t="s">
        <v>22</v>
      </c>
      <c r="D32" s="4" t="s">
        <v>23</v>
      </c>
      <c r="E32" s="4" t="s">
        <v>4</v>
      </c>
      <c r="F32" s="5" t="s">
        <v>22</v>
      </c>
      <c r="G32" s="5" t="s">
        <v>24</v>
      </c>
      <c r="H32" s="5" t="s">
        <v>4</v>
      </c>
      <c r="I32" s="6" t="s">
        <v>22</v>
      </c>
      <c r="J32" s="6" t="s">
        <v>25</v>
      </c>
      <c r="K32" s="7" t="s">
        <v>26</v>
      </c>
    </row>
    <row r="33" spans="1:11">
      <c r="B33" s="184" t="s">
        <v>27</v>
      </c>
      <c r="C33" s="179"/>
      <c r="D33" s="8"/>
      <c r="E33" s="179"/>
      <c r="F33" s="187"/>
      <c r="G33" s="9"/>
      <c r="H33" s="10"/>
      <c r="I33" s="149"/>
      <c r="J33" s="149"/>
      <c r="K33" s="174"/>
    </row>
    <row r="34" spans="1:11">
      <c r="B34" s="185"/>
      <c r="C34" s="180"/>
      <c r="D34" s="11"/>
      <c r="E34" s="180"/>
      <c r="F34" s="188"/>
      <c r="G34" s="12"/>
      <c r="H34" s="13"/>
      <c r="I34" s="150"/>
      <c r="J34" s="150"/>
      <c r="K34" s="175"/>
    </row>
    <row r="35" spans="1:11">
      <c r="B35" s="185"/>
      <c r="C35" s="180"/>
      <c r="D35" s="11"/>
      <c r="E35" s="180"/>
      <c r="F35" s="188"/>
      <c r="G35" s="12"/>
      <c r="H35" s="13"/>
      <c r="I35" s="150"/>
      <c r="J35" s="150"/>
      <c r="K35" s="175"/>
    </row>
    <row r="36" spans="1:11">
      <c r="B36" s="185"/>
      <c r="C36" s="180"/>
      <c r="D36" s="14"/>
      <c r="E36" s="180"/>
      <c r="F36" s="188"/>
      <c r="G36" s="15"/>
      <c r="H36" s="13"/>
      <c r="I36" s="150"/>
      <c r="J36" s="150"/>
      <c r="K36" s="175"/>
    </row>
    <row r="37" spans="1:11" ht="15" thickBot="1">
      <c r="B37" s="186"/>
      <c r="C37" s="181"/>
      <c r="D37" s="16"/>
      <c r="E37" s="181"/>
      <c r="F37" s="189"/>
      <c r="G37" s="17"/>
      <c r="H37" s="18"/>
      <c r="I37" s="151"/>
      <c r="J37" s="151"/>
      <c r="K37" s="176"/>
    </row>
    <row r="38" spans="1:11" ht="15" thickBot="1">
      <c r="B38" s="3" t="s">
        <v>28</v>
      </c>
      <c r="C38" s="19"/>
      <c r="D38" s="19"/>
      <c r="E38" s="19"/>
      <c r="F38" s="20"/>
      <c r="G38" s="20"/>
      <c r="H38" s="20"/>
      <c r="I38" s="21"/>
      <c r="J38" s="21"/>
      <c r="K38" s="22"/>
    </row>
    <row r="39" spans="1:11" ht="26.45" thickBot="1">
      <c r="B39" s="23" t="s">
        <v>29</v>
      </c>
      <c r="C39" s="24"/>
      <c r="D39" s="24"/>
      <c r="E39" s="24"/>
      <c r="F39" s="25"/>
      <c r="G39" s="25"/>
      <c r="H39" s="25"/>
      <c r="I39" s="26"/>
      <c r="J39" s="26"/>
      <c r="K39" s="27"/>
    </row>
    <row r="42" spans="1:11" ht="15.6">
      <c r="B42" s="2" t="s">
        <v>30</v>
      </c>
    </row>
    <row r="43" spans="1:11" ht="15" thickBot="1"/>
    <row r="44" spans="1:11" ht="15" thickBot="1">
      <c r="A44" s="1">
        <v>4</v>
      </c>
      <c r="B44" s="57" t="s">
        <v>19</v>
      </c>
      <c r="C44" s="58"/>
    </row>
    <row r="45" spans="1:11" ht="15" thickBot="1">
      <c r="B45" s="59" t="s">
        <v>20</v>
      </c>
      <c r="C45" s="60"/>
    </row>
    <row r="46" spans="1:11" ht="15" thickBot="1">
      <c r="B46" s="61" t="s">
        <v>2</v>
      </c>
      <c r="C46" s="62">
        <v>18</v>
      </c>
    </row>
    <row r="49" spans="1:6" ht="15.6">
      <c r="B49" s="2" t="s">
        <v>31</v>
      </c>
    </row>
    <row r="50" spans="1:6" ht="15" thickBot="1"/>
    <row r="51" spans="1:6" ht="26.45" thickBot="1">
      <c r="A51" s="1">
        <v>5</v>
      </c>
      <c r="B51" s="28" t="s">
        <v>18</v>
      </c>
      <c r="C51" s="28" t="s">
        <v>32</v>
      </c>
      <c r="D51" s="28" t="s">
        <v>33</v>
      </c>
      <c r="E51" s="28" t="s">
        <v>34</v>
      </c>
      <c r="F51" s="28" t="s">
        <v>35</v>
      </c>
    </row>
    <row r="52" spans="1:6" ht="15" thickBot="1">
      <c r="B52" s="28" t="s">
        <v>19</v>
      </c>
      <c r="C52" s="29"/>
      <c r="D52" s="29"/>
      <c r="E52" s="29"/>
      <c r="F52" s="29"/>
    </row>
    <row r="53" spans="1:6" ht="15" thickBot="1">
      <c r="B53" s="28" t="s">
        <v>20</v>
      </c>
      <c r="C53" s="30"/>
      <c r="D53" s="30"/>
      <c r="E53" s="30"/>
      <c r="F53" s="30"/>
    </row>
    <row r="54" spans="1:6" ht="15" thickBot="1">
      <c r="B54" s="28" t="s">
        <v>2</v>
      </c>
      <c r="C54" s="31">
        <v>0</v>
      </c>
      <c r="D54" s="31">
        <v>0</v>
      </c>
      <c r="E54" s="31">
        <v>0</v>
      </c>
      <c r="F54" s="31">
        <v>0</v>
      </c>
    </row>
    <row r="57" spans="1:6" ht="15.6">
      <c r="B57" s="2" t="s">
        <v>36</v>
      </c>
    </row>
    <row r="58" spans="1:6" ht="15" thickBot="1"/>
    <row r="59" spans="1:6" ht="15" thickBot="1">
      <c r="A59" s="1">
        <v>6</v>
      </c>
      <c r="B59" s="154" t="s">
        <v>37</v>
      </c>
      <c r="C59" s="155"/>
    </row>
    <row r="60" spans="1:6" ht="15" thickBot="1">
      <c r="B60" s="63" t="s">
        <v>38</v>
      </c>
      <c r="C60" s="42"/>
    </row>
    <row r="61" spans="1:6" ht="15" thickBot="1">
      <c r="B61" s="64" t="s">
        <v>4</v>
      </c>
      <c r="C61" s="44"/>
    </row>
    <row r="62" spans="1:6" ht="15" thickBot="1">
      <c r="B62" s="65" t="s">
        <v>39</v>
      </c>
      <c r="C62" s="46">
        <v>4</v>
      </c>
      <c r="D62" s="39" t="s">
        <v>14</v>
      </c>
    </row>
    <row r="63" spans="1:6">
      <c r="B63" s="128" t="s">
        <v>40</v>
      </c>
    </row>
    <row r="64" spans="1:6" ht="15.6">
      <c r="B64" s="2" t="s">
        <v>41</v>
      </c>
    </row>
    <row r="65" spans="1:7" ht="15" thickBot="1"/>
    <row r="66" spans="1:7" ht="26.45" thickBot="1">
      <c r="A66" s="1">
        <v>7</v>
      </c>
      <c r="B66" s="66" t="s">
        <v>42</v>
      </c>
      <c r="C66" s="67" t="s">
        <v>43</v>
      </c>
      <c r="D66" s="67" t="s">
        <v>44</v>
      </c>
      <c r="E66" s="67" t="s">
        <v>45</v>
      </c>
      <c r="F66" s="67" t="s">
        <v>46</v>
      </c>
      <c r="G66" s="68" t="s">
        <v>47</v>
      </c>
    </row>
    <row r="67" spans="1:7" ht="26.45" thickBot="1">
      <c r="B67" s="69" t="s">
        <v>48</v>
      </c>
      <c r="C67" s="70" t="s">
        <v>49</v>
      </c>
      <c r="D67" s="71"/>
      <c r="E67" s="71"/>
      <c r="F67" s="71"/>
      <c r="G67" s="71"/>
    </row>
    <row r="68" spans="1:7" ht="15" thickBot="1">
      <c r="B68" s="69" t="s">
        <v>50</v>
      </c>
      <c r="C68" s="72" t="s">
        <v>51</v>
      </c>
      <c r="D68" s="73"/>
      <c r="E68" s="73"/>
      <c r="F68" s="73"/>
      <c r="G68" s="73"/>
    </row>
    <row r="69" spans="1:7" ht="26.45" thickBot="1">
      <c r="B69" s="69" t="s">
        <v>52</v>
      </c>
      <c r="C69" s="70" t="s">
        <v>53</v>
      </c>
      <c r="D69" s="71"/>
      <c r="E69" s="71"/>
      <c r="F69" s="71"/>
      <c r="G69" s="71"/>
    </row>
    <row r="70" spans="1:7" ht="15" thickBot="1"/>
    <row r="71" spans="1:7" ht="26.45" thickBot="1">
      <c r="A71" s="1">
        <v>8</v>
      </c>
      <c r="B71" s="74" t="s">
        <v>42</v>
      </c>
      <c r="C71" s="75" t="s">
        <v>43</v>
      </c>
      <c r="D71" s="75" t="s">
        <v>44</v>
      </c>
      <c r="E71" s="75" t="s">
        <v>45</v>
      </c>
      <c r="F71" s="74" t="s">
        <v>46</v>
      </c>
      <c r="G71" s="75" t="s">
        <v>47</v>
      </c>
    </row>
    <row r="72" spans="1:7" ht="27" thickTop="1" thickBot="1">
      <c r="B72" s="76" t="s">
        <v>54</v>
      </c>
      <c r="C72" s="77" t="s">
        <v>55</v>
      </c>
      <c r="D72" s="78"/>
      <c r="E72" s="78"/>
      <c r="F72" s="78"/>
      <c r="G72" s="78"/>
    </row>
    <row r="73" spans="1:7" ht="32.1" customHeight="1">
      <c r="B73" s="182" t="s">
        <v>56</v>
      </c>
      <c r="C73" s="190" t="s">
        <v>57</v>
      </c>
      <c r="D73" s="177"/>
      <c r="E73" s="177"/>
      <c r="F73" s="79"/>
      <c r="G73" s="177"/>
    </row>
    <row r="74" spans="1:7" ht="15" thickBot="1">
      <c r="B74" s="183"/>
      <c r="C74" s="191"/>
      <c r="D74" s="178"/>
      <c r="E74" s="178"/>
      <c r="F74" s="80"/>
      <c r="G74" s="178"/>
    </row>
    <row r="75" spans="1:7" ht="15" thickBot="1"/>
    <row r="76" spans="1:7" ht="26.45" thickBot="1">
      <c r="A76" s="1">
        <v>9</v>
      </c>
      <c r="B76" s="81" t="s">
        <v>42</v>
      </c>
      <c r="C76" s="82" t="s">
        <v>43</v>
      </c>
      <c r="D76" s="82" t="s">
        <v>44</v>
      </c>
      <c r="E76" s="82" t="s">
        <v>45</v>
      </c>
      <c r="F76" s="83" t="s">
        <v>46</v>
      </c>
      <c r="G76" s="84" t="s">
        <v>47</v>
      </c>
    </row>
    <row r="77" spans="1:7" ht="39">
      <c r="B77" s="123" t="s">
        <v>58</v>
      </c>
      <c r="C77" s="169" t="s">
        <v>59</v>
      </c>
      <c r="D77" s="85" t="s">
        <v>60</v>
      </c>
      <c r="E77" s="86">
        <v>6.1</v>
      </c>
      <c r="F77" s="86" t="s">
        <v>61</v>
      </c>
      <c r="G77" s="126">
        <v>3.77</v>
      </c>
    </row>
    <row r="78" spans="1:7">
      <c r="B78" s="125"/>
      <c r="C78" s="169"/>
      <c r="D78" s="85"/>
      <c r="E78" s="86"/>
      <c r="F78" s="86"/>
      <c r="G78" s="86"/>
    </row>
    <row r="79" spans="1:7">
      <c r="B79" s="39" t="s">
        <v>62</v>
      </c>
    </row>
    <row r="80" spans="1:7" ht="15.6">
      <c r="B80" s="2" t="s">
        <v>63</v>
      </c>
    </row>
    <row r="81" spans="1:8" ht="15" thickBot="1"/>
    <row r="82" spans="1:8" ht="26.45" thickBot="1">
      <c r="A82" s="1">
        <v>10</v>
      </c>
      <c r="B82" s="66" t="s">
        <v>42</v>
      </c>
      <c r="C82" s="67" t="s">
        <v>43</v>
      </c>
      <c r="D82" s="67" t="s">
        <v>64</v>
      </c>
      <c r="E82" s="67" t="s">
        <v>65</v>
      </c>
      <c r="F82" s="67" t="s">
        <v>66</v>
      </c>
      <c r="G82" s="68" t="s">
        <v>46</v>
      </c>
    </row>
    <row r="83" spans="1:8" ht="26.45" thickBot="1">
      <c r="B83" s="69" t="s">
        <v>48</v>
      </c>
      <c r="C83" s="70" t="s">
        <v>49</v>
      </c>
      <c r="D83" s="71"/>
      <c r="E83" s="71"/>
      <c r="F83" s="71"/>
      <c r="G83" s="71"/>
    </row>
    <row r="84" spans="1:8" ht="15" thickBot="1">
      <c r="B84" s="69" t="s">
        <v>50</v>
      </c>
      <c r="C84" s="72" t="s">
        <v>51</v>
      </c>
      <c r="D84" s="73"/>
      <c r="E84" s="73"/>
      <c r="F84" s="73"/>
      <c r="G84" s="73"/>
    </row>
    <row r="85" spans="1:8" ht="26.45" thickBot="1">
      <c r="B85" s="69" t="s">
        <v>52</v>
      </c>
      <c r="C85" s="70" t="s">
        <v>53</v>
      </c>
      <c r="D85" s="71"/>
      <c r="E85" s="71"/>
      <c r="F85" s="71"/>
      <c r="G85" s="71"/>
    </row>
    <row r="86" spans="1:8" ht="15" thickBot="1"/>
    <row r="87" spans="1:8" ht="26.45" thickBot="1">
      <c r="A87" s="1">
        <v>11</v>
      </c>
      <c r="B87" s="87" t="s">
        <v>42</v>
      </c>
      <c r="C87" s="88" t="s">
        <v>43</v>
      </c>
      <c r="D87" s="88" t="s">
        <v>64</v>
      </c>
      <c r="E87" s="88" t="s">
        <v>65</v>
      </c>
      <c r="F87" s="88" t="s">
        <v>67</v>
      </c>
      <c r="G87" s="89" t="s">
        <v>46</v>
      </c>
    </row>
    <row r="88" spans="1:8" ht="26.45" thickBot="1">
      <c r="B88" s="90" t="s">
        <v>54</v>
      </c>
      <c r="C88" s="91" t="s">
        <v>55</v>
      </c>
      <c r="D88" s="92"/>
      <c r="E88" s="92"/>
      <c r="F88" s="92"/>
      <c r="G88" s="92"/>
    </row>
    <row r="89" spans="1:8" ht="15" thickBot="1">
      <c r="B89" s="90" t="s">
        <v>56</v>
      </c>
      <c r="C89" s="93" t="s">
        <v>57</v>
      </c>
      <c r="D89" s="94"/>
      <c r="E89" s="94"/>
      <c r="F89" s="94"/>
      <c r="G89" s="94"/>
    </row>
    <row r="90" spans="1:8" ht="15" thickBot="1"/>
    <row r="91" spans="1:8" ht="26.45" thickBot="1">
      <c r="A91" s="1">
        <v>12</v>
      </c>
      <c r="B91" s="95" t="s">
        <v>42</v>
      </c>
      <c r="C91" s="83" t="s">
        <v>43</v>
      </c>
      <c r="D91" s="83" t="s">
        <v>64</v>
      </c>
      <c r="E91" s="83" t="s">
        <v>65</v>
      </c>
      <c r="F91" s="83" t="s">
        <v>68</v>
      </c>
      <c r="G91" s="96" t="s">
        <v>46</v>
      </c>
    </row>
    <row r="92" spans="1:8" ht="156.6" thickBot="1">
      <c r="B92" s="97" t="s">
        <v>58</v>
      </c>
      <c r="C92" s="98" t="s">
        <v>69</v>
      </c>
      <c r="D92" s="99">
        <v>1</v>
      </c>
      <c r="E92" s="99">
        <v>0</v>
      </c>
      <c r="F92" s="100" t="s">
        <v>70</v>
      </c>
      <c r="G92" s="100" t="s">
        <v>71</v>
      </c>
    </row>
    <row r="95" spans="1:8">
      <c r="B95" s="133" t="s">
        <v>72</v>
      </c>
      <c r="C95" s="133"/>
      <c r="D95" s="133"/>
      <c r="E95" s="133"/>
      <c r="F95" s="133"/>
      <c r="G95" s="133"/>
      <c r="H95" s="133"/>
    </row>
    <row r="96" spans="1:8" ht="15.6">
      <c r="B96" s="134" t="s">
        <v>73</v>
      </c>
      <c r="C96" s="134"/>
      <c r="D96" s="134"/>
      <c r="E96" s="134"/>
      <c r="F96" s="134"/>
      <c r="G96" s="134"/>
      <c r="H96" s="134"/>
    </row>
    <row r="97" spans="1:7" ht="15" thickBot="1">
      <c r="A97" s="1">
        <v>12</v>
      </c>
      <c r="B97" s="101" t="s">
        <v>18</v>
      </c>
      <c r="C97" s="102" t="s">
        <v>74</v>
      </c>
      <c r="D97" s="102" t="s">
        <v>75</v>
      </c>
      <c r="E97" s="102" t="s">
        <v>76</v>
      </c>
      <c r="F97" s="102" t="s">
        <v>77</v>
      </c>
      <c r="G97" s="103" t="s">
        <v>78</v>
      </c>
    </row>
    <row r="98" spans="1:7">
      <c r="B98" s="135" t="s">
        <v>79</v>
      </c>
      <c r="C98" s="104" t="s">
        <v>48</v>
      </c>
      <c r="D98" s="105" t="s">
        <v>80</v>
      </c>
      <c r="E98" s="32" t="s">
        <v>81</v>
      </c>
      <c r="F98" s="33" t="s">
        <v>82</v>
      </c>
      <c r="G98" s="34"/>
    </row>
    <row r="99" spans="1:7">
      <c r="B99" s="136"/>
      <c r="C99" s="106" t="s">
        <v>48</v>
      </c>
      <c r="D99" s="107" t="s">
        <v>83</v>
      </c>
      <c r="E99" s="35" t="s">
        <v>84</v>
      </c>
      <c r="F99" s="36" t="s">
        <v>85</v>
      </c>
      <c r="G99" s="37"/>
    </row>
    <row r="100" spans="1:7">
      <c r="B100" s="136"/>
      <c r="C100" s="106" t="s">
        <v>48</v>
      </c>
      <c r="D100" s="107" t="s">
        <v>86</v>
      </c>
      <c r="E100" s="35" t="s">
        <v>87</v>
      </c>
      <c r="F100" s="36" t="s">
        <v>88</v>
      </c>
      <c r="G100" s="37"/>
    </row>
    <row r="101" spans="1:7">
      <c r="B101" s="136"/>
      <c r="C101" s="106" t="s">
        <v>48</v>
      </c>
      <c r="D101" s="107" t="s">
        <v>89</v>
      </c>
      <c r="E101" s="35" t="s">
        <v>90</v>
      </c>
      <c r="F101" s="36" t="s">
        <v>88</v>
      </c>
      <c r="G101" s="37"/>
    </row>
    <row r="102" spans="1:7">
      <c r="B102" s="136"/>
      <c r="C102" s="106" t="s">
        <v>48</v>
      </c>
      <c r="D102" s="107" t="s">
        <v>91</v>
      </c>
      <c r="E102" s="35" t="s">
        <v>92</v>
      </c>
      <c r="F102" s="36" t="s">
        <v>93</v>
      </c>
      <c r="G102" s="37"/>
    </row>
    <row r="103" spans="1:7">
      <c r="B103" s="136"/>
      <c r="C103" s="106" t="s">
        <v>48</v>
      </c>
      <c r="D103" s="107" t="s">
        <v>94</v>
      </c>
      <c r="E103" s="35" t="s">
        <v>95</v>
      </c>
      <c r="F103" s="36" t="s">
        <v>88</v>
      </c>
      <c r="G103" s="37"/>
    </row>
    <row r="104" spans="1:7">
      <c r="B104" s="136"/>
      <c r="C104" s="106" t="s">
        <v>48</v>
      </c>
      <c r="D104" s="107" t="s">
        <v>96</v>
      </c>
      <c r="E104" s="35" t="s">
        <v>97</v>
      </c>
      <c r="F104" s="36" t="s">
        <v>93</v>
      </c>
      <c r="G104" s="37"/>
    </row>
    <row r="105" spans="1:7">
      <c r="B105" s="136"/>
      <c r="C105" s="106" t="s">
        <v>48</v>
      </c>
      <c r="D105" s="107" t="s">
        <v>98</v>
      </c>
      <c r="E105" s="35" t="s">
        <v>99</v>
      </c>
      <c r="F105" s="36" t="s">
        <v>88</v>
      </c>
      <c r="G105" s="37"/>
    </row>
    <row r="106" spans="1:7">
      <c r="B106" s="136"/>
      <c r="C106" s="106" t="s">
        <v>48</v>
      </c>
      <c r="D106" s="108" t="s">
        <v>100</v>
      </c>
      <c r="E106" s="35" t="s">
        <v>101</v>
      </c>
      <c r="F106" s="36" t="s">
        <v>102</v>
      </c>
      <c r="G106" s="37"/>
    </row>
    <row r="107" spans="1:7">
      <c r="B107" s="136"/>
      <c r="C107" s="104" t="s">
        <v>50</v>
      </c>
      <c r="D107" s="105" t="s">
        <v>103</v>
      </c>
      <c r="E107" s="32" t="s">
        <v>104</v>
      </c>
      <c r="F107" s="33" t="s">
        <v>82</v>
      </c>
      <c r="G107" s="34"/>
    </row>
    <row r="108" spans="1:7">
      <c r="B108" s="136"/>
      <c r="C108" s="106" t="s">
        <v>50</v>
      </c>
      <c r="D108" s="107" t="s">
        <v>105</v>
      </c>
      <c r="E108" s="35" t="s">
        <v>106</v>
      </c>
      <c r="F108" s="36" t="s">
        <v>102</v>
      </c>
      <c r="G108" s="37"/>
    </row>
    <row r="109" spans="1:7">
      <c r="B109" s="136"/>
      <c r="C109" s="106" t="s">
        <v>50</v>
      </c>
      <c r="D109" s="107" t="s">
        <v>107</v>
      </c>
      <c r="E109" s="35" t="s">
        <v>108</v>
      </c>
      <c r="F109" s="36" t="s">
        <v>85</v>
      </c>
      <c r="G109" s="37"/>
    </row>
    <row r="110" spans="1:7">
      <c r="B110" s="136"/>
      <c r="C110" s="106" t="s">
        <v>50</v>
      </c>
      <c r="D110" s="108" t="s">
        <v>109</v>
      </c>
      <c r="E110" s="35" t="s">
        <v>110</v>
      </c>
      <c r="F110" s="36" t="s">
        <v>85</v>
      </c>
      <c r="G110" s="37"/>
    </row>
    <row r="111" spans="1:7">
      <c r="B111" s="136"/>
      <c r="C111" s="106" t="s">
        <v>50</v>
      </c>
      <c r="D111" s="108" t="s">
        <v>111</v>
      </c>
      <c r="E111" s="35" t="s">
        <v>112</v>
      </c>
      <c r="F111" s="36" t="s">
        <v>113</v>
      </c>
      <c r="G111" s="37"/>
    </row>
    <row r="112" spans="1:7">
      <c r="B112" s="136"/>
      <c r="C112" s="106" t="s">
        <v>50</v>
      </c>
      <c r="D112" s="107" t="s">
        <v>114</v>
      </c>
      <c r="E112" s="35" t="s">
        <v>115</v>
      </c>
      <c r="F112" s="36" t="s">
        <v>85</v>
      </c>
      <c r="G112" s="37"/>
    </row>
    <row r="113" spans="2:7">
      <c r="B113" s="136"/>
      <c r="C113" s="106" t="s">
        <v>50</v>
      </c>
      <c r="D113" s="107" t="s">
        <v>116</v>
      </c>
      <c r="E113" s="35" t="s">
        <v>117</v>
      </c>
      <c r="F113" s="36" t="s">
        <v>93</v>
      </c>
      <c r="G113" s="37"/>
    </row>
    <row r="114" spans="2:7">
      <c r="B114" s="136"/>
      <c r="C114" s="104" t="s">
        <v>52</v>
      </c>
      <c r="D114" s="105" t="s">
        <v>118</v>
      </c>
      <c r="E114" s="32" t="s">
        <v>119</v>
      </c>
      <c r="F114" s="33" t="s">
        <v>120</v>
      </c>
      <c r="G114" s="34"/>
    </row>
    <row r="115" spans="2:7">
      <c r="B115" s="136"/>
      <c r="C115" s="106" t="s">
        <v>52</v>
      </c>
      <c r="D115" s="107" t="s">
        <v>121</v>
      </c>
      <c r="E115" s="35" t="s">
        <v>122</v>
      </c>
      <c r="F115" s="36" t="s">
        <v>93</v>
      </c>
      <c r="G115" s="37"/>
    </row>
    <row r="116" spans="2:7">
      <c r="B116" s="136"/>
      <c r="C116" s="106" t="s">
        <v>52</v>
      </c>
      <c r="D116" s="107" t="s">
        <v>123</v>
      </c>
      <c r="E116" s="35" t="s">
        <v>124</v>
      </c>
      <c r="F116" s="36" t="s">
        <v>102</v>
      </c>
      <c r="G116" s="37"/>
    </row>
    <row r="117" spans="2:7">
      <c r="B117" s="136"/>
      <c r="C117" s="106" t="s">
        <v>52</v>
      </c>
      <c r="D117" s="107" t="s">
        <v>125</v>
      </c>
      <c r="E117" s="35" t="s">
        <v>126</v>
      </c>
      <c r="F117" s="36" t="s">
        <v>102</v>
      </c>
      <c r="G117" s="37"/>
    </row>
    <row r="118" spans="2:7">
      <c r="B118" s="136"/>
      <c r="C118" s="106" t="s">
        <v>52</v>
      </c>
      <c r="D118" s="107" t="s">
        <v>127</v>
      </c>
      <c r="E118" s="35" t="s">
        <v>128</v>
      </c>
      <c r="F118" s="36" t="s">
        <v>85</v>
      </c>
      <c r="G118" s="37"/>
    </row>
    <row r="119" spans="2:7">
      <c r="B119" s="136"/>
      <c r="C119" s="106" t="s">
        <v>52</v>
      </c>
      <c r="D119" s="109" t="s">
        <v>129</v>
      </c>
      <c r="E119" s="35" t="s">
        <v>130</v>
      </c>
      <c r="F119" s="36" t="s">
        <v>93</v>
      </c>
      <c r="G119" s="37"/>
    </row>
    <row r="120" spans="2:7">
      <c r="B120" s="136"/>
      <c r="C120" s="106" t="s">
        <v>52</v>
      </c>
      <c r="D120" s="109" t="s">
        <v>131</v>
      </c>
      <c r="E120" s="35" t="s">
        <v>132</v>
      </c>
      <c r="F120" s="36" t="s">
        <v>93</v>
      </c>
      <c r="G120" s="37"/>
    </row>
    <row r="121" spans="2:7">
      <c r="B121" s="136"/>
      <c r="C121" s="106" t="s">
        <v>52</v>
      </c>
      <c r="D121" s="107" t="s">
        <v>133</v>
      </c>
      <c r="E121" s="35" t="s">
        <v>134</v>
      </c>
      <c r="F121" s="36" t="s">
        <v>93</v>
      </c>
      <c r="G121" s="37"/>
    </row>
    <row r="122" spans="2:7" ht="15" thickBot="1">
      <c r="B122" s="137"/>
      <c r="C122" s="106" t="s">
        <v>52</v>
      </c>
      <c r="D122" s="109" t="s">
        <v>135</v>
      </c>
      <c r="E122" s="35" t="s">
        <v>136</v>
      </c>
      <c r="F122" s="36" t="s">
        <v>88</v>
      </c>
      <c r="G122" s="37"/>
    </row>
    <row r="123" spans="2:7">
      <c r="B123" s="135" t="s">
        <v>137</v>
      </c>
      <c r="C123" s="104" t="s">
        <v>138</v>
      </c>
      <c r="D123" s="105" t="s">
        <v>139</v>
      </c>
      <c r="E123" s="32" t="s">
        <v>140</v>
      </c>
      <c r="F123" s="33" t="s">
        <v>82</v>
      </c>
      <c r="G123" s="34"/>
    </row>
    <row r="124" spans="2:7">
      <c r="B124" s="136"/>
      <c r="C124" s="110" t="s">
        <v>54</v>
      </c>
      <c r="D124" s="108" t="s">
        <v>141</v>
      </c>
      <c r="E124" s="35" t="s">
        <v>142</v>
      </c>
      <c r="F124" s="36" t="s">
        <v>102</v>
      </c>
      <c r="G124" s="37"/>
    </row>
    <row r="125" spans="2:7">
      <c r="B125" s="136"/>
      <c r="C125" s="110" t="s">
        <v>54</v>
      </c>
      <c r="D125" s="108" t="s">
        <v>100</v>
      </c>
      <c r="E125" s="35" t="s">
        <v>143</v>
      </c>
      <c r="F125" s="36" t="s">
        <v>102</v>
      </c>
      <c r="G125" s="37"/>
    </row>
    <row r="126" spans="2:7">
      <c r="B126" s="136"/>
      <c r="C126" s="110" t="s">
        <v>54</v>
      </c>
      <c r="D126" s="108" t="s">
        <v>144</v>
      </c>
      <c r="E126" s="35" t="s">
        <v>145</v>
      </c>
      <c r="F126" s="36" t="s">
        <v>102</v>
      </c>
      <c r="G126" s="37"/>
    </row>
    <row r="127" spans="2:7">
      <c r="B127" s="136"/>
      <c r="C127" s="110" t="s">
        <v>54</v>
      </c>
      <c r="D127" s="108" t="s">
        <v>146</v>
      </c>
      <c r="E127" s="35" t="s">
        <v>147</v>
      </c>
      <c r="F127" s="36" t="s">
        <v>148</v>
      </c>
      <c r="G127" s="37"/>
    </row>
    <row r="128" spans="2:7">
      <c r="B128" s="136"/>
      <c r="C128" s="110" t="s">
        <v>54</v>
      </c>
      <c r="D128" s="108" t="s">
        <v>149</v>
      </c>
      <c r="E128" s="35" t="s">
        <v>150</v>
      </c>
      <c r="F128" s="36" t="s">
        <v>93</v>
      </c>
      <c r="G128" s="37"/>
    </row>
    <row r="129" spans="2:7">
      <c r="B129" s="136"/>
      <c r="C129" s="110" t="s">
        <v>54</v>
      </c>
      <c r="D129" s="108" t="s">
        <v>151</v>
      </c>
      <c r="E129" s="35" t="s">
        <v>152</v>
      </c>
      <c r="F129" s="36" t="s">
        <v>93</v>
      </c>
      <c r="G129" s="38"/>
    </row>
    <row r="130" spans="2:7">
      <c r="B130" s="136"/>
      <c r="C130" s="110" t="s">
        <v>54</v>
      </c>
      <c r="D130" s="108" t="s">
        <v>153</v>
      </c>
      <c r="E130" s="35" t="s">
        <v>154</v>
      </c>
      <c r="F130" s="36" t="s">
        <v>102</v>
      </c>
      <c r="G130" s="38"/>
    </row>
    <row r="131" spans="2:7">
      <c r="B131" s="136"/>
      <c r="C131" s="104" t="s">
        <v>56</v>
      </c>
      <c r="D131" s="105" t="s">
        <v>155</v>
      </c>
      <c r="E131" s="32" t="s">
        <v>156</v>
      </c>
      <c r="F131" s="33" t="s">
        <v>82</v>
      </c>
      <c r="G131" s="34"/>
    </row>
    <row r="132" spans="2:7">
      <c r="B132" s="136"/>
      <c r="C132" s="110" t="s">
        <v>56</v>
      </c>
      <c r="D132" s="108" t="s">
        <v>157</v>
      </c>
      <c r="E132" s="35" t="s">
        <v>158</v>
      </c>
      <c r="F132" s="36" t="s">
        <v>85</v>
      </c>
      <c r="G132" s="37"/>
    </row>
    <row r="133" spans="2:7">
      <c r="B133" s="136"/>
      <c r="C133" s="110" t="s">
        <v>56</v>
      </c>
      <c r="D133" s="108" t="s">
        <v>159</v>
      </c>
      <c r="E133" s="35" t="s">
        <v>160</v>
      </c>
      <c r="F133" s="36" t="s">
        <v>102</v>
      </c>
      <c r="G133" s="37"/>
    </row>
    <row r="134" spans="2:7">
      <c r="B134" s="136"/>
      <c r="C134" s="110" t="s">
        <v>56</v>
      </c>
      <c r="D134" s="108" t="s">
        <v>161</v>
      </c>
      <c r="E134" s="35" t="s">
        <v>162</v>
      </c>
      <c r="F134" s="36" t="s">
        <v>148</v>
      </c>
      <c r="G134" s="37"/>
    </row>
    <row r="135" spans="2:7">
      <c r="B135" s="136"/>
      <c r="C135" s="110" t="s">
        <v>56</v>
      </c>
      <c r="D135" s="108" t="s">
        <v>163</v>
      </c>
      <c r="E135" s="35" t="s">
        <v>164</v>
      </c>
      <c r="F135" s="36" t="s">
        <v>102</v>
      </c>
      <c r="G135" s="37"/>
    </row>
    <row r="136" spans="2:7">
      <c r="B136" s="136"/>
      <c r="C136" s="110" t="s">
        <v>56</v>
      </c>
      <c r="D136" s="108" t="s">
        <v>165</v>
      </c>
      <c r="E136" s="35" t="s">
        <v>166</v>
      </c>
      <c r="F136" s="36" t="s">
        <v>88</v>
      </c>
      <c r="G136" s="37"/>
    </row>
    <row r="137" spans="2:7" ht="15" thickBot="1">
      <c r="B137" s="137"/>
      <c r="C137" s="110" t="s">
        <v>56</v>
      </c>
      <c r="D137" s="108" t="s">
        <v>167</v>
      </c>
      <c r="E137" s="35" t="s">
        <v>168</v>
      </c>
      <c r="F137" s="36" t="s">
        <v>148</v>
      </c>
      <c r="G137" s="37"/>
    </row>
    <row r="138" spans="2:7">
      <c r="B138" s="135" t="s">
        <v>169</v>
      </c>
      <c r="C138" s="104" t="s">
        <v>170</v>
      </c>
      <c r="D138" s="105" t="s">
        <v>171</v>
      </c>
      <c r="E138" s="32" t="s">
        <v>172</v>
      </c>
      <c r="F138" s="33" t="s">
        <v>82</v>
      </c>
      <c r="G138" s="34"/>
    </row>
    <row r="139" spans="2:7">
      <c r="B139" s="136"/>
      <c r="C139" s="110" t="s">
        <v>58</v>
      </c>
      <c r="D139" s="108" t="s">
        <v>173</v>
      </c>
      <c r="E139" s="35" t="s">
        <v>174</v>
      </c>
      <c r="F139" s="36" t="s">
        <v>88</v>
      </c>
      <c r="G139" s="37">
        <v>1</v>
      </c>
    </row>
    <row r="140" spans="2:7">
      <c r="B140" s="136"/>
      <c r="C140" s="110" t="s">
        <v>58</v>
      </c>
      <c r="D140" s="108" t="s">
        <v>175</v>
      </c>
      <c r="E140" s="35" t="s">
        <v>176</v>
      </c>
      <c r="F140" s="36" t="s">
        <v>85</v>
      </c>
      <c r="G140" s="37">
        <v>3</v>
      </c>
    </row>
    <row r="141" spans="2:7">
      <c r="B141" s="136"/>
      <c r="C141" s="110" t="s">
        <v>58</v>
      </c>
      <c r="D141" s="108" t="s">
        <v>177</v>
      </c>
      <c r="E141" s="35" t="s">
        <v>178</v>
      </c>
      <c r="F141" s="36" t="s">
        <v>88</v>
      </c>
      <c r="G141" s="37">
        <v>6</v>
      </c>
    </row>
    <row r="142" spans="2:7">
      <c r="B142" s="136"/>
      <c r="C142" s="110" t="s">
        <v>58</v>
      </c>
      <c r="D142" s="108" t="s">
        <v>179</v>
      </c>
      <c r="E142" s="35" t="s">
        <v>180</v>
      </c>
      <c r="F142" s="36" t="s">
        <v>85</v>
      </c>
      <c r="G142" s="37">
        <v>3</v>
      </c>
    </row>
    <row r="143" spans="2:7">
      <c r="B143" s="136"/>
      <c r="C143" s="110" t="s">
        <v>58</v>
      </c>
      <c r="D143" s="109" t="s">
        <v>181</v>
      </c>
      <c r="E143" s="35" t="s">
        <v>182</v>
      </c>
      <c r="F143" s="36" t="s">
        <v>93</v>
      </c>
      <c r="G143" s="37">
        <v>2</v>
      </c>
    </row>
    <row r="144" spans="2:7">
      <c r="B144" s="136"/>
      <c r="C144" s="110" t="s">
        <v>58</v>
      </c>
      <c r="D144" s="109" t="s">
        <v>183</v>
      </c>
      <c r="E144" s="35" t="s">
        <v>184</v>
      </c>
      <c r="F144" s="36" t="s">
        <v>88</v>
      </c>
      <c r="G144" s="37">
        <v>4</v>
      </c>
    </row>
    <row r="145" spans="1:7" ht="15" thickBot="1">
      <c r="B145" s="138"/>
      <c r="C145" s="109" t="s">
        <v>58</v>
      </c>
      <c r="D145" s="109" t="s">
        <v>185</v>
      </c>
      <c r="E145" s="35" t="s">
        <v>186</v>
      </c>
      <c r="F145" s="36" t="s">
        <v>85</v>
      </c>
      <c r="G145" s="37">
        <v>4</v>
      </c>
    </row>
    <row r="146" spans="1:7">
      <c r="G146" s="39">
        <f>SUM(G139:G145)</f>
        <v>23</v>
      </c>
    </row>
    <row r="148" spans="1:7" ht="15.6">
      <c r="B148" s="2" t="s">
        <v>187</v>
      </c>
    </row>
    <row r="150" spans="1:7">
      <c r="A150" s="1">
        <v>14</v>
      </c>
      <c r="B150" s="111"/>
      <c r="C150" s="170" t="s">
        <v>8</v>
      </c>
      <c r="D150" s="170"/>
    </row>
    <row r="151" spans="1:7" ht="15" thickBot="1">
      <c r="B151" s="112"/>
      <c r="C151" s="113" t="s">
        <v>188</v>
      </c>
      <c r="D151" s="113" t="s">
        <v>189</v>
      </c>
    </row>
    <row r="152" spans="1:7">
      <c r="B152" s="139" t="s">
        <v>19</v>
      </c>
      <c r="C152" s="142"/>
      <c r="D152" s="114"/>
    </row>
    <row r="153" spans="1:7">
      <c r="B153" s="140"/>
      <c r="C153" s="143"/>
      <c r="D153" s="115"/>
    </row>
    <row r="154" spans="1:7">
      <c r="B154" s="140"/>
      <c r="C154" s="143"/>
      <c r="D154" s="115"/>
    </row>
    <row r="155" spans="1:7">
      <c r="B155" s="140"/>
      <c r="C155" s="143"/>
      <c r="D155" s="115"/>
    </row>
    <row r="156" spans="1:7" ht="15" thickBot="1">
      <c r="B156" s="141"/>
      <c r="C156" s="144"/>
      <c r="D156" s="116" t="s">
        <v>190</v>
      </c>
    </row>
    <row r="157" spans="1:7">
      <c r="B157" s="145" t="s">
        <v>20</v>
      </c>
      <c r="C157" s="171"/>
      <c r="D157" s="130"/>
    </row>
    <row r="158" spans="1:7">
      <c r="B158" s="146"/>
      <c r="C158" s="172"/>
      <c r="D158" s="131"/>
    </row>
    <row r="159" spans="1:7">
      <c r="B159" s="146"/>
      <c r="C159" s="172"/>
      <c r="D159" s="131"/>
    </row>
    <row r="160" spans="1:7">
      <c r="B160" s="146"/>
      <c r="C160" s="172"/>
      <c r="D160" s="131"/>
    </row>
    <row r="161" spans="1:4">
      <c r="B161" s="146"/>
      <c r="C161" s="172"/>
      <c r="D161" s="131"/>
    </row>
    <row r="162" spans="1:4" ht="15" thickBot="1">
      <c r="B162" s="147"/>
      <c r="C162" s="173"/>
      <c r="D162" s="132"/>
    </row>
    <row r="163" spans="1:4" ht="236.45" customHeight="1" thickBot="1">
      <c r="B163" s="117" t="s">
        <v>2</v>
      </c>
      <c r="C163" s="127" t="s">
        <v>191</v>
      </c>
      <c r="D163" s="129" t="s">
        <v>192</v>
      </c>
    </row>
    <row r="164" spans="1:4" ht="15" thickBot="1">
      <c r="B164" s="118" t="s">
        <v>5</v>
      </c>
      <c r="C164" s="118"/>
      <c r="D164" s="118"/>
    </row>
    <row r="166" spans="1:4">
      <c r="B166" s="122" t="s">
        <v>193</v>
      </c>
    </row>
    <row r="168" spans="1:4">
      <c r="A168" s="1">
        <v>14</v>
      </c>
      <c r="B168" s="152" t="s">
        <v>194</v>
      </c>
      <c r="C168" s="153" t="s">
        <v>195</v>
      </c>
    </row>
    <row r="169" spans="1:4">
      <c r="B169" s="152"/>
      <c r="C169" s="152"/>
    </row>
    <row r="170" spans="1:4" ht="18.95" thickBot="1">
      <c r="B170" s="120" t="s">
        <v>196</v>
      </c>
      <c r="C170" s="121">
        <v>22</v>
      </c>
      <c r="D170" s="39" t="s">
        <v>14</v>
      </c>
    </row>
    <row r="171" spans="1:4" ht="18.95" thickBot="1">
      <c r="B171" s="120" t="s">
        <v>197</v>
      </c>
      <c r="C171" s="121"/>
    </row>
    <row r="172" spans="1:4" ht="18.95" thickBot="1">
      <c r="B172" s="120" t="s">
        <v>198</v>
      </c>
      <c r="C172" s="121">
        <v>1</v>
      </c>
    </row>
    <row r="173" spans="1:4" ht="18.95" thickBot="1">
      <c r="B173" s="120" t="s">
        <v>199</v>
      </c>
      <c r="C173" s="121"/>
    </row>
    <row r="174" spans="1:4" ht="18.95" thickBot="1">
      <c r="B174" s="120" t="s">
        <v>200</v>
      </c>
      <c r="C174" s="121"/>
    </row>
    <row r="175" spans="1:4" ht="18.95" thickBot="1">
      <c r="B175" s="120" t="s">
        <v>201</v>
      </c>
      <c r="C175" s="121"/>
    </row>
    <row r="176" spans="1:4" ht="18.95" thickBot="1">
      <c r="B176" s="120" t="s">
        <v>195</v>
      </c>
      <c r="C176" s="121">
        <f>SUM(C170:C175)</f>
        <v>23</v>
      </c>
    </row>
    <row r="177" spans="2:2">
      <c r="B177" s="39" t="s">
        <v>202</v>
      </c>
    </row>
  </sheetData>
  <mergeCells count="35">
    <mergeCell ref="G73:G74"/>
    <mergeCell ref="C33:C37"/>
    <mergeCell ref="B59:C59"/>
    <mergeCell ref="B73:B74"/>
    <mergeCell ref="B33:B37"/>
    <mergeCell ref="E33:E37"/>
    <mergeCell ref="F33:F37"/>
    <mergeCell ref="C73:C74"/>
    <mergeCell ref="D73:D74"/>
    <mergeCell ref="E73:E74"/>
    <mergeCell ref="B2:I2"/>
    <mergeCell ref="I33:I37"/>
    <mergeCell ref="B168:B169"/>
    <mergeCell ref="C168:C169"/>
    <mergeCell ref="B6:C6"/>
    <mergeCell ref="B4:C4"/>
    <mergeCell ref="B11:C11"/>
    <mergeCell ref="B30:K30"/>
    <mergeCell ref="C31:E31"/>
    <mergeCell ref="F31:H31"/>
    <mergeCell ref="I31:K31"/>
    <mergeCell ref="C77:C78"/>
    <mergeCell ref="C150:D150"/>
    <mergeCell ref="J33:J37"/>
    <mergeCell ref="C157:C162"/>
    <mergeCell ref="K33:K37"/>
    <mergeCell ref="D157:D162"/>
    <mergeCell ref="B95:H95"/>
    <mergeCell ref="B96:H96"/>
    <mergeCell ref="B98:B122"/>
    <mergeCell ref="B123:B137"/>
    <mergeCell ref="B138:B145"/>
    <mergeCell ref="B152:B156"/>
    <mergeCell ref="C152:C156"/>
    <mergeCell ref="B157:B162"/>
  </mergeCells>
  <conditionalFormatting sqref="A150 A6 A13 A30 A44 A51 A59 A66 A71 A76 A82 A87 A91">
    <cfRule type="iconSet" priority="3">
      <iconSet iconSet="3Symbols2" showValue="0">
        <cfvo type="percent" val="0"/>
        <cfvo type="num" val="0"/>
        <cfvo type="num" val="0"/>
      </iconSet>
    </cfRule>
  </conditionalFormatting>
  <conditionalFormatting sqref="A97">
    <cfRule type="iconSet" priority="2">
      <iconSet iconSet="3Symbols2" showValue="0">
        <cfvo type="percent" val="0"/>
        <cfvo type="num" val="0"/>
        <cfvo type="num" val="0"/>
      </iconSet>
    </cfRule>
  </conditionalFormatting>
  <conditionalFormatting sqref="A168">
    <cfRule type="iconSet" priority="1">
      <iconSet iconSet="3Symbols2" showValue="0">
        <cfvo type="percent" val="0"/>
        <cfvo type="num" val="0"/>
        <cfvo type="num" val="0"/>
      </iconSet>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44F972-1523-4A65-985E-D9FC1B8D88EE}"/>
</file>

<file path=customXml/itemProps2.xml><?xml version="1.0" encoding="utf-8"?>
<ds:datastoreItem xmlns:ds="http://schemas.openxmlformats.org/officeDocument/2006/customXml" ds:itemID="{6CC3E281-477D-4A9A-B0B2-7D3F4559FE0A}"/>
</file>

<file path=customXml/itemProps3.xml><?xml version="1.0" encoding="utf-8"?>
<ds:datastoreItem xmlns:ds="http://schemas.openxmlformats.org/officeDocument/2006/customXml" ds:itemID="{89DF9532-FA3F-499C-9048-A178E843EC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Gonzales Estrada Sara Stephany</dc:creator>
  <cp:keywords/>
  <dc:description/>
  <cp:lastModifiedBy>Cortez Quispe Linda</cp:lastModifiedBy>
  <cp:revision/>
  <dcterms:created xsi:type="dcterms:W3CDTF">2024-01-03T15:06:50Z</dcterms:created>
  <dcterms:modified xsi:type="dcterms:W3CDTF">2024-08-12T01:58:00Z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