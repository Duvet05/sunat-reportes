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5E20EDA4-BC45-499B-A6E7-645FF2A52F13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2" i="1" l="1"/>
  <c r="D183" i="1" l="1"/>
  <c r="C183" i="1"/>
  <c r="C21" i="1" l="1"/>
  <c r="C9" i="1" l="1"/>
</calcChain>
</file>

<file path=xl/sharedStrings.xml><?xml version="1.0" encoding="utf-8"?>
<sst xmlns="http://schemas.openxmlformats.org/spreadsheetml/2006/main" count="362" uniqueCount="207">
  <si>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</si>
  <si>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</si>
  <si>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</si>
  <si>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</si>
  <si>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</si>
  <si>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</si>
  <si>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</si>
  <si>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</si>
  <si>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Reclamos resueltos</t>
  </si>
  <si>
    <t>Resolutor</t>
  </si>
  <si>
    <t>Producción Promedio</t>
  </si>
  <si>
    <t>DIVISIÓN DE CONTROL CONCURRENTE-II</t>
  </si>
  <si>
    <t>DIVISIÓN DE CONTROL POSTERIOR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</si>
  <si>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</si>
  <si>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</si>
  <si>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</si>
  <si>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</si>
  <si>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</si>
  <si>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</si>
  <si>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</si>
  <si>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</si>
  <si>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</si>
  <si>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</si>
  <si>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</si>
  <si>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</si>
  <si>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>RESOLUTOR (EJEMPLO)</t>
  </si>
  <si>
    <t>PRODUCCIÓN PROMEDIO (EJEMPLO)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</si>
  <si>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</si>
  <si>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</si>
  <si>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</si>
  <si>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</si>
  <si>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</si>
  <si>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</si>
  <si>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</si>
  <si>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</si>
  <si>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</si>
  <si>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</si>
  <si>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</si>
  <si>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</si>
  <si>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</si>
  <si>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</si>
  <si>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</si>
  <si>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</si>
  <si>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</si>
  <si>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</si>
  <si>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</si>
  <si>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</si>
  <si>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</si>
  <si>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</si>
  <si>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</si>
  <si>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</si>
  <si>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</si>
  <si>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</si>
  <si>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</si>
  <si>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</si>
  <si>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</si>
  <si>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</si>
  <si>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</si>
  <si>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</si>
  <si>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 xml:space="preserve">      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</si>
  <si>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</si>
  <si>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</si>
  <si>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</si>
  <si>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</si>
  <si>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</si>
  <si>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</si>
  <si>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</si>
  <si>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</si>
  <si>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</si>
  <si>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</si>
  <si>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</si>
  <si>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</si>
  <si>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</si>
  <si>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</si>
  <si>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</si>
  <si>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</si>
  <si>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</si>
  <si>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</si>
  <si>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</si>
  <si>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</si>
  <si>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</si>
  <si>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</si>
  <si>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</si>
  <si>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</si>
  <si>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</si>
  <si>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</si>
  <si>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</si>
  <si>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</si>
  <si>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</si>
  <si>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</si>
  <si>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</si>
  <si>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</si>
  <si>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</si>
  <si>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</si>
  <si>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</si>
  <si>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</si>
  <si>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</si>
  <si>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</si>
  <si>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</si>
  <si>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</si>
  <si>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</si>
  <si>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</si>
  <si>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</si>
  <si>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</si>
  <si>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</si>
  <si>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</si>
  <si>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</si>
  <si>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</si>
  <si>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</si>
  <si>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</si>
  <si>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</si>
  <si>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</si>
  <si>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</si>
  <si>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</si>
  <si>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</si>
  <si>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</si>
  <si>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</si>
  <si>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</si>
  <si>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</si>
  <si>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</si>
  <si>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</si>
  <si>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</si>
  <si>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</si>
  <si>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</si>
  <si>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</si>
  <si>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</si>
  <si>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</si>
  <si>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</si>
  <si>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</si>
  <si>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</si>
  <si>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</si>
  <si>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</si>
  <si>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</si>
  <si>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</si>
  <si>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</si>
  <si>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</si>
  <si>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</si>
  <si>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</si>
  <si>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</si>
  <si>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</si>
  <si>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</si>
  <si>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</si>
  <si>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</si>
  <si>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</si>
  <si>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</si>
  <si>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</si>
  <si>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</si>
  <si>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</si>
  <si>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</si>
  <si>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</si>
  <si>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</si>
  <si>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</si>
  <si>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</si>
  <si>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</si>
  <si>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</si>
  <si>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</si>
  <si>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</si>
  <si>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</si>
  <si>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</si>
  <si>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</si>
  <si>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</si>
  <si>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</si>
  <si>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</si>
  <si>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</si>
  <si>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</si>
  <si>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9411</t>
  </si>
  <si>
    <t>Magali Palomino Rojas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</si>
  <si>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</si>
  <si>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</si>
  <si>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</si>
  <si>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</si>
  <si>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</si>
  <si>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</si>
  <si>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</si>
  <si>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</si>
  <si>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</si>
  <si>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</si>
  <si>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N° ITOP</t>
  </si>
  <si>
    <t> ASUNTO</t>
  </si>
  <si>
    <t xml:space="preserve"> </t>
  </si>
  <si>
    <t>RESULTADOS DE RECLAMO</t>
  </si>
  <si>
    <t>ESTADO</t>
  </si>
  <si>
    <t>Total</t>
  </si>
  <si>
    <t>Infundado</t>
  </si>
  <si>
    <t>Fundado/F.P</t>
  </si>
  <si>
    <t>Nulidad</t>
  </si>
  <si>
    <t>Improcedente</t>
  </si>
  <si>
    <t>Desistimiento</t>
  </si>
  <si>
    <t>Otros</t>
  </si>
  <si>
    <t>MAYO</t>
  </si>
  <si>
    <t xml:space="preserve"> (*) 07 RD aprobadas que no pudieron generarse en SIGERI por falla del sistema</t>
  </si>
  <si>
    <t>Total
Aplicado</t>
  </si>
  <si>
    <t>I-903817</t>
  </si>
  <si>
    <t>ADMISIBILIDAD (*)</t>
  </si>
  <si>
    <t>(*) Existe 12 reclamos adicionales en estado "Ingresado" pendiente en admisibilidad</t>
  </si>
  <si>
    <t>atención de correo de consulta de Técnica Aduanera- Tumbes sobre LC reclamadas.</t>
  </si>
  <si>
    <t>medio/alto</t>
  </si>
  <si>
    <t>NO PERMITE ANULAR TEMPORAL DE PROYECTO OFICIO TEMP 153993-2024</t>
  </si>
  <si>
    <t>ACTUALIZACION DE LC 181-2023-001053 EN MODULO, CON RECLAMO, CON RESOLUCION DE RECLAMO RESUELTO INDICADO Y CON SU NOTIFICACION</t>
  </si>
  <si>
    <t>52 (*)</t>
  </si>
  <si>
    <t>55 (*)</t>
  </si>
  <si>
    <t>(*) Incluye 07 RD fueron númeradas el 03.06.24, debido a problemas en el sistema el 31.05.24</t>
  </si>
  <si>
    <t>02 Proyectos observados pendiente de corrección con resolutor / 01 Pendiente de evaluar caso complejo</t>
  </si>
  <si>
    <t>Información al 3 de Junio 
(incluye 07 casos que no pudieron ser aplicados por falla SIGERI)</t>
  </si>
  <si>
    <t>(*) INCLUYE 07 RD REVISADAS POR SUPERVISONES, APROBADAS POR JEFATURA QUE NO PUDIERON APLICARSE POR FALLA DEL SISTEMA - SIGERI (APLICADAS 3 DE JUNIO)</t>
  </si>
  <si>
    <t>PROGRAMACIÓN-Junio 2024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</si>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</sst>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b/>
      <sz val="10"/>
      <color rgb="FFFF0000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62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/>
      <right style="medium">
        <color theme="8" tint="0.39994506668294322"/>
      </right>
      <top/>
      <bottom/>
      <diagonal/>
    </border>
    <border>
      <left style="medium">
        <color rgb="FF70AD47"/>
      </left>
      <right/>
      <top/>
      <bottom style="medium">
        <color rgb="FF70AD47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3" borderId="41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vertical="center"/>
    </xf>
    <xf numFmtId="49" fontId="7" fillId="19" borderId="48" xfId="0" applyNumberFormat="1" applyFont="1" applyFill="1" applyBorder="1" applyAlignment="1">
      <alignment horizontal="left" vertical="center"/>
    </xf>
    <xf numFmtId="0" fontId="5" fillId="19" borderId="48" xfId="0" applyFont="1" applyFill="1" applyBorder="1" applyAlignment="1">
      <alignment horizontal="center" vertical="center"/>
    </xf>
    <xf numFmtId="49" fontId="5" fillId="0" borderId="48" xfId="0" applyNumberFormat="1" applyFont="1" applyBorder="1" applyAlignment="1">
      <alignment vertical="center"/>
    </xf>
    <xf numFmtId="49" fontId="5" fillId="0" borderId="48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5" fillId="15" borderId="1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49" fontId="7" fillId="19" borderId="52" xfId="0" applyNumberFormat="1" applyFont="1" applyFill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8" xfId="0" applyFont="1" applyFill="1" applyBorder="1" applyAlignment="1">
      <alignment horizontal="left" vertical="center"/>
    </xf>
    <xf numFmtId="0" fontId="15" fillId="3" borderId="59" xfId="0" applyFont="1" applyFill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7" fillId="0" borderId="0" xfId="0" applyFont="1"/>
    <xf numFmtId="0" fontId="3" fillId="4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5" borderId="60" xfId="0" applyFont="1" applyFill="1" applyBorder="1" applyAlignment="1">
      <alignment horizontal="center" vertical="center" wrapText="1"/>
    </xf>
    <xf numFmtId="0" fontId="5" fillId="0" borderId="48" xfId="0" applyFont="1" applyBorder="1"/>
    <xf numFmtId="2" fontId="4" fillId="12" borderId="43" xfId="0" applyNumberFormat="1" applyFont="1" applyFill="1" applyBorder="1" applyAlignment="1">
      <alignment horizontal="center" vertical="center" wrapText="1" readingOrder="1"/>
    </xf>
    <xf numFmtId="0" fontId="3" fillId="0" borderId="61" xfId="0" applyFont="1" applyBorder="1" applyAlignment="1">
      <alignment horizontal="left" vertical="center" wrapText="1" readingOrder="1"/>
    </xf>
    <xf numFmtId="0" fontId="4" fillId="0" borderId="61" xfId="0" applyFont="1" applyBorder="1" applyAlignment="1">
      <alignment horizontal="left" vertical="center" wrapText="1" readingOrder="1"/>
    </xf>
    <xf numFmtId="0" fontId="18" fillId="0" borderId="0" xfId="0" applyFont="1"/>
    <xf numFmtId="0" fontId="19" fillId="0" borderId="0" xfId="0" applyFont="1"/>
    <xf numFmtId="0" fontId="4" fillId="8" borderId="14" xfId="0" applyFont="1" applyFill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7" fillId="19" borderId="0" xfId="0" applyFont="1" applyFill="1" applyAlignment="1">
      <alignment horizontal="center"/>
    </xf>
    <xf numFmtId="0" fontId="13" fillId="2" borderId="48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8" borderId="47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49" fontId="7" fillId="0" borderId="5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83"/>
  <sheetViews>
    <sheetView tabSelected="1" topLeftCell="A163" zoomScale="70" zoomScaleNormal="70" workbookViewId="0">
      <selection activeCell="G177" sqref="G177"/>
    </sheetView>
  </sheetViews>
  <sheetFormatPr baseColWidth="10" defaultColWidth="10.81640625" defaultRowHeight="14.5" x14ac:dyDescent="0.35"/>
  <cols>
    <col min="1" max="1" width="10.81640625" style="1"/>
    <col min="2" max="2" width="22.26953125" style="38" customWidth="1"/>
    <col min="3" max="3" width="17.90625" style="38" customWidth="1"/>
    <col min="4" max="4" width="33.453125" style="38" customWidth="1"/>
    <col min="5" max="5" width="15" style="38" customWidth="1"/>
    <col min="6" max="6" width="20.54296875" style="38" customWidth="1"/>
    <col min="7" max="7" width="14.81640625" style="38" customWidth="1"/>
    <col min="8" max="8" width="15.26953125" style="38" customWidth="1"/>
    <col min="9" max="16384" width="10.81640625" style="38"/>
  </cols>
  <sheetData>
    <row r="2" spans="1:7" x14ac:dyDescent="0.35">
      <c r="B2" s="145" t="s">
        <v>0</v>
      </c>
      <c r="C2" s="145"/>
      <c r="D2" s="145"/>
      <c r="E2" s="145"/>
      <c r="F2" s="145"/>
      <c r="G2" s="145"/>
    </row>
    <row r="4" spans="1:7" ht="15.5" x14ac:dyDescent="0.35">
      <c r="B4" s="150" t="s">
        <v>1</v>
      </c>
      <c r="C4" s="150"/>
    </row>
    <row r="5" spans="1:7" ht="15" thickBot="1" x14ac:dyDescent="0.4"/>
    <row r="6" spans="1:7" ht="15" thickBot="1" x14ac:dyDescent="0.4">
      <c r="A6" s="1">
        <v>1</v>
      </c>
      <c r="B6" s="148" t="s">
        <v>2</v>
      </c>
      <c r="C6" s="149"/>
    </row>
    <row r="7" spans="1:7" ht="15" thickBot="1" x14ac:dyDescent="0.4">
      <c r="B7" s="40" t="s">
        <v>3</v>
      </c>
      <c r="C7" s="41">
        <v>265</v>
      </c>
    </row>
    <row r="8" spans="1:7" ht="15" thickBot="1" x14ac:dyDescent="0.4">
      <c r="B8" s="42" t="s">
        <v>193</v>
      </c>
      <c r="C8" s="43">
        <v>64</v>
      </c>
    </row>
    <row r="9" spans="1:7" ht="15" thickBot="1" x14ac:dyDescent="0.4">
      <c r="B9" s="44" t="s">
        <v>5</v>
      </c>
      <c r="C9" s="45">
        <f>SUM(C7:C8)</f>
        <v>329</v>
      </c>
    </row>
    <row r="10" spans="1:7" x14ac:dyDescent="0.35">
      <c r="B10" s="135" t="s">
        <v>194</v>
      </c>
    </row>
    <row r="11" spans="1:7" x14ac:dyDescent="0.35">
      <c r="B11" s="135"/>
    </row>
    <row r="12" spans="1:7" ht="15.5" x14ac:dyDescent="0.35">
      <c r="B12" s="150" t="s">
        <v>6</v>
      </c>
      <c r="C12" s="150"/>
    </row>
    <row r="13" spans="1:7" ht="15" thickBot="1" x14ac:dyDescent="0.4">
      <c r="B13" s="39"/>
      <c r="C13" s="39"/>
    </row>
    <row r="14" spans="1:7" ht="26.5" thickBot="1" x14ac:dyDescent="0.4">
      <c r="A14" s="1">
        <v>2</v>
      </c>
      <c r="B14" s="46" t="s">
        <v>7</v>
      </c>
      <c r="C14" s="129" t="s">
        <v>189</v>
      </c>
    </row>
    <row r="15" spans="1:7" ht="15" thickBot="1" x14ac:dyDescent="0.4">
      <c r="B15" s="127" t="s">
        <v>8</v>
      </c>
      <c r="C15" s="130"/>
    </row>
    <row r="16" spans="1:7" ht="15" thickBot="1" x14ac:dyDescent="0.4">
      <c r="B16" s="128" t="s">
        <v>9</v>
      </c>
      <c r="C16" s="130"/>
    </row>
    <row r="17" spans="1:11" ht="15" thickBot="1" x14ac:dyDescent="0.4">
      <c r="B17" s="127" t="s">
        <v>10</v>
      </c>
      <c r="C17" s="130"/>
    </row>
    <row r="18" spans="1:11" ht="26.5" thickBot="1" x14ac:dyDescent="0.4">
      <c r="B18" s="46" t="s">
        <v>11</v>
      </c>
      <c r="C18" s="47" t="s">
        <v>189</v>
      </c>
    </row>
    <row r="19" spans="1:11" ht="15" thickBot="1" x14ac:dyDescent="0.4">
      <c r="B19" s="48" t="s">
        <v>8</v>
      </c>
      <c r="C19" s="49">
        <v>104</v>
      </c>
    </row>
    <row r="20" spans="1:11" ht="15" thickBot="1" x14ac:dyDescent="0.4">
      <c r="B20" s="50" t="s">
        <v>9</v>
      </c>
      <c r="C20" s="51">
        <v>10.7</v>
      </c>
    </row>
    <row r="21" spans="1:11" ht="15" thickBot="1" x14ac:dyDescent="0.4">
      <c r="B21" s="48" t="s">
        <v>10</v>
      </c>
      <c r="C21" s="52">
        <f>C19/C20</f>
        <v>9.7196261682243001</v>
      </c>
    </row>
    <row r="22" spans="1:11" ht="26.5" thickBot="1" x14ac:dyDescent="0.4">
      <c r="B22" s="46" t="s">
        <v>12</v>
      </c>
      <c r="C22" s="47" t="s">
        <v>189</v>
      </c>
    </row>
    <row r="23" spans="1:11" ht="15" thickBot="1" x14ac:dyDescent="0.4">
      <c r="B23" s="48" t="s">
        <v>8</v>
      </c>
      <c r="C23" s="53"/>
    </row>
    <row r="24" spans="1:11" ht="15" thickBot="1" x14ac:dyDescent="0.4">
      <c r="B24" s="50" t="s">
        <v>9</v>
      </c>
      <c r="C24" s="54"/>
    </row>
    <row r="25" spans="1:11" ht="15" thickBot="1" x14ac:dyDescent="0.4">
      <c r="B25" s="48" t="s">
        <v>10</v>
      </c>
      <c r="C25" s="55"/>
    </row>
    <row r="26" spans="1:11" x14ac:dyDescent="0.35">
      <c r="B26" s="134" t="s">
        <v>190</v>
      </c>
    </row>
    <row r="28" spans="1:11" ht="15.5" x14ac:dyDescent="0.35">
      <c r="B28" s="2" t="s">
        <v>13</v>
      </c>
      <c r="C28" s="122"/>
    </row>
    <row r="29" spans="1:11" ht="15" thickBot="1" x14ac:dyDescent="0.4"/>
    <row r="30" spans="1:11" ht="15" thickBot="1" x14ac:dyDescent="0.4">
      <c r="A30" s="1">
        <v>3</v>
      </c>
      <c r="B30" s="171" t="s">
        <v>14</v>
      </c>
      <c r="C30" s="172"/>
      <c r="D30" s="172"/>
      <c r="E30" s="172"/>
      <c r="F30" s="172"/>
      <c r="G30" s="172"/>
      <c r="H30" s="172"/>
      <c r="I30" s="172"/>
      <c r="J30" s="172"/>
      <c r="K30" s="173"/>
    </row>
    <row r="31" spans="1:11" ht="15" thickBot="1" x14ac:dyDescent="0.4">
      <c r="B31" s="3" t="s">
        <v>15</v>
      </c>
      <c r="C31" s="174" t="s">
        <v>16</v>
      </c>
      <c r="D31" s="175"/>
      <c r="E31" s="176"/>
      <c r="F31" s="177" t="s">
        <v>17</v>
      </c>
      <c r="G31" s="178"/>
      <c r="H31" s="179"/>
      <c r="I31" s="180" t="s">
        <v>18</v>
      </c>
      <c r="J31" s="181"/>
      <c r="K31" s="182"/>
    </row>
    <row r="32" spans="1:11" ht="39.5" thickBot="1" x14ac:dyDescent="0.4">
      <c r="B32" s="3" t="s">
        <v>19</v>
      </c>
      <c r="C32" s="4" t="s">
        <v>3</v>
      </c>
      <c r="D32" s="4" t="s">
        <v>20</v>
      </c>
      <c r="E32" s="4" t="s">
        <v>4</v>
      </c>
      <c r="F32" s="5" t="s">
        <v>3</v>
      </c>
      <c r="G32" s="5" t="s">
        <v>21</v>
      </c>
      <c r="H32" s="5" t="s">
        <v>4</v>
      </c>
      <c r="I32" s="6" t="s">
        <v>3</v>
      </c>
      <c r="J32" s="6" t="s">
        <v>22</v>
      </c>
      <c r="K32" s="7" t="s">
        <v>23</v>
      </c>
    </row>
    <row r="33" spans="1:11" ht="65" x14ac:dyDescent="0.35">
      <c r="B33" s="142" t="s">
        <v>24</v>
      </c>
      <c r="C33" s="139"/>
      <c r="D33" s="8"/>
      <c r="E33" s="139"/>
      <c r="F33" s="183"/>
      <c r="G33" s="9" t="s">
        <v>195</v>
      </c>
      <c r="H33" s="136"/>
      <c r="I33" s="186"/>
      <c r="J33" s="186"/>
      <c r="K33" s="189"/>
    </row>
    <row r="34" spans="1:11" x14ac:dyDescent="0.35">
      <c r="B34" s="143"/>
      <c r="C34" s="140"/>
      <c r="D34" s="10"/>
      <c r="E34" s="140"/>
      <c r="F34" s="184"/>
      <c r="G34" s="11"/>
      <c r="H34" s="12"/>
      <c r="I34" s="187"/>
      <c r="J34" s="187"/>
      <c r="K34" s="190"/>
    </row>
    <row r="35" spans="1:11" x14ac:dyDescent="0.35">
      <c r="B35" s="143"/>
      <c r="C35" s="140"/>
      <c r="D35" s="10"/>
      <c r="E35" s="140"/>
      <c r="F35" s="184"/>
      <c r="G35" s="11"/>
      <c r="H35" s="12"/>
      <c r="I35" s="187"/>
      <c r="J35" s="187"/>
      <c r="K35" s="190"/>
    </row>
    <row r="36" spans="1:11" x14ac:dyDescent="0.35">
      <c r="B36" s="143"/>
      <c r="C36" s="140"/>
      <c r="D36" s="13"/>
      <c r="E36" s="140"/>
      <c r="F36" s="184"/>
      <c r="G36" s="14"/>
      <c r="H36" s="12"/>
      <c r="I36" s="187"/>
      <c r="J36" s="187"/>
      <c r="K36" s="190"/>
    </row>
    <row r="37" spans="1:11" ht="15" thickBot="1" x14ac:dyDescent="0.4">
      <c r="B37" s="144"/>
      <c r="C37" s="141"/>
      <c r="D37" s="15"/>
      <c r="E37" s="141"/>
      <c r="F37" s="185"/>
      <c r="G37" s="16"/>
      <c r="H37" s="17"/>
      <c r="I37" s="188"/>
      <c r="J37" s="188"/>
      <c r="K37" s="191"/>
    </row>
    <row r="38" spans="1:11" ht="15" thickBot="1" x14ac:dyDescent="0.4">
      <c r="B38" s="3" t="s">
        <v>25</v>
      </c>
      <c r="C38" s="18"/>
      <c r="D38" s="18"/>
      <c r="E38" s="18"/>
      <c r="F38" s="19"/>
      <c r="G38" s="19"/>
      <c r="H38" s="19"/>
      <c r="I38" s="20"/>
      <c r="J38" s="20"/>
      <c r="K38" s="21"/>
    </row>
    <row r="39" spans="1:11" ht="26.5" thickBot="1" x14ac:dyDescent="0.4">
      <c r="B39" s="22" t="s">
        <v>26</v>
      </c>
      <c r="C39" s="23"/>
      <c r="D39" s="23"/>
      <c r="E39" s="23"/>
      <c r="F39" s="24"/>
      <c r="G39" s="24"/>
      <c r="H39" s="24"/>
      <c r="I39" s="25"/>
      <c r="J39" s="25"/>
      <c r="K39" s="26"/>
    </row>
    <row r="42" spans="1:11" ht="15.5" x14ac:dyDescent="0.35">
      <c r="B42" s="2" t="s">
        <v>205</v>
      </c>
    </row>
    <row r="43" spans="1:11" ht="15" thickBot="1" x14ac:dyDescent="0.4"/>
    <row r="44" spans="1:11" ht="15" thickBot="1" x14ac:dyDescent="0.4">
      <c r="A44" s="1">
        <v>4</v>
      </c>
      <c r="B44" s="56" t="s">
        <v>16</v>
      </c>
      <c r="C44" s="57"/>
    </row>
    <row r="45" spans="1:11" ht="15" thickBot="1" x14ac:dyDescent="0.4">
      <c r="B45" s="58" t="s">
        <v>17</v>
      </c>
      <c r="C45" s="59">
        <v>102</v>
      </c>
    </row>
    <row r="46" spans="1:11" ht="15" thickBot="1" x14ac:dyDescent="0.4">
      <c r="B46" s="60" t="s">
        <v>18</v>
      </c>
      <c r="C46" s="61"/>
    </row>
    <row r="49" spans="1:6" ht="15.5" x14ac:dyDescent="0.35">
      <c r="B49" s="2" t="s">
        <v>27</v>
      </c>
    </row>
    <row r="50" spans="1:6" ht="15" thickBot="1" x14ac:dyDescent="0.4"/>
    <row r="51" spans="1:6" ht="15" thickBot="1" x14ac:dyDescent="0.4">
      <c r="A51" s="1">
        <v>5</v>
      </c>
      <c r="B51" s="27" t="s">
        <v>15</v>
      </c>
      <c r="C51" s="27" t="s">
        <v>28</v>
      </c>
      <c r="D51" s="27" t="s">
        <v>29</v>
      </c>
      <c r="E51" s="27" t="s">
        <v>30</v>
      </c>
      <c r="F51" s="27" t="s">
        <v>31</v>
      </c>
    </row>
    <row r="52" spans="1:6" ht="15" thickBot="1" x14ac:dyDescent="0.4">
      <c r="B52" s="27" t="s">
        <v>16</v>
      </c>
      <c r="C52" s="28"/>
      <c r="D52" s="28"/>
      <c r="E52" s="28"/>
      <c r="F52" s="28"/>
    </row>
    <row r="53" spans="1:6" ht="15" thickBot="1" x14ac:dyDescent="0.4">
      <c r="B53" s="27" t="s">
        <v>17</v>
      </c>
      <c r="C53" s="29">
        <v>0</v>
      </c>
      <c r="D53" s="29">
        <v>0</v>
      </c>
      <c r="E53" s="29">
        <v>0</v>
      </c>
      <c r="F53" s="29">
        <v>0</v>
      </c>
    </row>
    <row r="54" spans="1:6" ht="15" thickBot="1" x14ac:dyDescent="0.4">
      <c r="B54" s="27" t="s">
        <v>18</v>
      </c>
      <c r="C54" s="30"/>
      <c r="D54" s="30"/>
      <c r="E54" s="30"/>
      <c r="F54" s="30"/>
    </row>
    <row r="57" spans="1:6" ht="15.5" x14ac:dyDescent="0.35">
      <c r="B57" s="2" t="s">
        <v>32</v>
      </c>
    </row>
    <row r="58" spans="1:6" ht="15" thickBot="1" x14ac:dyDescent="0.4"/>
    <row r="59" spans="1:6" ht="15" thickBot="1" x14ac:dyDescent="0.4">
      <c r="A59" s="1">
        <v>6</v>
      </c>
      <c r="B59" s="148" t="s">
        <v>2</v>
      </c>
      <c r="C59" s="149"/>
    </row>
    <row r="60" spans="1:6" ht="15" thickBot="1" x14ac:dyDescent="0.4">
      <c r="B60" s="62" t="s">
        <v>33</v>
      </c>
      <c r="C60" s="41">
        <v>29</v>
      </c>
    </row>
    <row r="61" spans="1:6" ht="15" thickBot="1" x14ac:dyDescent="0.4">
      <c r="B61" s="63" t="s">
        <v>4</v>
      </c>
      <c r="C61" s="43"/>
    </row>
    <row r="62" spans="1:6" ht="15" thickBot="1" x14ac:dyDescent="0.4">
      <c r="B62" s="64" t="s">
        <v>34</v>
      </c>
      <c r="C62" s="45">
        <v>6</v>
      </c>
    </row>
    <row r="64" spans="1:6" ht="15.5" x14ac:dyDescent="0.35">
      <c r="B64" s="2" t="s">
        <v>35</v>
      </c>
    </row>
    <row r="65" spans="1:7" ht="15" thickBot="1" x14ac:dyDescent="0.4"/>
    <row r="66" spans="1:7" ht="26.5" thickBot="1" x14ac:dyDescent="0.4">
      <c r="A66" s="1">
        <v>7</v>
      </c>
      <c r="B66" s="65" t="s">
        <v>36</v>
      </c>
      <c r="C66" s="66" t="s">
        <v>37</v>
      </c>
      <c r="D66" s="66" t="s">
        <v>38</v>
      </c>
      <c r="E66" s="66" t="s">
        <v>39</v>
      </c>
      <c r="F66" s="66" t="s">
        <v>40</v>
      </c>
      <c r="G66" s="67" t="s">
        <v>41</v>
      </c>
    </row>
    <row r="67" spans="1:7" ht="15" thickBot="1" x14ac:dyDescent="0.4">
      <c r="B67" s="68" t="s">
        <v>42</v>
      </c>
      <c r="C67" s="69" t="s">
        <v>43</v>
      </c>
      <c r="D67" s="70"/>
      <c r="E67" s="70"/>
      <c r="F67" s="70"/>
      <c r="G67" s="70"/>
    </row>
    <row r="68" spans="1:7" ht="15" thickBot="1" x14ac:dyDescent="0.4">
      <c r="B68" s="68" t="s">
        <v>44</v>
      </c>
      <c r="C68" s="71" t="s">
        <v>45</v>
      </c>
      <c r="D68" s="72"/>
      <c r="E68" s="72"/>
      <c r="F68" s="72"/>
      <c r="G68" s="72"/>
    </row>
    <row r="69" spans="1:7" ht="15" thickBot="1" x14ac:dyDescent="0.4">
      <c r="B69" s="68" t="s">
        <v>46</v>
      </c>
      <c r="C69" s="69" t="s">
        <v>47</v>
      </c>
      <c r="D69" s="70"/>
      <c r="E69" s="70"/>
      <c r="F69" s="70"/>
      <c r="G69" s="70"/>
    </row>
    <row r="70" spans="1:7" ht="15" thickBot="1" x14ac:dyDescent="0.4"/>
    <row r="71" spans="1:7" ht="26.5" thickBot="1" x14ac:dyDescent="0.4">
      <c r="A71" s="1">
        <v>8</v>
      </c>
      <c r="B71" s="73" t="s">
        <v>36</v>
      </c>
      <c r="C71" s="74" t="s">
        <v>37</v>
      </c>
      <c r="D71" s="74" t="s">
        <v>38</v>
      </c>
      <c r="E71" s="74" t="s">
        <v>39</v>
      </c>
      <c r="F71" s="73" t="s">
        <v>40</v>
      </c>
      <c r="G71" s="74" t="s">
        <v>41</v>
      </c>
    </row>
    <row r="72" spans="1:7" ht="15.5" thickTop="1" thickBot="1" x14ac:dyDescent="0.4">
      <c r="B72" s="75" t="s">
        <v>48</v>
      </c>
      <c r="C72" s="76" t="s">
        <v>49</v>
      </c>
      <c r="D72" s="77">
        <v>52</v>
      </c>
      <c r="E72" s="77">
        <v>5.3</v>
      </c>
      <c r="F72" s="78" t="s">
        <v>196</v>
      </c>
      <c r="G72" s="131">
        <f>D72/E72</f>
        <v>9.8113207547169807</v>
      </c>
    </row>
    <row r="73" spans="1:7" ht="32.15" customHeight="1" x14ac:dyDescent="0.35">
      <c r="B73" s="169" t="s">
        <v>50</v>
      </c>
      <c r="C73" s="167" t="s">
        <v>51</v>
      </c>
      <c r="D73" s="137">
        <v>52</v>
      </c>
      <c r="E73" s="137">
        <v>5.4</v>
      </c>
      <c r="F73" s="78" t="s">
        <v>196</v>
      </c>
      <c r="G73" s="137">
        <v>9.6199999999999992</v>
      </c>
    </row>
    <row r="74" spans="1:7" ht="15" thickBot="1" x14ac:dyDescent="0.4">
      <c r="B74" s="170"/>
      <c r="C74" s="168"/>
      <c r="D74" s="138"/>
      <c r="E74" s="138"/>
      <c r="F74" s="79"/>
      <c r="G74" s="138"/>
    </row>
    <row r="75" spans="1:7" x14ac:dyDescent="0.35">
      <c r="B75" s="135" t="s">
        <v>204</v>
      </c>
    </row>
    <row r="77" spans="1:7" ht="15" thickBot="1" x14ac:dyDescent="0.4"/>
    <row r="78" spans="1:7" ht="26.5" thickBot="1" x14ac:dyDescent="0.4">
      <c r="A78" s="1">
        <v>9</v>
      </c>
      <c r="B78" s="80" t="s">
        <v>36</v>
      </c>
      <c r="C78" s="81" t="s">
        <v>37</v>
      </c>
      <c r="D78" s="81" t="s">
        <v>38</v>
      </c>
      <c r="E78" s="81" t="s">
        <v>39</v>
      </c>
      <c r="F78" s="82" t="s">
        <v>40</v>
      </c>
      <c r="G78" s="83" t="s">
        <v>41</v>
      </c>
    </row>
    <row r="79" spans="1:7" x14ac:dyDescent="0.35">
      <c r="B79" s="151" t="s">
        <v>52</v>
      </c>
      <c r="C79" s="154" t="s">
        <v>53</v>
      </c>
      <c r="D79" s="84"/>
      <c r="E79" s="85"/>
      <c r="F79" s="85"/>
      <c r="G79" s="85"/>
    </row>
    <row r="80" spans="1:7" x14ac:dyDescent="0.35">
      <c r="B80" s="152"/>
      <c r="C80" s="155"/>
      <c r="D80" s="86"/>
      <c r="E80" s="87"/>
      <c r="F80" s="87"/>
      <c r="G80" s="87"/>
    </row>
    <row r="81" spans="1:7" x14ac:dyDescent="0.35">
      <c r="B81" s="152"/>
      <c r="C81" s="155"/>
      <c r="D81" s="86"/>
      <c r="E81" s="87"/>
      <c r="F81" s="87"/>
      <c r="G81" s="87"/>
    </row>
    <row r="82" spans="1:7" ht="15" thickBot="1" x14ac:dyDescent="0.4">
      <c r="B82" s="153"/>
      <c r="C82" s="156"/>
      <c r="D82" s="88" t="s">
        <v>54</v>
      </c>
      <c r="E82" s="89"/>
      <c r="F82" s="89"/>
      <c r="G82" s="89"/>
    </row>
    <row r="84" spans="1:7" ht="15.5" x14ac:dyDescent="0.35">
      <c r="B84" s="2" t="s">
        <v>55</v>
      </c>
    </row>
    <row r="85" spans="1:7" ht="15" thickBot="1" x14ac:dyDescent="0.4"/>
    <row r="86" spans="1:7" ht="26.5" thickBot="1" x14ac:dyDescent="0.4">
      <c r="A86" s="1">
        <v>10</v>
      </c>
      <c r="B86" s="65" t="s">
        <v>36</v>
      </c>
      <c r="C86" s="66" t="s">
        <v>37</v>
      </c>
      <c r="D86" s="66" t="s">
        <v>56</v>
      </c>
      <c r="E86" s="66" t="s">
        <v>57</v>
      </c>
      <c r="F86" s="66" t="s">
        <v>58</v>
      </c>
      <c r="G86" s="67" t="s">
        <v>40</v>
      </c>
    </row>
    <row r="87" spans="1:7" ht="15" thickBot="1" x14ac:dyDescent="0.4">
      <c r="B87" s="68" t="s">
        <v>42</v>
      </c>
      <c r="C87" s="69" t="s">
        <v>43</v>
      </c>
      <c r="D87" s="70"/>
      <c r="E87" s="70"/>
      <c r="F87" s="70"/>
      <c r="G87" s="70"/>
    </row>
    <row r="88" spans="1:7" ht="15" thickBot="1" x14ac:dyDescent="0.4">
      <c r="B88" s="68" t="s">
        <v>44</v>
      </c>
      <c r="C88" s="71" t="s">
        <v>45</v>
      </c>
      <c r="D88" s="72"/>
      <c r="E88" s="72"/>
      <c r="F88" s="72"/>
      <c r="G88" s="72"/>
    </row>
    <row r="89" spans="1:7" ht="15" thickBot="1" x14ac:dyDescent="0.4">
      <c r="B89" s="68" t="s">
        <v>46</v>
      </c>
      <c r="C89" s="69" t="s">
        <v>47</v>
      </c>
      <c r="D89" s="70"/>
      <c r="E89" s="70"/>
      <c r="F89" s="70"/>
      <c r="G89" s="70"/>
    </row>
    <row r="90" spans="1:7" ht="15" thickBot="1" x14ac:dyDescent="0.4"/>
    <row r="91" spans="1:7" ht="26.5" thickBot="1" x14ac:dyDescent="0.4">
      <c r="A91" s="1">
        <v>11</v>
      </c>
      <c r="B91" s="90" t="s">
        <v>36</v>
      </c>
      <c r="C91" s="91" t="s">
        <v>37</v>
      </c>
      <c r="D91" s="91" t="s">
        <v>56</v>
      </c>
      <c r="E91" s="91" t="s">
        <v>57</v>
      </c>
      <c r="F91" s="91" t="s">
        <v>59</v>
      </c>
      <c r="G91" s="92" t="s">
        <v>40</v>
      </c>
    </row>
    <row r="92" spans="1:7" ht="65.5" thickBot="1" x14ac:dyDescent="0.4">
      <c r="B92" s="93" t="s">
        <v>48</v>
      </c>
      <c r="C92" s="94" t="s">
        <v>49</v>
      </c>
      <c r="D92" s="95" t="s">
        <v>200</v>
      </c>
      <c r="E92" s="95">
        <v>52</v>
      </c>
      <c r="F92" s="95" t="s">
        <v>202</v>
      </c>
      <c r="G92" s="97" t="s">
        <v>196</v>
      </c>
    </row>
    <row r="93" spans="1:7" ht="15" thickBot="1" x14ac:dyDescent="0.4">
      <c r="B93" s="93" t="s">
        <v>50</v>
      </c>
      <c r="C93" s="96" t="s">
        <v>51</v>
      </c>
      <c r="D93" s="95" t="s">
        <v>199</v>
      </c>
      <c r="E93" s="97"/>
      <c r="F93" s="97"/>
      <c r="G93" s="97" t="s">
        <v>196</v>
      </c>
    </row>
    <row r="94" spans="1:7" x14ac:dyDescent="0.35">
      <c r="B94" s="135" t="s">
        <v>201</v>
      </c>
    </row>
    <row r="95" spans="1:7" ht="15" thickBot="1" x14ac:dyDescent="0.4"/>
    <row r="96" spans="1:7" ht="15" thickBot="1" x14ac:dyDescent="0.4">
      <c r="A96" s="1">
        <v>12</v>
      </c>
      <c r="B96" s="98" t="s">
        <v>36</v>
      </c>
      <c r="C96" s="82" t="s">
        <v>37</v>
      </c>
      <c r="D96" s="82" t="s">
        <v>56</v>
      </c>
      <c r="E96" s="99" t="s">
        <v>40</v>
      </c>
    </row>
    <row r="97" spans="1:8" ht="15" thickBot="1" x14ac:dyDescent="0.4">
      <c r="B97" s="100" t="s">
        <v>52</v>
      </c>
      <c r="C97" s="101" t="s">
        <v>53</v>
      </c>
      <c r="D97" s="102"/>
      <c r="E97" s="103"/>
    </row>
    <row r="100" spans="1:8" x14ac:dyDescent="0.35">
      <c r="B100" s="192" t="s">
        <v>60</v>
      </c>
      <c r="C100" s="192"/>
      <c r="D100" s="192"/>
      <c r="E100" s="192"/>
      <c r="F100" s="192"/>
      <c r="G100" s="192"/>
      <c r="H100" s="192"/>
    </row>
    <row r="101" spans="1:8" ht="14.5" customHeight="1" x14ac:dyDescent="0.35">
      <c r="B101" s="193" t="s">
        <v>61</v>
      </c>
      <c r="C101" s="193"/>
      <c r="D101" s="193"/>
      <c r="E101" s="193"/>
      <c r="F101" s="193"/>
      <c r="G101" s="193"/>
      <c r="H101" s="193"/>
    </row>
    <row r="102" spans="1:8" ht="26.5" thickBot="1" x14ac:dyDescent="0.4">
      <c r="A102" s="1">
        <v>12</v>
      </c>
      <c r="B102" s="104" t="s">
        <v>15</v>
      </c>
      <c r="C102" s="105" t="s">
        <v>62</v>
      </c>
      <c r="D102" s="105" t="s">
        <v>63</v>
      </c>
      <c r="E102" s="105" t="s">
        <v>64</v>
      </c>
      <c r="F102" s="105" t="s">
        <v>65</v>
      </c>
      <c r="G102" s="106" t="s">
        <v>66</v>
      </c>
    </row>
    <row r="103" spans="1:8" x14ac:dyDescent="0.35">
      <c r="B103" s="194" t="s">
        <v>67</v>
      </c>
      <c r="C103" s="107" t="s">
        <v>42</v>
      </c>
      <c r="D103" s="108" t="s">
        <v>68</v>
      </c>
      <c r="E103" s="31" t="s">
        <v>69</v>
      </c>
      <c r="F103" s="32" t="s">
        <v>70</v>
      </c>
      <c r="G103" s="33"/>
    </row>
    <row r="104" spans="1:8" x14ac:dyDescent="0.35">
      <c r="B104" s="195"/>
      <c r="C104" s="109" t="s">
        <v>42</v>
      </c>
      <c r="D104" s="110" t="s">
        <v>71</v>
      </c>
      <c r="E104" s="34" t="s">
        <v>72</v>
      </c>
      <c r="F104" s="35" t="s">
        <v>73</v>
      </c>
      <c r="G104" s="36"/>
    </row>
    <row r="105" spans="1:8" x14ac:dyDescent="0.35">
      <c r="B105" s="195"/>
      <c r="C105" s="109" t="s">
        <v>42</v>
      </c>
      <c r="D105" s="110" t="s">
        <v>74</v>
      </c>
      <c r="E105" s="34" t="s">
        <v>75</v>
      </c>
      <c r="F105" s="35" t="s">
        <v>76</v>
      </c>
      <c r="G105" s="36"/>
    </row>
    <row r="106" spans="1:8" x14ac:dyDescent="0.35">
      <c r="B106" s="195"/>
      <c r="C106" s="109" t="s">
        <v>42</v>
      </c>
      <c r="D106" s="110" t="s">
        <v>77</v>
      </c>
      <c r="E106" s="34" t="s">
        <v>78</v>
      </c>
      <c r="F106" s="35" t="s">
        <v>76</v>
      </c>
      <c r="G106" s="36"/>
    </row>
    <row r="107" spans="1:8" x14ac:dyDescent="0.35">
      <c r="B107" s="195"/>
      <c r="C107" s="109" t="s">
        <v>42</v>
      </c>
      <c r="D107" s="110" t="s">
        <v>79</v>
      </c>
      <c r="E107" s="34" t="s">
        <v>80</v>
      </c>
      <c r="F107" s="35" t="s">
        <v>81</v>
      </c>
      <c r="G107" s="36"/>
    </row>
    <row r="108" spans="1:8" x14ac:dyDescent="0.35">
      <c r="B108" s="195"/>
      <c r="C108" s="109" t="s">
        <v>42</v>
      </c>
      <c r="D108" s="110" t="s">
        <v>82</v>
      </c>
      <c r="E108" s="34" t="s">
        <v>83</v>
      </c>
      <c r="F108" s="35" t="s">
        <v>76</v>
      </c>
      <c r="G108" s="36"/>
    </row>
    <row r="109" spans="1:8" x14ac:dyDescent="0.35">
      <c r="B109" s="195"/>
      <c r="C109" s="109" t="s">
        <v>42</v>
      </c>
      <c r="D109" s="110" t="s">
        <v>84</v>
      </c>
      <c r="E109" s="34" t="s">
        <v>85</v>
      </c>
      <c r="F109" s="35" t="s">
        <v>81</v>
      </c>
      <c r="G109" s="36"/>
    </row>
    <row r="110" spans="1:8" x14ac:dyDescent="0.35">
      <c r="B110" s="195"/>
      <c r="C110" s="109" t="s">
        <v>42</v>
      </c>
      <c r="D110" s="110" t="s">
        <v>86</v>
      </c>
      <c r="E110" s="34" t="s">
        <v>87</v>
      </c>
      <c r="F110" s="35" t="s">
        <v>76</v>
      </c>
      <c r="G110" s="36"/>
    </row>
    <row r="111" spans="1:8" x14ac:dyDescent="0.35">
      <c r="B111" s="195"/>
      <c r="C111" s="109" t="s">
        <v>42</v>
      </c>
      <c r="D111" s="111" t="s">
        <v>88</v>
      </c>
      <c r="E111" s="34" t="s">
        <v>89</v>
      </c>
      <c r="F111" s="35" t="s">
        <v>90</v>
      </c>
      <c r="G111" s="36"/>
    </row>
    <row r="112" spans="1:8" x14ac:dyDescent="0.35">
      <c r="B112" s="195"/>
      <c r="C112" s="107" t="s">
        <v>44</v>
      </c>
      <c r="D112" s="108" t="s">
        <v>91</v>
      </c>
      <c r="E112" s="31" t="s">
        <v>92</v>
      </c>
      <c r="F112" s="32" t="s">
        <v>70</v>
      </c>
      <c r="G112" s="33"/>
    </row>
    <row r="113" spans="2:7" x14ac:dyDescent="0.35">
      <c r="B113" s="195"/>
      <c r="C113" s="109" t="s">
        <v>44</v>
      </c>
      <c r="D113" s="110" t="s">
        <v>93</v>
      </c>
      <c r="E113" s="34" t="s">
        <v>94</v>
      </c>
      <c r="F113" s="35" t="s">
        <v>90</v>
      </c>
      <c r="G113" s="36"/>
    </row>
    <row r="114" spans="2:7" x14ac:dyDescent="0.35">
      <c r="B114" s="195"/>
      <c r="C114" s="109" t="s">
        <v>44</v>
      </c>
      <c r="D114" s="110" t="s">
        <v>95</v>
      </c>
      <c r="E114" s="34" t="s">
        <v>96</v>
      </c>
      <c r="F114" s="35" t="s">
        <v>73</v>
      </c>
      <c r="G114" s="36"/>
    </row>
    <row r="115" spans="2:7" x14ac:dyDescent="0.35">
      <c r="B115" s="195"/>
      <c r="C115" s="109" t="s">
        <v>44</v>
      </c>
      <c r="D115" s="111" t="s">
        <v>97</v>
      </c>
      <c r="E115" s="34" t="s">
        <v>98</v>
      </c>
      <c r="F115" s="35" t="s">
        <v>73</v>
      </c>
      <c r="G115" s="36"/>
    </row>
    <row r="116" spans="2:7" x14ac:dyDescent="0.35">
      <c r="B116" s="195"/>
      <c r="C116" s="109" t="s">
        <v>44</v>
      </c>
      <c r="D116" s="111" t="s">
        <v>99</v>
      </c>
      <c r="E116" s="34" t="s">
        <v>100</v>
      </c>
      <c r="F116" s="35" t="s">
        <v>101</v>
      </c>
      <c r="G116" s="36"/>
    </row>
    <row r="117" spans="2:7" x14ac:dyDescent="0.35">
      <c r="B117" s="195"/>
      <c r="C117" s="109" t="s">
        <v>44</v>
      </c>
      <c r="D117" s="110" t="s">
        <v>102</v>
      </c>
      <c r="E117" s="34" t="s">
        <v>103</v>
      </c>
      <c r="F117" s="35" t="s">
        <v>73</v>
      </c>
      <c r="G117" s="36"/>
    </row>
    <row r="118" spans="2:7" x14ac:dyDescent="0.35">
      <c r="B118" s="195"/>
      <c r="C118" s="109" t="s">
        <v>44</v>
      </c>
      <c r="D118" s="110" t="s">
        <v>104</v>
      </c>
      <c r="E118" s="34" t="s">
        <v>105</v>
      </c>
      <c r="F118" s="35" t="s">
        <v>81</v>
      </c>
      <c r="G118" s="36"/>
    </row>
    <row r="119" spans="2:7" x14ac:dyDescent="0.35">
      <c r="B119" s="195"/>
      <c r="C119" s="107" t="s">
        <v>46</v>
      </c>
      <c r="D119" s="108" t="s">
        <v>106</v>
      </c>
      <c r="E119" s="31" t="s">
        <v>107</v>
      </c>
      <c r="F119" s="32" t="s">
        <v>108</v>
      </c>
      <c r="G119" s="33"/>
    </row>
    <row r="120" spans="2:7" x14ac:dyDescent="0.35">
      <c r="B120" s="195"/>
      <c r="C120" s="109" t="s">
        <v>46</v>
      </c>
      <c r="D120" s="110" t="s">
        <v>109</v>
      </c>
      <c r="E120" s="34" t="s">
        <v>110</v>
      </c>
      <c r="F120" s="35" t="s">
        <v>81</v>
      </c>
      <c r="G120" s="36"/>
    </row>
    <row r="121" spans="2:7" x14ac:dyDescent="0.35">
      <c r="B121" s="195"/>
      <c r="C121" s="109" t="s">
        <v>46</v>
      </c>
      <c r="D121" s="110" t="s">
        <v>111</v>
      </c>
      <c r="E121" s="34" t="s">
        <v>112</v>
      </c>
      <c r="F121" s="35" t="s">
        <v>90</v>
      </c>
      <c r="G121" s="36"/>
    </row>
    <row r="122" spans="2:7" x14ac:dyDescent="0.35">
      <c r="B122" s="195"/>
      <c r="C122" s="109" t="s">
        <v>46</v>
      </c>
      <c r="D122" s="110" t="s">
        <v>113</v>
      </c>
      <c r="E122" s="34" t="s">
        <v>114</v>
      </c>
      <c r="F122" s="35" t="s">
        <v>90</v>
      </c>
      <c r="G122" s="36"/>
    </row>
    <row r="123" spans="2:7" x14ac:dyDescent="0.35">
      <c r="B123" s="195"/>
      <c r="C123" s="109" t="s">
        <v>46</v>
      </c>
      <c r="D123" s="110" t="s">
        <v>115</v>
      </c>
      <c r="E123" s="34" t="s">
        <v>116</v>
      </c>
      <c r="F123" s="35" t="s">
        <v>73</v>
      </c>
      <c r="G123" s="36"/>
    </row>
    <row r="124" spans="2:7" x14ac:dyDescent="0.35">
      <c r="B124" s="195"/>
      <c r="C124" s="109" t="s">
        <v>46</v>
      </c>
      <c r="D124" s="112" t="s">
        <v>117</v>
      </c>
      <c r="E124" s="34" t="s">
        <v>118</v>
      </c>
      <c r="F124" s="35" t="s">
        <v>81</v>
      </c>
      <c r="G124" s="36"/>
    </row>
    <row r="125" spans="2:7" x14ac:dyDescent="0.35">
      <c r="B125" s="195"/>
      <c r="C125" s="109" t="s">
        <v>46</v>
      </c>
      <c r="D125" s="112" t="s">
        <v>119</v>
      </c>
      <c r="E125" s="34" t="s">
        <v>120</v>
      </c>
      <c r="F125" s="35" t="s">
        <v>81</v>
      </c>
      <c r="G125" s="36"/>
    </row>
    <row r="126" spans="2:7" ht="14.5" customHeight="1" x14ac:dyDescent="0.35">
      <c r="B126" s="195"/>
      <c r="C126" s="109" t="s">
        <v>46</v>
      </c>
      <c r="D126" s="110" t="s">
        <v>121</v>
      </c>
      <c r="E126" s="34" t="s">
        <v>122</v>
      </c>
      <c r="F126" s="35" t="s">
        <v>81</v>
      </c>
      <c r="G126" s="36"/>
    </row>
    <row r="127" spans="2:7" ht="15" thickBot="1" x14ac:dyDescent="0.4">
      <c r="B127" s="196"/>
      <c r="C127" s="109" t="s">
        <v>46</v>
      </c>
      <c r="D127" s="112" t="s">
        <v>123</v>
      </c>
      <c r="E127" s="34" t="s">
        <v>124</v>
      </c>
      <c r="F127" s="35" t="s">
        <v>76</v>
      </c>
      <c r="G127" s="36"/>
    </row>
    <row r="128" spans="2:7" x14ac:dyDescent="0.35">
      <c r="B128" s="194" t="s">
        <v>125</v>
      </c>
      <c r="C128" s="107" t="s">
        <v>126</v>
      </c>
      <c r="D128" s="108" t="s">
        <v>127</v>
      </c>
      <c r="E128" s="31" t="s">
        <v>128</v>
      </c>
      <c r="F128" s="32" t="s">
        <v>70</v>
      </c>
      <c r="G128" s="33"/>
    </row>
    <row r="129" spans="2:7" x14ac:dyDescent="0.35">
      <c r="B129" s="195"/>
      <c r="C129" s="113" t="s">
        <v>48</v>
      </c>
      <c r="D129" s="111" t="s">
        <v>129</v>
      </c>
      <c r="E129" s="34" t="s">
        <v>130</v>
      </c>
      <c r="F129" s="35" t="s">
        <v>90</v>
      </c>
      <c r="G129" s="36">
        <v>8</v>
      </c>
    </row>
    <row r="130" spans="2:7" x14ac:dyDescent="0.35">
      <c r="B130" s="195"/>
      <c r="C130" s="113" t="s">
        <v>48</v>
      </c>
      <c r="D130" s="111" t="s">
        <v>88</v>
      </c>
      <c r="E130" s="34" t="s">
        <v>131</v>
      </c>
      <c r="F130" s="35" t="s">
        <v>90</v>
      </c>
      <c r="G130" s="36">
        <v>7</v>
      </c>
    </row>
    <row r="131" spans="2:7" x14ac:dyDescent="0.35">
      <c r="B131" s="195"/>
      <c r="C131" s="113" t="s">
        <v>48</v>
      </c>
      <c r="D131" s="111" t="s">
        <v>132</v>
      </c>
      <c r="E131" s="34" t="s">
        <v>133</v>
      </c>
      <c r="F131" s="35" t="s">
        <v>90</v>
      </c>
      <c r="G131" s="36">
        <v>11</v>
      </c>
    </row>
    <row r="132" spans="2:7" x14ac:dyDescent="0.35">
      <c r="B132" s="195"/>
      <c r="C132" s="113" t="s">
        <v>48</v>
      </c>
      <c r="D132" s="111" t="s">
        <v>134</v>
      </c>
      <c r="E132" s="34" t="s">
        <v>135</v>
      </c>
      <c r="F132" s="35" t="s">
        <v>136</v>
      </c>
      <c r="G132" s="36">
        <v>4</v>
      </c>
    </row>
    <row r="133" spans="2:7" x14ac:dyDescent="0.35">
      <c r="B133" s="195"/>
      <c r="C133" s="113" t="s">
        <v>48</v>
      </c>
      <c r="D133" s="111" t="s">
        <v>137</v>
      </c>
      <c r="E133" s="34" t="s">
        <v>138</v>
      </c>
      <c r="F133" s="35" t="s">
        <v>81</v>
      </c>
      <c r="G133" s="36">
        <v>9</v>
      </c>
    </row>
    <row r="134" spans="2:7" x14ac:dyDescent="0.35">
      <c r="B134" s="195"/>
      <c r="C134" s="113" t="s">
        <v>48</v>
      </c>
      <c r="D134" s="111" t="s">
        <v>139</v>
      </c>
      <c r="E134" s="34" t="s">
        <v>140</v>
      </c>
      <c r="F134" s="35" t="s">
        <v>81</v>
      </c>
      <c r="G134" s="37">
        <v>9</v>
      </c>
    </row>
    <row r="135" spans="2:7" x14ac:dyDescent="0.35">
      <c r="B135" s="195"/>
      <c r="C135" s="113" t="s">
        <v>48</v>
      </c>
      <c r="D135" s="111" t="s">
        <v>141</v>
      </c>
      <c r="E135" s="34" t="s">
        <v>142</v>
      </c>
      <c r="F135" s="35" t="s">
        <v>90</v>
      </c>
      <c r="G135" s="37">
        <v>4</v>
      </c>
    </row>
    <row r="136" spans="2:7" x14ac:dyDescent="0.35">
      <c r="B136" s="195"/>
      <c r="C136" s="107" t="s">
        <v>50</v>
      </c>
      <c r="D136" s="108" t="s">
        <v>143</v>
      </c>
      <c r="E136" s="31" t="s">
        <v>144</v>
      </c>
      <c r="F136" s="32" t="s">
        <v>70</v>
      </c>
      <c r="G136" s="33"/>
    </row>
    <row r="137" spans="2:7" x14ac:dyDescent="0.35">
      <c r="B137" s="195"/>
      <c r="C137" s="113" t="s">
        <v>50</v>
      </c>
      <c r="D137" s="111" t="s">
        <v>145</v>
      </c>
      <c r="E137" s="34" t="s">
        <v>146</v>
      </c>
      <c r="F137" s="35" t="s">
        <v>73</v>
      </c>
      <c r="G137" s="36">
        <v>10</v>
      </c>
    </row>
    <row r="138" spans="2:7" x14ac:dyDescent="0.35">
      <c r="B138" s="195"/>
      <c r="C138" s="113" t="s">
        <v>50</v>
      </c>
      <c r="D138" s="111" t="s">
        <v>147</v>
      </c>
      <c r="E138" s="34" t="s">
        <v>148</v>
      </c>
      <c r="F138" s="35" t="s">
        <v>90</v>
      </c>
      <c r="G138" s="36">
        <v>9</v>
      </c>
    </row>
    <row r="139" spans="2:7" x14ac:dyDescent="0.35">
      <c r="B139" s="195"/>
      <c r="C139" s="113" t="s">
        <v>50</v>
      </c>
      <c r="D139" s="111" t="s">
        <v>149</v>
      </c>
      <c r="E139" s="34" t="s">
        <v>150</v>
      </c>
      <c r="F139" s="35" t="s">
        <v>136</v>
      </c>
      <c r="G139" s="36">
        <v>10</v>
      </c>
    </row>
    <row r="140" spans="2:7" x14ac:dyDescent="0.35">
      <c r="B140" s="195"/>
      <c r="C140" s="113" t="s">
        <v>50</v>
      </c>
      <c r="D140" s="111" t="s">
        <v>151</v>
      </c>
      <c r="E140" s="34" t="s">
        <v>152</v>
      </c>
      <c r="F140" s="35" t="s">
        <v>90</v>
      </c>
      <c r="G140" s="36">
        <v>7</v>
      </c>
    </row>
    <row r="141" spans="2:7" ht="14.5" customHeight="1" x14ac:dyDescent="0.35">
      <c r="B141" s="195"/>
      <c r="C141" s="113" t="s">
        <v>50</v>
      </c>
      <c r="D141" s="111" t="s">
        <v>153</v>
      </c>
      <c r="E141" s="34" t="s">
        <v>154</v>
      </c>
      <c r="F141" s="35" t="s">
        <v>76</v>
      </c>
      <c r="G141" s="36">
        <v>8</v>
      </c>
    </row>
    <row r="142" spans="2:7" ht="15" thickBot="1" x14ac:dyDescent="0.4">
      <c r="B142" s="196"/>
      <c r="C142" s="113" t="s">
        <v>50</v>
      </c>
      <c r="D142" s="111" t="s">
        <v>155</v>
      </c>
      <c r="E142" s="34" t="s">
        <v>156</v>
      </c>
      <c r="F142" s="35" t="s">
        <v>136</v>
      </c>
      <c r="G142" s="36">
        <v>4</v>
      </c>
    </row>
    <row r="143" spans="2:7" x14ac:dyDescent="0.35">
      <c r="B143" s="194" t="s">
        <v>157</v>
      </c>
      <c r="C143" s="107" t="s">
        <v>158</v>
      </c>
      <c r="D143" s="108" t="s">
        <v>159</v>
      </c>
      <c r="E143" s="31" t="s">
        <v>160</v>
      </c>
      <c r="F143" s="32" t="s">
        <v>70</v>
      </c>
      <c r="G143" s="33"/>
    </row>
    <row r="144" spans="2:7" x14ac:dyDescent="0.35">
      <c r="B144" s="195"/>
      <c r="C144" s="113" t="s">
        <v>52</v>
      </c>
      <c r="D144" s="111" t="s">
        <v>161</v>
      </c>
      <c r="E144" s="34" t="s">
        <v>162</v>
      </c>
      <c r="F144" s="35" t="s">
        <v>76</v>
      </c>
      <c r="G144" s="36"/>
    </row>
    <row r="145" spans="1:7" x14ac:dyDescent="0.35">
      <c r="B145" s="195"/>
      <c r="C145" s="113" t="s">
        <v>52</v>
      </c>
      <c r="D145" s="111" t="s">
        <v>163</v>
      </c>
      <c r="E145" s="34" t="s">
        <v>164</v>
      </c>
      <c r="F145" s="35" t="s">
        <v>73</v>
      </c>
      <c r="G145" s="36"/>
    </row>
    <row r="146" spans="1:7" x14ac:dyDescent="0.35">
      <c r="B146" s="195"/>
      <c r="C146" s="113" t="s">
        <v>52</v>
      </c>
      <c r="D146" s="111" t="s">
        <v>165</v>
      </c>
      <c r="E146" s="34" t="s">
        <v>166</v>
      </c>
      <c r="F146" s="35" t="s">
        <v>101</v>
      </c>
      <c r="G146" s="36"/>
    </row>
    <row r="147" spans="1:7" x14ac:dyDescent="0.35">
      <c r="B147" s="195"/>
      <c r="C147" s="113" t="s">
        <v>52</v>
      </c>
      <c r="D147" s="111" t="s">
        <v>167</v>
      </c>
      <c r="E147" s="34" t="s">
        <v>168</v>
      </c>
      <c r="F147" s="35" t="s">
        <v>76</v>
      </c>
      <c r="G147" s="36"/>
    </row>
    <row r="148" spans="1:7" x14ac:dyDescent="0.35">
      <c r="B148" s="195"/>
      <c r="C148" s="113" t="s">
        <v>52</v>
      </c>
      <c r="D148" s="111" t="s">
        <v>169</v>
      </c>
      <c r="E148" s="34" t="s">
        <v>170</v>
      </c>
      <c r="F148" s="35" t="s">
        <v>73</v>
      </c>
      <c r="G148" s="36"/>
    </row>
    <row r="149" spans="1:7" x14ac:dyDescent="0.35">
      <c r="B149" s="195"/>
      <c r="C149" s="113" t="s">
        <v>52</v>
      </c>
      <c r="D149" s="112" t="s">
        <v>171</v>
      </c>
      <c r="E149" s="34" t="s">
        <v>172</v>
      </c>
      <c r="F149" s="35" t="s">
        <v>81</v>
      </c>
      <c r="G149" s="36"/>
    </row>
    <row r="150" spans="1:7" x14ac:dyDescent="0.35">
      <c r="B150" s="195"/>
      <c r="C150" s="113" t="s">
        <v>52</v>
      </c>
      <c r="D150" s="112" t="s">
        <v>173</v>
      </c>
      <c r="E150" s="34" t="s">
        <v>174</v>
      </c>
      <c r="F150" s="35" t="s">
        <v>76</v>
      </c>
      <c r="G150" s="36"/>
    </row>
    <row r="151" spans="1:7" ht="15" thickBot="1" x14ac:dyDescent="0.4">
      <c r="B151" s="197"/>
      <c r="C151" s="112" t="s">
        <v>52</v>
      </c>
      <c r="D151" s="112" t="s">
        <v>175</v>
      </c>
      <c r="E151" s="34" t="s">
        <v>176</v>
      </c>
      <c r="F151" s="35" t="s">
        <v>73</v>
      </c>
      <c r="G151" s="36"/>
    </row>
    <row r="153" spans="1:7" x14ac:dyDescent="0.35">
      <c r="A153" s="1">
        <v>14</v>
      </c>
      <c r="B153" s="114"/>
      <c r="C153" s="157" t="s">
        <v>206</v>
      </c>
      <c r="D153" s="157"/>
    </row>
    <row r="154" spans="1:7" ht="15" thickBot="1" x14ac:dyDescent="0.4">
      <c r="B154" s="115"/>
      <c r="C154" s="116" t="s">
        <v>177</v>
      </c>
      <c r="D154" s="116" t="s">
        <v>178</v>
      </c>
    </row>
    <row r="155" spans="1:7" x14ac:dyDescent="0.35">
      <c r="B155" s="158" t="s">
        <v>16</v>
      </c>
      <c r="C155" s="161"/>
      <c r="D155" s="117"/>
    </row>
    <row r="156" spans="1:7" x14ac:dyDescent="0.35">
      <c r="B156" s="159"/>
      <c r="C156" s="162"/>
      <c r="D156" s="118"/>
    </row>
    <row r="157" spans="1:7" x14ac:dyDescent="0.35">
      <c r="B157" s="159"/>
      <c r="C157" s="162"/>
      <c r="D157" s="118"/>
    </row>
    <row r="158" spans="1:7" x14ac:dyDescent="0.35">
      <c r="B158" s="159"/>
      <c r="C158" s="162"/>
      <c r="D158" s="118"/>
    </row>
    <row r="159" spans="1:7" ht="15" thickBot="1" x14ac:dyDescent="0.4">
      <c r="B159" s="160"/>
      <c r="C159" s="163"/>
      <c r="D159" s="119" t="s">
        <v>179</v>
      </c>
    </row>
    <row r="160" spans="1:7" ht="68" customHeight="1" thickBot="1" x14ac:dyDescent="0.4">
      <c r="B160" s="164" t="s">
        <v>17</v>
      </c>
      <c r="C160" s="132" t="s">
        <v>192</v>
      </c>
      <c r="D160" s="133" t="s">
        <v>198</v>
      </c>
    </row>
    <row r="161" spans="1:4" ht="26.5" thickBot="1" x14ac:dyDescent="0.4">
      <c r="B161" s="165"/>
      <c r="C161" s="132" t="s">
        <v>192</v>
      </c>
      <c r="D161" s="133" t="s">
        <v>197</v>
      </c>
    </row>
    <row r="162" spans="1:4" ht="15" thickBot="1" x14ac:dyDescent="0.4">
      <c r="B162" s="165"/>
      <c r="C162" s="132"/>
      <c r="D162" s="132"/>
    </row>
    <row r="163" spans="1:4" ht="15" thickBot="1" x14ac:dyDescent="0.4">
      <c r="B163" s="165"/>
      <c r="C163" s="132"/>
      <c r="D163" s="132"/>
    </row>
    <row r="164" spans="1:4" ht="15" thickBot="1" x14ac:dyDescent="0.4">
      <c r="B164" s="165"/>
      <c r="C164" s="132"/>
      <c r="D164" s="132"/>
    </row>
    <row r="165" spans="1:4" ht="15" thickBot="1" x14ac:dyDescent="0.4">
      <c r="B165" s="166"/>
      <c r="C165" s="132"/>
      <c r="D165" s="132"/>
    </row>
    <row r="166" spans="1:4" ht="15" thickBot="1" x14ac:dyDescent="0.4">
      <c r="B166" s="132"/>
      <c r="C166" s="132"/>
      <c r="D166" s="132"/>
    </row>
    <row r="167" spans="1:4" ht="15" thickBot="1" x14ac:dyDescent="0.4">
      <c r="B167" s="132"/>
      <c r="C167" s="132"/>
      <c r="D167" s="132"/>
    </row>
    <row r="168" spans="1:4" ht="15" thickBot="1" x14ac:dyDescent="0.4">
      <c r="B168" s="132"/>
      <c r="C168" s="132"/>
      <c r="D168" s="132"/>
    </row>
    <row r="169" spans="1:4" ht="15" thickBot="1" x14ac:dyDescent="0.4">
      <c r="B169" s="132"/>
      <c r="C169" s="132"/>
      <c r="D169" s="132"/>
    </row>
    <row r="170" spans="1:4" ht="15" thickBot="1" x14ac:dyDescent="0.4">
      <c r="B170" s="120" t="s">
        <v>18</v>
      </c>
      <c r="C170" s="132"/>
      <c r="D170" s="132"/>
    </row>
    <row r="171" spans="1:4" ht="15" thickBot="1" x14ac:dyDescent="0.4">
      <c r="B171" s="121" t="s">
        <v>5</v>
      </c>
      <c r="C171" s="132"/>
      <c r="D171" s="132"/>
    </row>
    <row r="173" spans="1:4" x14ac:dyDescent="0.35">
      <c r="B173" s="126" t="s">
        <v>180</v>
      </c>
    </row>
    <row r="175" spans="1:4" x14ac:dyDescent="0.35">
      <c r="A175" s="1">
        <v>14</v>
      </c>
      <c r="B175" s="146" t="s">
        <v>181</v>
      </c>
      <c r="C175" s="147" t="s">
        <v>191</v>
      </c>
      <c r="D175" s="147" t="s">
        <v>203</v>
      </c>
    </row>
    <row r="176" spans="1:4" ht="47" customHeight="1" x14ac:dyDescent="0.35">
      <c r="B176" s="146"/>
      <c r="C176" s="146"/>
      <c r="D176" s="146"/>
    </row>
    <row r="177" spans="2:4" ht="19" thickBot="1" x14ac:dyDescent="0.4">
      <c r="B177" s="123" t="s">
        <v>183</v>
      </c>
      <c r="C177" s="124">
        <v>88</v>
      </c>
      <c r="D177" s="124">
        <v>95</v>
      </c>
    </row>
    <row r="178" spans="2:4" ht="19" thickBot="1" x14ac:dyDescent="0.4">
      <c r="B178" s="123" t="s">
        <v>184</v>
      </c>
      <c r="C178" s="125">
        <v>1</v>
      </c>
      <c r="D178" s="125">
        <v>1</v>
      </c>
    </row>
    <row r="179" spans="2:4" ht="19" thickBot="1" x14ac:dyDescent="0.4">
      <c r="B179" s="123" t="s">
        <v>185</v>
      </c>
      <c r="C179" s="124">
        <v>5</v>
      </c>
      <c r="D179" s="124">
        <v>5</v>
      </c>
    </row>
    <row r="180" spans="2:4" ht="19" thickBot="1" x14ac:dyDescent="0.4">
      <c r="B180" s="123" t="s">
        <v>186</v>
      </c>
      <c r="C180" s="124">
        <v>2</v>
      </c>
      <c r="D180" s="124">
        <v>2</v>
      </c>
    </row>
    <row r="181" spans="2:4" ht="19" thickBot="1" x14ac:dyDescent="0.4">
      <c r="B181" s="123" t="s">
        <v>187</v>
      </c>
      <c r="C181" s="124">
        <v>0</v>
      </c>
      <c r="D181" s="124">
        <v>0</v>
      </c>
    </row>
    <row r="182" spans="2:4" ht="19" thickBot="1" x14ac:dyDescent="0.4">
      <c r="B182" s="123" t="s">
        <v>188</v>
      </c>
      <c r="C182" s="124">
        <v>1</v>
      </c>
      <c r="D182" s="124">
        <v>1</v>
      </c>
    </row>
    <row r="183" spans="2:4" ht="19" thickBot="1" x14ac:dyDescent="0.4">
      <c r="B183" s="123" t="s">
        <v>182</v>
      </c>
      <c r="C183" s="124">
        <f>SUM(C177:C182)</f>
        <v>97</v>
      </c>
      <c r="D183" s="124">
        <f>SUM(D177:D182)</f>
        <v>104</v>
      </c>
    </row>
  </sheetData>
  <mergeCells count="35">
    <mergeCell ref="B128:B142"/>
    <mergeCell ref="B143:B151"/>
    <mergeCell ref="I33:I37"/>
    <mergeCell ref="C73:C74"/>
    <mergeCell ref="B73:B74"/>
    <mergeCell ref="D73:D74"/>
    <mergeCell ref="D175:D176"/>
    <mergeCell ref="B30:K30"/>
    <mergeCell ref="C31:E31"/>
    <mergeCell ref="F31:H31"/>
    <mergeCell ref="I31:K31"/>
    <mergeCell ref="E33:E37"/>
    <mergeCell ref="F33:F37"/>
    <mergeCell ref="J33:J37"/>
    <mergeCell ref="K33:K37"/>
    <mergeCell ref="G73:G74"/>
    <mergeCell ref="B100:H100"/>
    <mergeCell ref="B101:H101"/>
    <mergeCell ref="B103:B127"/>
    <mergeCell ref="E73:E74"/>
    <mergeCell ref="C33:C37"/>
    <mergeCell ref="B33:B37"/>
    <mergeCell ref="B2:G2"/>
    <mergeCell ref="B175:B176"/>
    <mergeCell ref="C175:C176"/>
    <mergeCell ref="B6:C6"/>
    <mergeCell ref="B4:C4"/>
    <mergeCell ref="B12:C12"/>
    <mergeCell ref="B79:B82"/>
    <mergeCell ref="C79:C82"/>
    <mergeCell ref="C153:D153"/>
    <mergeCell ref="B59:C59"/>
    <mergeCell ref="B155:B159"/>
    <mergeCell ref="C155:C159"/>
    <mergeCell ref="B160:B165"/>
  </mergeCells>
  <conditionalFormatting sqref="A153 A6 A14 A30 A44 A51 A59 A66 A71 A78 A86 A91 A96">
    <cfRule type="iconSet" priority="4">
      <iconSet iconSet="3Symbols2" showValue="0">
        <cfvo type="percent" val="0"/>
        <cfvo type="num" val="0"/>
        <cfvo type="num" val="0"/>
      </iconSet>
    </cfRule>
  </conditionalFormatting>
  <conditionalFormatting sqref="A175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02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8C25F4-E5A6-4B77-A83C-C219A7D1E1D6}"/>
</file>

<file path=customXml/itemProps2.xml><?xml version="1.0" encoding="utf-8"?>
<ds:datastoreItem xmlns:ds="http://schemas.openxmlformats.org/officeDocument/2006/customXml" ds:itemID="{E222481F-BA4E-4AFB-A402-44F85E0B53AE}"/>
</file>

<file path=customXml/itemProps3.xml><?xml version="1.0" encoding="utf-8"?>
<ds:datastoreItem xmlns:ds="http://schemas.openxmlformats.org/officeDocument/2006/customXml" ds:itemID="{2611D29D-5C56-489F-A2F8-13516DB5D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Gonzales Estrada Sara Stephany</cp:lastModifiedBy>
  <cp:revision/>
  <dcterms:created xsi:type="dcterms:W3CDTF">2024-01-03T15:06:50Z</dcterms:created>
  <dcterms:modified xsi:type="dcterms:W3CDTF">2024-06-05T21:51:19Z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