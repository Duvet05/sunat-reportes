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0\PROGRAMACION\DIVISIONES\"/>
    </mc:Choice>
  </mc:AlternateContent>
  <xr:revisionPtr revIDLastSave="0" documentId="13_ncr:1_{6FE8584C-5B28-45F0-A556-20D1FFD4C215}" xr6:coauthVersionLast="47" xr6:coauthVersionMax="47" xr10:uidLastSave="{00000000-0000-0000-0000-000000000000}"/>
  <bookViews>
    <workbookView xWindow="-110" yWindow="-110" windowWidth="19420" windowHeight="10420" xr2:uid="{2EFA1358-0385-4213-83A5-14E931E4CB4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20" i="1"/>
</calcChain>
</file>

<file path=xl/sharedStrings.xml><?xml version="1.0" encoding="utf-8"?>
<sst xmlns="http://schemas.openxmlformats.org/spreadsheetml/2006/main" count="357" uniqueCount="201">
  <si>
    <t>COMITÉ INI</t>
  </si>
  <si>
    <t>STOCK DE DOCUMENTOS</t>
  </si>
  <si>
    <t>DCCI/DCCII/DCP</t>
  </si>
  <si>
    <t>FONDO</t>
  </si>
  <si>
    <t>ADMISIBILIDAD</t>
  </si>
  <si>
    <t>TOTAL</t>
  </si>
  <si>
    <t xml:space="preserve">PRODUCTIVIDAD RECLAMOS </t>
  </si>
  <si>
    <t>DIVISIÓN DE CONTROL CONCURRENTE-I</t>
  </si>
  <si>
    <t>DICIEMBRE</t>
  </si>
  <si>
    <t>Reclamos resueltos</t>
  </si>
  <si>
    <t>Resolutor</t>
  </si>
  <si>
    <t>Producción Promedio</t>
  </si>
  <si>
    <t>DIVISIÓN DE CONTROL CONCURRENTE-II</t>
  </si>
  <si>
    <t>JUNIO</t>
  </si>
  <si>
    <t>DIVISIÓN DE CONTROL POSTERIOR</t>
  </si>
  <si>
    <t>PRODUCTIVIDAD (LABORES ADICIONALES)</t>
  </si>
  <si>
    <t>PRODUCCIÓN</t>
  </si>
  <si>
    <t>UUOO</t>
  </si>
  <si>
    <t>DCCI</t>
  </si>
  <si>
    <t>DCCII</t>
  </si>
  <si>
    <t>DCP</t>
  </si>
  <si>
    <t>MATERIA</t>
  </si>
  <si>
    <t>MEJORA RD</t>
  </si>
  <si>
    <t>MEJORA LC</t>
  </si>
  <si>
    <t>MEJORA (IAMC)</t>
  </si>
  <si>
    <t>ADMISIBILIDAD APELACIÓN</t>
  </si>
  <si>
    <t xml:space="preserve">PRODUCTO RESUELTO </t>
  </si>
  <si>
    <t>Atención de correo de Técnica Aduanera  -IA. Tumbes, sobre reclamos y LC vinculadas</t>
  </si>
  <si>
    <t xml:space="preserve">Devolución 3 expedientes a admisibilidad por requisitos y trámite
Coordinación sobre 8 expedientes con admisibilidad para rectificar hoja de calificación </t>
  </si>
  <si>
    <t>RESOLUTOR (EJEMPLO)</t>
  </si>
  <si>
    <t>PRODUCCIÓN PROMEDIO (EJEMPLO)</t>
  </si>
  <si>
    <t>PROGRAMACIÓN-JULIO 2024</t>
  </si>
  <si>
    <t>STOCK VENCIDOS</t>
  </si>
  <si>
    <t>VENCIDO +9 MESES</t>
  </si>
  <si>
    <t>9 MESES</t>
  </si>
  <si>
    <t>8 MESES</t>
  </si>
  <si>
    <t>7 MESES</t>
  </si>
  <si>
    <t>NO GESTIONABLE Y REINGRESADOS</t>
  </si>
  <si>
    <t>NO GESTIONABLE</t>
  </si>
  <si>
    <t xml:space="preserve">REINGRESADOS </t>
  </si>
  <si>
    <t>PRODUCTIVIDAD POR SUPERVISIÓN</t>
  </si>
  <si>
    <t>Supervisión</t>
  </si>
  <si>
    <t>Nombre y apellido</t>
  </si>
  <si>
    <t>Resolución aplicada</t>
  </si>
  <si>
    <t>Resolutor efectivo</t>
  </si>
  <si>
    <t>Complejidad</t>
  </si>
  <si>
    <t>Producción promedio</t>
  </si>
  <si>
    <t>7U7101</t>
  </si>
  <si>
    <t>Roberto Vera Tudela</t>
  </si>
  <si>
    <t>7U7102</t>
  </si>
  <si>
    <t>Vanesa Chávez</t>
  </si>
  <si>
    <t>7U7103</t>
  </si>
  <si>
    <t>Angelita Santillan</t>
  </si>
  <si>
    <t>7U7201</t>
  </si>
  <si>
    <t>Yessenia Salcedo</t>
  </si>
  <si>
    <t>intermedio /Alto</t>
  </si>
  <si>
    <t>7U7202</t>
  </si>
  <si>
    <t>Allison Castro</t>
  </si>
  <si>
    <t>7U7301</t>
  </si>
  <si>
    <t>Ellsworth Carpio</t>
  </si>
  <si>
    <t xml:space="preserve">                 </t>
  </si>
  <si>
    <t>PROYECTADO Y NO APLICADO</t>
  </si>
  <si>
    <t xml:space="preserve">Resolución proyectada </t>
  </si>
  <si>
    <r>
      <t>Resolución</t>
    </r>
    <r>
      <rPr>
        <b/>
        <u/>
        <sz val="10"/>
        <color rgb="FFFFFFFF"/>
        <rFont val="Calibri Light"/>
        <family val="2"/>
        <scheme val="major"/>
      </rPr>
      <t xml:space="preserve"> </t>
    </r>
    <r>
      <rPr>
        <b/>
        <sz val="10"/>
        <color rgb="FFFFFFFF"/>
        <rFont val="Calibri Light"/>
        <family val="2"/>
        <scheme val="major"/>
      </rPr>
      <t>aplicada</t>
    </r>
    <r>
      <rPr>
        <b/>
        <u/>
        <sz val="10"/>
        <color rgb="FFFFFFFF"/>
        <rFont val="Calibri Light"/>
        <family val="2"/>
        <scheme val="major"/>
      </rPr>
      <t xml:space="preserve"> </t>
    </r>
  </si>
  <si>
    <t xml:space="preserve">Motivo </t>
  </si>
  <si>
    <t xml:space="preserve">      Motivo</t>
  </si>
  <si>
    <t>Pendiente de informe parcial de admisibilidad</t>
  </si>
  <si>
    <t>Medio</t>
  </si>
  <si>
    <t>medio/alta</t>
  </si>
  <si>
    <t>Motivo</t>
  </si>
  <si>
    <t>EQUIPO SIGERI</t>
  </si>
  <si>
    <t>PRODUCCIÓN POR RESOLUTOR</t>
  </si>
  <si>
    <t>SUPERVISIONES</t>
  </si>
  <si>
    <t>REGISTRO</t>
  </si>
  <si>
    <t xml:space="preserve">FUNCIONARIO </t>
  </si>
  <si>
    <t>CARGO</t>
  </si>
  <si>
    <t>PRODUCCIÓN  MENSUAL</t>
  </si>
  <si>
    <t>7U7100 DIVISION DE CONTROL CONCURRENTE I</t>
  </si>
  <si>
    <t>5877</t>
  </si>
  <si>
    <t>Roberto Vera Tudela Gallesi</t>
  </si>
  <si>
    <t>Supervisor 2</t>
  </si>
  <si>
    <t>2900</t>
  </si>
  <si>
    <t>Carolina Cavero Carrion</t>
  </si>
  <si>
    <t>Especialista 4</t>
  </si>
  <si>
    <t>4469</t>
  </si>
  <si>
    <t>Maria Hurtado Custodio</t>
  </si>
  <si>
    <t>Especialista 5</t>
  </si>
  <si>
    <t>5534</t>
  </si>
  <si>
    <t>Celso Sanchez Garrido</t>
  </si>
  <si>
    <t>3284</t>
  </si>
  <si>
    <t>Ana Diaz Jurado</t>
  </si>
  <si>
    <t>Especialista 2</t>
  </si>
  <si>
    <t>3085</t>
  </si>
  <si>
    <t>Edgar Cosio Jara</t>
  </si>
  <si>
    <t>8351</t>
  </si>
  <si>
    <t>Debra Araoz Laines</t>
  </si>
  <si>
    <t>5565</t>
  </si>
  <si>
    <t>Victoria Santa Cruz Martinez</t>
  </si>
  <si>
    <t>4644</t>
  </si>
  <si>
    <t>Cesar Linares Alcantara</t>
  </si>
  <si>
    <t>Especialista 3</t>
  </si>
  <si>
    <t>7580</t>
  </si>
  <si>
    <t>Vanesa Chavez Silva</t>
  </si>
  <si>
    <t>2968</t>
  </si>
  <si>
    <t>Maria Chire Tunque</t>
  </si>
  <si>
    <t>4949</t>
  </si>
  <si>
    <t>Javier Oyarse Cruz</t>
  </si>
  <si>
    <t>4504</t>
  </si>
  <si>
    <t xml:space="preserve">Hugo Jimenez Suclla </t>
  </si>
  <si>
    <t>8319</t>
  </si>
  <si>
    <t>Carla Vilcapaza Amaro</t>
  </si>
  <si>
    <t>Especialista 1</t>
  </si>
  <si>
    <t>3977</t>
  </si>
  <si>
    <t>William Godoy Escalante</t>
  </si>
  <si>
    <t>7324</t>
  </si>
  <si>
    <t>Zaira Carbajal Jara</t>
  </si>
  <si>
    <t>5569</t>
  </si>
  <si>
    <t>Gladys Santillan Valdivia</t>
  </si>
  <si>
    <t>Supervisor 3</t>
  </si>
  <si>
    <t>7625</t>
  </si>
  <si>
    <t>Teresita Quezada Villar</t>
  </si>
  <si>
    <t>7330</t>
  </si>
  <si>
    <t>Tania Rosales Ochoa</t>
  </si>
  <si>
    <t>4770</t>
  </si>
  <si>
    <t>Maritza Mollinedo Catunta</t>
  </si>
  <si>
    <t>2858</t>
  </si>
  <si>
    <t>Julio Castañeda Calderon</t>
  </si>
  <si>
    <t>7611</t>
  </si>
  <si>
    <t>Azhir Sandoval Guevara</t>
  </si>
  <si>
    <t>7661</t>
  </si>
  <si>
    <t>Luis Cordova Meza</t>
  </si>
  <si>
    <t>7674</t>
  </si>
  <si>
    <t>Andres Angulo Farfan</t>
  </si>
  <si>
    <t>5556</t>
  </si>
  <si>
    <t>Jorge Sanchez Torres</t>
  </si>
  <si>
    <t>7U7200 DIVISION DE CONTROL CONCURRENTE II</t>
  </si>
  <si>
    <t xml:space="preserve">7U7201 </t>
  </si>
  <si>
    <t>7587</t>
  </si>
  <si>
    <t>Yessenia Salcedo Diaz</t>
  </si>
  <si>
    <t>7342</t>
  </si>
  <si>
    <t>Juan Cuya Velarde</t>
  </si>
  <si>
    <t>Carlos Malaga Portocarrero</t>
  </si>
  <si>
    <t>4569</t>
  </si>
  <si>
    <t xml:space="preserve">Jose Linarez Amacifuen </t>
  </si>
  <si>
    <t>AO21</t>
  </si>
  <si>
    <t>Renierd Rios Gomez</t>
  </si>
  <si>
    <t>CAS</t>
  </si>
  <si>
    <t>7211</t>
  </si>
  <si>
    <t>Roberto Rivarola Hidalgo</t>
  </si>
  <si>
    <t>7624</t>
  </si>
  <si>
    <t>Poul Valdivia Charca</t>
  </si>
  <si>
    <t>7575</t>
  </si>
  <si>
    <t xml:space="preserve">Allison Castro </t>
  </si>
  <si>
    <t>2423</t>
  </si>
  <si>
    <t>Cecilia Acosta Salazar</t>
  </si>
  <si>
    <t>7326</t>
  </si>
  <si>
    <t>Lydia Arestegui Pereyra</t>
  </si>
  <si>
    <t>AT75</t>
  </si>
  <si>
    <t>Victoria Flores Alvitez</t>
  </si>
  <si>
    <t>7151</t>
  </si>
  <si>
    <t>Lourdes Pretel Noblecilla</t>
  </si>
  <si>
    <t>5844</t>
  </si>
  <si>
    <t>Richard Vela Nuñez</t>
  </si>
  <si>
    <t>5749</t>
  </si>
  <si>
    <t>Wilder Ulloa Ascencio</t>
  </si>
  <si>
    <t>7U7300 DIVISION DE CONTROL POSTERIOR</t>
  </si>
  <si>
    <t xml:space="preserve">7U7301 </t>
  </si>
  <si>
    <t>2834</t>
  </si>
  <si>
    <t xml:space="preserve">Ellsworth Carpio Charres </t>
  </si>
  <si>
    <t>2694</t>
  </si>
  <si>
    <t>Gustavo Bernuy Nuñez</t>
  </si>
  <si>
    <t>4700</t>
  </si>
  <si>
    <t>Carlos Mauro Sampen</t>
  </si>
  <si>
    <t>9411</t>
  </si>
  <si>
    <t>Magali Palomino Rojas</t>
  </si>
  <si>
    <t>5730</t>
  </si>
  <si>
    <t>Marco Tregear Jimenez</t>
  </si>
  <si>
    <t>7660</t>
  </si>
  <si>
    <t>Marco Fournier Castillo</t>
  </si>
  <si>
    <t>7148</t>
  </si>
  <si>
    <t>Jesus Garcia Rodriguez</t>
  </si>
  <si>
    <t>4594</t>
  </si>
  <si>
    <t>Carlos Lopez Cornelio</t>
  </si>
  <si>
    <t>4990</t>
  </si>
  <si>
    <t xml:space="preserve">Cecilia Pantoja Urizar Garfias </t>
  </si>
  <si>
    <t>ITOP REPORTADOS-MAYO 2024</t>
  </si>
  <si>
    <t>MAYO</t>
  </si>
  <si>
    <t>N° ITOP</t>
  </si>
  <si>
    <t> ASUNTO</t>
  </si>
  <si>
    <t xml:space="preserve"> </t>
  </si>
  <si>
    <t xml:space="preserve"> I-928811
I-955388 </t>
  </si>
  <si>
    <t>ACTUALIZACION LC
RD NO MIGRO SINE</t>
  </si>
  <si>
    <t>RESULTADOS DE RECLAMO</t>
  </si>
  <si>
    <t>ESTADO</t>
  </si>
  <si>
    <t>Total</t>
  </si>
  <si>
    <t>Infundado</t>
  </si>
  <si>
    <t>Fundado/F.P</t>
  </si>
  <si>
    <t>Nulidad</t>
  </si>
  <si>
    <t>Improcedente</t>
  </si>
  <si>
    <t>Desistimiento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</si>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</sst>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color rgb="FFFFFFFF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b/>
      <sz val="10"/>
      <color rgb="FF833C0C"/>
      <name val="Calibri Light"/>
      <family val="2"/>
      <scheme val="major"/>
    </font>
    <font>
      <b/>
      <u/>
      <sz val="10"/>
      <color rgb="FFFFFFFF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sz val="12"/>
      <color theme="0"/>
      <name val="Calibri Light"/>
      <family val="2"/>
    </font>
    <font>
      <b/>
      <sz val="14"/>
      <name val="Calibri Light"/>
      <family val="2"/>
    </font>
    <font>
      <b/>
      <sz val="12"/>
      <color rgb="FF000000"/>
      <name val="Calibri Light"/>
      <family val="2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8CB"/>
        <bgColor indexed="64"/>
      </patternFill>
    </fill>
    <fill>
      <patternFill patternType="solid">
        <fgColor rgb="FFFFF4E7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1E9"/>
        <bgColor indexed="64"/>
      </patternFill>
    </fill>
    <fill>
      <patternFill patternType="solid">
        <fgColor theme="8" tint="0.79998168889431442"/>
        <bgColor indexed="64"/>
      </patternFill>
    </fill>
  </fills>
  <borders count="60">
    <border>
      <left/>
      <right/>
      <top/>
      <bottom/>
      <diagonal/>
    </border>
    <border>
      <left style="medium">
        <color rgb="FF5B9BD5"/>
      </left>
      <right/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9CC2E5"/>
      </left>
      <right style="medium">
        <color rgb="FF9CC2E5"/>
      </right>
      <top style="medium">
        <color rgb="FF5B9BD5"/>
      </top>
      <bottom style="medium">
        <color rgb="FF9CC2E5"/>
      </bottom>
      <diagonal/>
    </border>
    <border>
      <left style="medium">
        <color rgb="FF9CC2E5"/>
      </left>
      <right style="medium">
        <color rgb="FF9CC2E5"/>
      </right>
      <top style="medium">
        <color rgb="FF9CC2E5"/>
      </top>
      <bottom style="medium">
        <color rgb="FF9CC2E5"/>
      </bottom>
      <diagonal/>
    </border>
    <border>
      <left style="medium">
        <color theme="8" tint="0.39994506668294322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medium">
        <color rgb="FF8EAADB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/>
      <bottom style="medium">
        <color theme="8" tint="0.39994506668294322"/>
      </bottom>
      <diagonal/>
    </border>
    <border>
      <left style="medium">
        <color rgb="FF9CC2E5"/>
      </left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/>
      <right style="medium">
        <color theme="8" tint="0.39994506668294322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/>
      <diagonal/>
    </border>
    <border>
      <left style="medium">
        <color indexed="64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indexed="64"/>
      </right>
      <top style="medium">
        <color indexed="64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rgb="FF9CC2E5"/>
      </bottom>
      <diagonal/>
    </border>
    <border>
      <left style="medium">
        <color rgb="FF9CC2E5"/>
      </left>
      <right style="medium">
        <color indexed="64"/>
      </right>
      <top style="medium">
        <color rgb="FF9CC2E5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 style="medium">
        <color rgb="FF9CC2E5"/>
      </top>
      <bottom style="medium">
        <color rgb="FF9CC2E5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9CC2E5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CC2E5"/>
      </left>
      <right style="medium">
        <color rgb="FF9CC2E5"/>
      </right>
      <top/>
      <bottom style="medium">
        <color rgb="FF9CC2E5"/>
      </bottom>
      <diagonal/>
    </border>
    <border>
      <left/>
      <right style="medium">
        <color rgb="FF9CC2E5"/>
      </right>
      <top/>
      <bottom style="medium">
        <color rgb="FF9CC2E5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/>
    <xf numFmtId="0" fontId="2" fillId="0" borderId="0" xfId="0" applyFont="1"/>
    <xf numFmtId="0" fontId="3" fillId="6" borderId="20" xfId="0" applyFont="1" applyFill="1" applyBorder="1" applyAlignment="1">
      <alignment horizontal="center" vertical="center" wrapText="1" readingOrder="1"/>
    </xf>
    <xf numFmtId="0" fontId="3" fillId="7" borderId="12" xfId="0" applyFont="1" applyFill="1" applyBorder="1" applyAlignment="1">
      <alignment horizontal="center" vertical="center" wrapText="1" readingOrder="1"/>
    </xf>
    <xf numFmtId="0" fontId="3" fillId="8" borderId="12" xfId="0" applyFont="1" applyFill="1" applyBorder="1" applyAlignment="1">
      <alignment horizontal="center" vertical="center" wrapText="1" readingOrder="1"/>
    </xf>
    <xf numFmtId="0" fontId="3" fillId="9" borderId="12" xfId="0" applyFont="1" applyFill="1" applyBorder="1" applyAlignment="1">
      <alignment horizontal="center" vertical="center" wrapText="1" readingOrder="1"/>
    </xf>
    <xf numFmtId="0" fontId="3" fillId="9" borderId="22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left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left" vertical="center" wrapText="1" readingOrder="1"/>
    </xf>
    <xf numFmtId="0" fontId="5" fillId="7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5" fillId="7" borderId="16" xfId="0" applyFont="1" applyFill="1" applyBorder="1" applyAlignment="1">
      <alignment horizontal="center" vertical="center" wrapText="1"/>
    </xf>
    <xf numFmtId="0" fontId="5" fillId="8" borderId="16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left" vertical="center" wrapText="1" readingOrder="1"/>
    </xf>
    <xf numFmtId="0" fontId="4" fillId="7" borderId="12" xfId="0" applyFont="1" applyFill="1" applyBorder="1" applyAlignment="1">
      <alignment horizontal="center" vertical="center" wrapText="1" readingOrder="1"/>
    </xf>
    <xf numFmtId="0" fontId="4" fillId="8" borderId="12" xfId="0" applyFont="1" applyFill="1" applyBorder="1" applyAlignment="1">
      <alignment horizontal="center" vertical="center" wrapText="1" readingOrder="1"/>
    </xf>
    <xf numFmtId="0" fontId="4" fillId="9" borderId="12" xfId="0" applyFont="1" applyFill="1" applyBorder="1" applyAlignment="1">
      <alignment horizontal="center" vertical="center" wrapText="1" readingOrder="1"/>
    </xf>
    <xf numFmtId="16" fontId="4" fillId="9" borderId="22" xfId="0" applyNumberFormat="1" applyFont="1" applyFill="1" applyBorder="1" applyAlignment="1">
      <alignment horizontal="center" vertical="center" wrapText="1" readingOrder="1"/>
    </xf>
    <xf numFmtId="0" fontId="3" fillId="6" borderId="29" xfId="0" applyFont="1" applyFill="1" applyBorder="1" applyAlignment="1">
      <alignment horizontal="center" vertical="center" wrapText="1" readingOrder="1"/>
    </xf>
    <xf numFmtId="0" fontId="4" fillId="7" borderId="30" xfId="0" applyFont="1" applyFill="1" applyBorder="1" applyAlignment="1">
      <alignment horizontal="center" vertical="center" wrapText="1" readingOrder="1"/>
    </xf>
    <xf numFmtId="0" fontId="4" fillId="8" borderId="30" xfId="0" applyFont="1" applyFill="1" applyBorder="1" applyAlignment="1">
      <alignment horizontal="center" vertical="center" wrapText="1" readingOrder="1"/>
    </xf>
    <xf numFmtId="0" fontId="4" fillId="9" borderId="30" xfId="0" applyFont="1" applyFill="1" applyBorder="1" applyAlignment="1">
      <alignment horizontal="center" vertical="center" wrapText="1" readingOrder="1"/>
    </xf>
    <xf numFmtId="0" fontId="4" fillId="9" borderId="31" xfId="0" applyFont="1" applyFill="1" applyBorder="1" applyAlignment="1">
      <alignment horizontal="center" vertical="center" wrapText="1" readingOrder="1"/>
    </xf>
    <xf numFmtId="0" fontId="6" fillId="2" borderId="38" xfId="0" applyFont="1" applyFill="1" applyBorder="1" applyAlignment="1">
      <alignment horizontal="center" vertical="center" wrapText="1" readingOrder="1"/>
    </xf>
    <xf numFmtId="0" fontId="3" fillId="3" borderId="39" xfId="0" applyFont="1" applyFill="1" applyBorder="1" applyAlignment="1">
      <alignment horizontal="center" vertical="center" wrapText="1" readingOrder="1"/>
    </xf>
    <xf numFmtId="0" fontId="3" fillId="3" borderId="41" xfId="0" applyFont="1" applyFill="1" applyBorder="1" applyAlignment="1">
      <alignment horizontal="center" vertical="center" wrapText="1" readingOrder="1"/>
    </xf>
    <xf numFmtId="0" fontId="3" fillId="0" borderId="40" xfId="0" applyFont="1" applyBorder="1" applyAlignment="1">
      <alignment horizontal="center" vertical="center" wrapText="1" readingOrder="1"/>
    </xf>
    <xf numFmtId="49" fontId="7" fillId="19" borderId="48" xfId="0" applyNumberFormat="1" applyFont="1" applyFill="1" applyBorder="1" applyAlignment="1">
      <alignment vertical="center"/>
    </xf>
    <xf numFmtId="49" fontId="7" fillId="19" borderId="48" xfId="0" applyNumberFormat="1" applyFont="1" applyFill="1" applyBorder="1" applyAlignment="1">
      <alignment horizontal="left" vertical="center"/>
    </xf>
    <xf numFmtId="0" fontId="5" fillId="19" borderId="48" xfId="0" applyFont="1" applyFill="1" applyBorder="1" applyAlignment="1">
      <alignment horizontal="center" vertical="center"/>
    </xf>
    <xf numFmtId="49" fontId="5" fillId="0" borderId="48" xfId="0" applyNumberFormat="1" applyFont="1" applyBorder="1" applyAlignment="1">
      <alignment vertical="center"/>
    </xf>
    <xf numFmtId="49" fontId="5" fillId="0" borderId="48" xfId="0" applyNumberFormat="1" applyFont="1" applyBorder="1" applyAlignment="1">
      <alignment horizontal="left" vertical="center"/>
    </xf>
    <xf numFmtId="0" fontId="5" fillId="0" borderId="48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/>
    </xf>
    <xf numFmtId="0" fontId="4" fillId="3" borderId="3" xfId="0" applyFont="1" applyFill="1" applyBorder="1" applyAlignment="1">
      <alignment horizontal="left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center" vertical="center" wrapText="1" readingOrder="1"/>
    </xf>
    <xf numFmtId="0" fontId="6" fillId="2" borderId="5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 readingOrder="1"/>
    </xf>
    <xf numFmtId="2" fontId="3" fillId="3" borderId="8" xfId="0" applyNumberFormat="1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2" fontId="3" fillId="3" borderId="9" xfId="0" applyNumberFormat="1" applyFont="1" applyFill="1" applyBorder="1" applyAlignment="1">
      <alignment horizontal="center" vertical="center" wrapText="1"/>
    </xf>
    <xf numFmtId="0" fontId="9" fillId="2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 readingOrder="1"/>
    </xf>
    <xf numFmtId="0" fontId="9" fillId="2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 readingOrder="1"/>
    </xf>
    <xf numFmtId="0" fontId="9" fillId="2" borderId="33" xfId="0" applyFont="1" applyFill="1" applyBorder="1" applyAlignment="1">
      <alignment horizontal="center" vertical="center" wrapText="1"/>
    </xf>
    <xf numFmtId="0" fontId="10" fillId="3" borderId="37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3" borderId="4" xfId="0" applyFont="1" applyFill="1" applyBorder="1" applyAlignment="1">
      <alignment horizontal="left" vertical="center" wrapText="1" readingOrder="1"/>
    </xf>
    <xf numFmtId="0" fontId="6" fillId="2" borderId="10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6" fillId="2" borderId="13" xfId="0" applyFont="1" applyFill="1" applyBorder="1" applyAlignment="1">
      <alignment horizontal="center" vertical="center" wrapText="1" readingOrder="1"/>
    </xf>
    <xf numFmtId="0" fontId="6" fillId="2" borderId="12" xfId="0" applyFont="1" applyFill="1" applyBorder="1" applyAlignment="1">
      <alignment horizontal="center" vertical="center" wrapText="1" readingOrder="1"/>
    </xf>
    <xf numFmtId="0" fontId="4" fillId="10" borderId="12" xfId="0" applyFont="1" applyFill="1" applyBorder="1" applyAlignment="1">
      <alignment horizontal="left" vertical="center" wrapText="1" readingOrder="1"/>
    </xf>
    <xf numFmtId="0" fontId="4" fillId="10" borderId="12" xfId="0" applyFont="1" applyFill="1" applyBorder="1" applyAlignment="1">
      <alignment horizontal="center" vertical="center" wrapText="1" readingOrder="1"/>
    </xf>
    <xf numFmtId="0" fontId="4" fillId="3" borderId="12" xfId="0" applyFont="1" applyFill="1" applyBorder="1" applyAlignment="1">
      <alignment horizontal="left" vertical="center" wrapText="1" readingOrder="1"/>
    </xf>
    <xf numFmtId="0" fontId="4" fillId="3" borderId="1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center" vertical="center" wrapText="1" readingOrder="1"/>
    </xf>
    <xf numFmtId="0" fontId="6" fillId="11" borderId="42" xfId="0" applyFont="1" applyFill="1" applyBorder="1" applyAlignment="1">
      <alignment horizontal="left" vertical="center" wrapText="1" readingOrder="1"/>
    </xf>
    <xf numFmtId="0" fontId="6" fillId="11" borderId="43" xfId="0" applyFont="1" applyFill="1" applyBorder="1" applyAlignment="1">
      <alignment horizontal="center" vertical="center" wrapText="1" readingOrder="1"/>
    </xf>
    <xf numFmtId="0" fontId="4" fillId="12" borderId="43" xfId="0" applyFont="1" applyFill="1" applyBorder="1" applyAlignment="1">
      <alignment horizontal="left" vertical="center" wrapText="1" readingOrder="1"/>
    </xf>
    <xf numFmtId="0" fontId="4" fillId="12" borderId="43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center" vertical="center" wrapText="1" readingOrder="1"/>
    </xf>
    <xf numFmtId="0" fontId="6" fillId="14" borderId="11" xfId="0" applyFont="1" applyFill="1" applyBorder="1" applyAlignment="1">
      <alignment horizontal="left" vertical="center" wrapText="1" readingOrder="1"/>
    </xf>
    <xf numFmtId="0" fontId="6" fillId="14" borderId="11" xfId="0" applyFont="1" applyFill="1" applyBorder="1" applyAlignment="1">
      <alignment horizontal="center" vertical="center" wrapText="1" readingOrder="1"/>
    </xf>
    <xf numFmtId="0" fontId="6" fillId="14" borderId="13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4" xfId="0" applyFont="1" applyFill="1" applyBorder="1" applyAlignment="1">
      <alignment horizontal="center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center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5" fillId="15" borderId="16" xfId="0" applyFont="1" applyFill="1" applyBorder="1" applyAlignment="1">
      <alignment horizontal="center" vertical="top" wrapText="1"/>
    </xf>
    <xf numFmtId="0" fontId="6" fillId="11" borderId="10" xfId="0" applyFont="1" applyFill="1" applyBorder="1" applyAlignment="1">
      <alignment horizontal="left" vertical="center" wrapText="1" readingOrder="1"/>
    </xf>
    <xf numFmtId="0" fontId="6" fillId="11" borderId="11" xfId="0" applyFont="1" applyFill="1" applyBorder="1" applyAlignment="1">
      <alignment horizontal="center" vertical="center" wrapText="1" readingOrder="1"/>
    </xf>
    <xf numFmtId="0" fontId="6" fillId="11" borderId="13" xfId="0" applyFont="1" applyFill="1" applyBorder="1" applyAlignment="1">
      <alignment horizontal="center" vertical="center" wrapText="1" readingOrder="1"/>
    </xf>
    <xf numFmtId="0" fontId="6" fillId="11" borderId="12" xfId="0" applyFont="1" applyFill="1" applyBorder="1" applyAlignment="1">
      <alignment horizontal="center" vertical="center" wrapText="1" readingOrder="1"/>
    </xf>
    <xf numFmtId="0" fontId="4" fillId="16" borderId="12" xfId="0" applyFont="1" applyFill="1" applyBorder="1" applyAlignment="1">
      <alignment horizontal="left" vertical="center" wrapText="1" readingOrder="1"/>
    </xf>
    <xf numFmtId="0" fontId="4" fillId="16" borderId="12" xfId="0" applyFont="1" applyFill="1" applyBorder="1" applyAlignment="1">
      <alignment horizontal="center" vertical="center" wrapText="1" readingOrder="1"/>
    </xf>
    <xf numFmtId="0" fontId="4" fillId="17" borderId="12" xfId="0" applyFont="1" applyFill="1" applyBorder="1" applyAlignment="1">
      <alignment horizontal="left" vertical="center" wrapText="1" readingOrder="1"/>
    </xf>
    <xf numFmtId="0" fontId="4" fillId="17" borderId="12" xfId="0" applyFont="1" applyFill="1" applyBorder="1" applyAlignment="1">
      <alignment horizontal="center" vertical="center" wrapText="1" readingOrder="1"/>
    </xf>
    <xf numFmtId="0" fontId="6" fillId="14" borderId="10" xfId="0" applyFont="1" applyFill="1" applyBorder="1" applyAlignment="1">
      <alignment horizontal="left" vertical="center" wrapText="1" readingOrder="1"/>
    </xf>
    <xf numFmtId="0" fontId="6" fillId="14" borderId="13" xfId="0" applyFont="1" applyFill="1" applyBorder="1" applyAlignment="1">
      <alignment horizontal="center" vertical="center" wrapText="1" readingOrder="1"/>
    </xf>
    <xf numFmtId="0" fontId="6" fillId="14" borderId="12" xfId="0" applyFont="1" applyFill="1" applyBorder="1" applyAlignment="1">
      <alignment horizontal="center" vertical="center" wrapText="1" readingOrder="1"/>
    </xf>
    <xf numFmtId="0" fontId="4" fillId="15" borderId="12" xfId="0" applyFont="1" applyFill="1" applyBorder="1" applyAlignment="1">
      <alignment horizontal="left" vertical="center" wrapText="1" readingOrder="1"/>
    </xf>
    <xf numFmtId="0" fontId="4" fillId="15" borderId="12" xfId="0" applyFont="1" applyFill="1" applyBorder="1" applyAlignment="1">
      <alignment horizontal="center" vertical="center" wrapText="1" readingOrder="1"/>
    </xf>
    <xf numFmtId="0" fontId="8" fillId="15" borderId="12" xfId="0" applyFont="1" applyFill="1" applyBorder="1" applyAlignment="1">
      <alignment horizontal="center" vertical="top" wrapText="1"/>
    </xf>
    <xf numFmtId="0" fontId="7" fillId="0" borderId="50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wrapText="1"/>
    </xf>
    <xf numFmtId="49" fontId="7" fillId="19" borderId="52" xfId="0" applyNumberFormat="1" applyFont="1" applyFill="1" applyBorder="1" applyAlignment="1">
      <alignment horizontal="center" vertical="center" wrapText="1"/>
    </xf>
    <xf numFmtId="49" fontId="7" fillId="19" borderId="48" xfId="0" applyNumberFormat="1" applyFont="1" applyFill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 wrapText="1"/>
    </xf>
    <xf numFmtId="49" fontId="7" fillId="0" borderId="50" xfId="0" applyNumberFormat="1" applyFont="1" applyBorder="1" applyAlignment="1">
      <alignment horizontal="center" vertical="center"/>
    </xf>
    <xf numFmtId="49" fontId="7" fillId="0" borderId="48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0" fontId="3" fillId="18" borderId="48" xfId="0" applyFont="1" applyFill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18" borderId="45" xfId="0" applyFont="1" applyFill="1" applyBorder="1" applyAlignment="1">
      <alignment horizontal="left" vertical="center" wrapText="1" readingOrder="1"/>
    </xf>
    <xf numFmtId="0" fontId="4" fillId="18" borderId="46" xfId="0" applyFont="1" applyFill="1" applyBorder="1" applyAlignment="1">
      <alignment horizontal="left" vertical="center" wrapText="1" readingOrder="1"/>
    </xf>
    <xf numFmtId="0" fontId="4" fillId="18" borderId="47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left" vertical="center" wrapText="1" readingOrder="1"/>
    </xf>
    <xf numFmtId="0" fontId="3" fillId="18" borderId="44" xfId="0" applyFont="1" applyFill="1" applyBorder="1" applyAlignment="1">
      <alignment horizontal="center" vertical="center" wrapText="1" readingOrder="1"/>
    </xf>
    <xf numFmtId="0" fontId="3" fillId="0" borderId="44" xfId="0" applyFont="1" applyBorder="1" applyAlignment="1">
      <alignment horizontal="left" vertical="center" wrapText="1" readingOrder="1"/>
    </xf>
    <xf numFmtId="0" fontId="12" fillId="0" borderId="0" xfId="0" applyFont="1"/>
    <xf numFmtId="0" fontId="14" fillId="3" borderId="58" xfId="0" applyFont="1" applyFill="1" applyBorder="1" applyAlignment="1">
      <alignment horizontal="left" vertical="center"/>
    </xf>
    <xf numFmtId="0" fontId="15" fillId="3" borderId="59" xfId="0" applyFont="1" applyFill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17" fillId="0" borderId="0" xfId="0" applyFont="1"/>
    <xf numFmtId="0" fontId="4" fillId="9" borderId="24" xfId="0" applyFont="1" applyFill="1" applyBorder="1" applyAlignment="1">
      <alignment horizontal="center" vertical="center" wrapText="1" readingOrder="1"/>
    </xf>
    <xf numFmtId="0" fontId="4" fillId="9" borderId="26" xfId="0" applyFont="1" applyFill="1" applyBorder="1" applyAlignment="1">
      <alignment horizontal="center" vertical="center" wrapText="1" readingOrder="1"/>
    </xf>
    <xf numFmtId="0" fontId="4" fillId="9" borderId="28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6" fillId="11" borderId="14" xfId="0" applyFont="1" applyFill="1" applyBorder="1" applyAlignment="1">
      <alignment horizontal="center" vertical="center" wrapText="1" readingOrder="1"/>
    </xf>
    <xf numFmtId="0" fontId="6" fillId="11" borderId="16" xfId="0" applyFont="1" applyFill="1" applyBorder="1" applyAlignment="1">
      <alignment horizontal="center" vertical="center" wrapText="1" readingOrder="1"/>
    </xf>
    <xf numFmtId="0" fontId="3" fillId="6" borderId="23" xfId="0" applyFont="1" applyFill="1" applyBorder="1" applyAlignment="1">
      <alignment horizontal="center" vertical="center" wrapText="1" readingOrder="1"/>
    </xf>
    <xf numFmtId="0" fontId="3" fillId="6" borderId="25" xfId="0" applyFont="1" applyFill="1" applyBorder="1" applyAlignment="1">
      <alignment horizontal="center" vertical="center" wrapText="1" readingOrder="1"/>
    </xf>
    <xf numFmtId="0" fontId="3" fillId="6" borderId="27" xfId="0" applyFont="1" applyFill="1" applyBorder="1" applyAlignment="1">
      <alignment horizontal="center" vertical="center" wrapText="1" readingOrder="1"/>
    </xf>
    <xf numFmtId="0" fontId="4" fillId="7" borderId="14" xfId="0" applyFont="1" applyFill="1" applyBorder="1" applyAlignment="1">
      <alignment horizontal="center" vertical="center" wrapText="1" readingOrder="1"/>
    </xf>
    <xf numFmtId="0" fontId="4" fillId="7" borderId="15" xfId="0" applyFont="1" applyFill="1" applyBorder="1" applyAlignment="1">
      <alignment horizontal="center" vertical="center" wrapText="1" readingOrder="1"/>
    </xf>
    <xf numFmtId="0" fontId="4" fillId="7" borderId="16" xfId="0" applyFont="1" applyFill="1" applyBorder="1" applyAlignment="1">
      <alignment horizontal="center" vertical="center" wrapText="1" readingOrder="1"/>
    </xf>
    <xf numFmtId="0" fontId="4" fillId="8" borderId="14" xfId="0" applyFont="1" applyFill="1" applyBorder="1" applyAlignment="1">
      <alignment horizontal="center" vertical="center" wrapText="1" readingOrder="1"/>
    </xf>
    <xf numFmtId="0" fontId="4" fillId="8" borderId="15" xfId="0" applyFont="1" applyFill="1" applyBorder="1" applyAlignment="1">
      <alignment horizontal="center" vertical="center" wrapText="1" readingOrder="1"/>
    </xf>
    <xf numFmtId="0" fontId="4" fillId="8" borderId="16" xfId="0" applyFont="1" applyFill="1" applyBorder="1" applyAlignment="1">
      <alignment horizontal="center" vertical="center" wrapText="1" readingOrder="1"/>
    </xf>
    <xf numFmtId="0" fontId="4" fillId="13" borderId="14" xfId="0" applyFont="1" applyFill="1" applyBorder="1" applyAlignment="1">
      <alignment horizontal="left" vertical="center" wrapText="1" readingOrder="1"/>
    </xf>
    <xf numFmtId="0" fontId="4" fillId="13" borderId="16" xfId="0" applyFont="1" applyFill="1" applyBorder="1" applyAlignment="1">
      <alignment horizontal="left" vertical="center" wrapText="1" readingOrder="1"/>
    </xf>
    <xf numFmtId="0" fontId="4" fillId="13" borderId="14" xfId="0" applyFont="1" applyFill="1" applyBorder="1" applyAlignment="1">
      <alignment horizontal="center" vertical="center" wrapText="1" readingOrder="1"/>
    </xf>
    <xf numFmtId="0" fontId="4" fillId="13" borderId="16" xfId="0" applyFont="1" applyFill="1" applyBorder="1" applyAlignment="1">
      <alignment horizontal="center" vertical="center" wrapText="1" readingOrder="1"/>
    </xf>
    <xf numFmtId="0" fontId="7" fillId="19" borderId="0" xfId="0" applyFont="1" applyFill="1" applyAlignment="1">
      <alignment horizontal="center"/>
    </xf>
    <xf numFmtId="0" fontId="4" fillId="9" borderId="14" xfId="0" applyFont="1" applyFill="1" applyBorder="1" applyAlignment="1">
      <alignment horizontal="center" vertical="center" wrapText="1" readingOrder="1"/>
    </xf>
    <xf numFmtId="0" fontId="4" fillId="9" borderId="15" xfId="0" applyFont="1" applyFill="1" applyBorder="1" applyAlignment="1">
      <alignment horizontal="center" vertical="center" wrapText="1" readingOrder="1"/>
    </xf>
    <xf numFmtId="0" fontId="4" fillId="9" borderId="16" xfId="0" applyFont="1" applyFill="1" applyBorder="1" applyAlignment="1">
      <alignment horizontal="center" vertical="center" wrapText="1" readingOrder="1"/>
    </xf>
    <xf numFmtId="0" fontId="13" fillId="2" borderId="48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6" borderId="17" xfId="0" applyFont="1" applyFill="1" applyBorder="1" applyAlignment="1">
      <alignment horizontal="center" vertical="center" wrapText="1" readingOrder="1"/>
    </xf>
    <xf numFmtId="0" fontId="3" fillId="6" borderId="18" xfId="0" applyFont="1" applyFill="1" applyBorder="1" applyAlignment="1">
      <alignment horizontal="center" vertical="center" wrapText="1" readingOrder="1"/>
    </xf>
    <xf numFmtId="0" fontId="3" fillId="6" borderId="19" xfId="0" applyFont="1" applyFill="1" applyBorder="1" applyAlignment="1">
      <alignment horizontal="center" vertical="center" wrapText="1" readingOrder="1"/>
    </xf>
    <xf numFmtId="0" fontId="3" fillId="7" borderId="10" xfId="0" applyFont="1" applyFill="1" applyBorder="1" applyAlignment="1">
      <alignment horizontal="center" vertical="center" wrapText="1" readingOrder="1"/>
    </xf>
    <xf numFmtId="0" fontId="3" fillId="7" borderId="11" xfId="0" applyFont="1" applyFill="1" applyBorder="1" applyAlignment="1">
      <alignment horizontal="center" vertical="center" wrapText="1" readingOrder="1"/>
    </xf>
    <xf numFmtId="0" fontId="3" fillId="7" borderId="13" xfId="0" applyFont="1" applyFill="1" applyBorder="1" applyAlignment="1">
      <alignment horizontal="center" vertical="center" wrapText="1" readingOrder="1"/>
    </xf>
    <xf numFmtId="0" fontId="3" fillId="8" borderId="10" xfId="0" applyFont="1" applyFill="1" applyBorder="1" applyAlignment="1">
      <alignment horizontal="center" vertical="center" wrapText="1" readingOrder="1"/>
    </xf>
    <xf numFmtId="0" fontId="3" fillId="8" borderId="11" xfId="0" applyFont="1" applyFill="1" applyBorder="1" applyAlignment="1">
      <alignment horizontal="center" vertical="center" wrapText="1" readingOrder="1"/>
    </xf>
    <xf numFmtId="0" fontId="3" fillId="8" borderId="13" xfId="0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3" fillId="9" borderId="11" xfId="0" applyFont="1" applyFill="1" applyBorder="1" applyAlignment="1">
      <alignment horizontal="center" vertical="center" wrapText="1" readingOrder="1"/>
    </xf>
    <xf numFmtId="0" fontId="3" fillId="9" borderId="21" xfId="0" applyFont="1" applyFill="1" applyBorder="1" applyAlignment="1">
      <alignment horizontal="center" vertical="center" wrapText="1" readingOrder="1"/>
    </xf>
    <xf numFmtId="0" fontId="6" fillId="14" borderId="14" xfId="0" applyFont="1" applyFill="1" applyBorder="1" applyAlignment="1">
      <alignment horizontal="center" vertical="center" wrapText="1" readingOrder="1"/>
    </xf>
    <xf numFmtId="0" fontId="6" fillId="14" borderId="15" xfId="0" applyFont="1" applyFill="1" applyBorder="1" applyAlignment="1">
      <alignment horizontal="center" vertical="center" wrapText="1" readingOrder="1"/>
    </xf>
    <xf numFmtId="0" fontId="6" fillId="14" borderId="16" xfId="0" applyFont="1" applyFill="1" applyBorder="1" applyAlignment="1">
      <alignment horizontal="center" vertical="center" wrapText="1" readingOrder="1"/>
    </xf>
    <xf numFmtId="0" fontId="4" fillId="15" borderId="14" xfId="0" applyFont="1" applyFill="1" applyBorder="1" applyAlignment="1">
      <alignment horizontal="left" vertical="center" wrapText="1" readingOrder="1"/>
    </xf>
    <xf numFmtId="0" fontId="4" fillId="15" borderId="15" xfId="0" applyFont="1" applyFill="1" applyBorder="1" applyAlignment="1">
      <alignment horizontal="left" vertical="center" wrapText="1" readingOrder="1"/>
    </xf>
    <xf numFmtId="0" fontId="4" fillId="15" borderId="16" xfId="0" applyFont="1" applyFill="1" applyBorder="1" applyAlignment="1">
      <alignment horizontal="left" vertical="center" wrapText="1" readingOrder="1"/>
    </xf>
    <xf numFmtId="0" fontId="3" fillId="18" borderId="48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center" vertical="center" wrapText="1" readingOrder="1"/>
    </xf>
    <xf numFmtId="0" fontId="3" fillId="0" borderId="46" xfId="0" applyFont="1" applyBorder="1" applyAlignment="1">
      <alignment horizontal="center" vertical="center" wrapText="1" readingOrder="1"/>
    </xf>
    <xf numFmtId="0" fontId="3" fillId="0" borderId="47" xfId="0" applyFont="1" applyBorder="1" applyAlignment="1">
      <alignment horizontal="center" vertical="center" wrapText="1" readingOrder="1"/>
    </xf>
    <xf numFmtId="0" fontId="4" fillId="0" borderId="45" xfId="0" applyFont="1" applyBorder="1" applyAlignment="1">
      <alignment horizontal="center" vertical="center" wrapText="1" readingOrder="1"/>
    </xf>
    <xf numFmtId="0" fontId="4" fillId="0" borderId="46" xfId="0" applyFont="1" applyBorder="1" applyAlignment="1">
      <alignment horizontal="center" vertical="center" wrapText="1" readingOrder="1"/>
    </xf>
    <xf numFmtId="0" fontId="4" fillId="0" borderId="47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/>
    </xf>
    <xf numFmtId="0" fontId="2" fillId="0" borderId="49" xfId="0" applyFont="1" applyBorder="1" applyAlignment="1">
      <alignment horizontal="center"/>
    </xf>
    <xf numFmtId="49" fontId="7" fillId="0" borderId="51" xfId="0" applyNumberFormat="1" applyFont="1" applyBorder="1" applyAlignment="1">
      <alignment horizontal="center" vertical="center" wrapText="1"/>
    </xf>
    <xf numFmtId="49" fontId="7" fillId="0" borderId="53" xfId="0" applyNumberFormat="1" applyFont="1" applyBorder="1" applyAlignment="1">
      <alignment horizontal="center" vertical="center" wrapText="1"/>
    </xf>
    <xf numFmtId="49" fontId="7" fillId="0" borderId="55" xfId="0" applyNumberFormat="1" applyFont="1" applyBorder="1" applyAlignment="1">
      <alignment horizontal="center" vertical="center" wrapText="1"/>
    </xf>
    <xf numFmtId="49" fontId="7" fillId="0" borderId="56" xfId="0" applyNumberFormat="1" applyFont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left" vertical="center" wrapText="1" readingOrder="1"/>
    </xf>
    <xf numFmtId="0" fontId="3" fillId="18" borderId="46" xfId="0" applyFont="1" applyFill="1" applyBorder="1" applyAlignment="1">
      <alignment horizontal="left" vertical="center" wrapText="1" readingOrder="1"/>
    </xf>
    <xf numFmtId="0" fontId="3" fillId="18" borderId="47" xfId="0" applyFont="1" applyFill="1" applyBorder="1" applyAlignment="1">
      <alignment horizontal="left" vertical="center" wrapText="1" readingOrder="1"/>
    </xf>
    <xf numFmtId="0" fontId="4" fillId="18" borderId="45" xfId="0" applyFont="1" applyFill="1" applyBorder="1" applyAlignment="1">
      <alignment horizontal="center" vertical="center" wrapText="1" readingOrder="1"/>
    </xf>
    <xf numFmtId="0" fontId="4" fillId="18" borderId="46" xfId="0" applyFont="1" applyFill="1" applyBorder="1" applyAlignment="1">
      <alignment horizontal="center" vertical="center" wrapText="1" readingOrder="1"/>
    </xf>
    <xf numFmtId="0" fontId="4" fillId="18" borderId="47" xfId="0" applyFont="1" applyFill="1" applyBorder="1" applyAlignment="1">
      <alignment horizontal="center" vertical="center" wrapText="1" readingOrder="1"/>
    </xf>
    <xf numFmtId="0" fontId="3" fillId="0" borderId="45" xfId="0" applyFont="1" applyBorder="1" applyAlignment="1">
      <alignment horizontal="left" vertical="center" wrapText="1" readingOrder="1"/>
    </xf>
    <xf numFmtId="0" fontId="3" fillId="0" borderId="46" xfId="0" applyFont="1" applyBorder="1" applyAlignment="1">
      <alignment horizontal="left" vertical="center" wrapText="1" readingOrder="1"/>
    </xf>
    <xf numFmtId="0" fontId="3" fillId="0" borderId="47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1E13-4B11-4763-B94D-D97A2305A4A4}">
  <dimension ref="A2:K176"/>
  <sheetViews>
    <sheetView tabSelected="1" topLeftCell="A152" workbookViewId="0">
      <selection activeCell="E171" sqref="E171"/>
    </sheetView>
  </sheetViews>
  <sheetFormatPr defaultColWidth="10.85546875" defaultRowHeight="14.45"/>
  <cols>
    <col min="1" max="1" width="10.85546875" style="1"/>
    <col min="2" max="2" width="22.28515625" style="39" customWidth="1"/>
    <col min="3" max="3" width="12.85546875" style="39" customWidth="1"/>
    <col min="4" max="4" width="15.42578125" style="39" customWidth="1"/>
    <col min="5" max="5" width="17.42578125" style="39" customWidth="1"/>
    <col min="6" max="6" width="10.85546875" style="39"/>
    <col min="7" max="7" width="12.140625" style="39" customWidth="1"/>
    <col min="8" max="8" width="13.28515625" style="39" customWidth="1"/>
    <col min="9" max="16384" width="10.85546875" style="39"/>
  </cols>
  <sheetData>
    <row r="2" spans="1:9">
      <c r="B2" s="149" t="s">
        <v>0</v>
      </c>
      <c r="C2" s="149"/>
      <c r="D2" s="149"/>
      <c r="E2" s="149"/>
      <c r="F2" s="149"/>
      <c r="G2" s="149"/>
      <c r="H2" s="149"/>
      <c r="I2" s="149"/>
    </row>
    <row r="4" spans="1:9" ht="15.6">
      <c r="B4" s="155" t="s">
        <v>1</v>
      </c>
      <c r="C4" s="155"/>
    </row>
    <row r="5" spans="1:9" ht="15" thickBot="1"/>
    <row r="6" spans="1:9" ht="15" thickBot="1">
      <c r="A6" s="1">
        <v>1</v>
      </c>
      <c r="B6" s="132" t="s">
        <v>2</v>
      </c>
      <c r="C6" s="133"/>
    </row>
    <row r="7" spans="1:9" ht="15" thickBot="1">
      <c r="B7" s="41" t="s">
        <v>3</v>
      </c>
      <c r="C7" s="42">
        <v>292</v>
      </c>
    </row>
    <row r="8" spans="1:9" ht="15" thickBot="1">
      <c r="B8" s="43" t="s">
        <v>4</v>
      </c>
      <c r="C8" s="44">
        <v>82</v>
      </c>
    </row>
    <row r="9" spans="1:9" ht="15" thickBot="1">
      <c r="B9" s="45" t="s">
        <v>5</v>
      </c>
      <c r="C9" s="46">
        <f>SUM(C7:C8)</f>
        <v>374</v>
      </c>
    </row>
    <row r="11" spans="1:9" ht="15.6">
      <c r="B11" s="155" t="s">
        <v>6</v>
      </c>
      <c r="C11" s="155"/>
    </row>
    <row r="12" spans="1:9" ht="15" thickBot="1">
      <c r="B12" s="40"/>
      <c r="C12" s="40"/>
    </row>
    <row r="13" spans="1:9" ht="26.45" thickBot="1">
      <c r="A13" s="1">
        <v>2</v>
      </c>
      <c r="B13" s="47" t="s">
        <v>7</v>
      </c>
      <c r="C13" s="48" t="s">
        <v>8</v>
      </c>
    </row>
    <row r="14" spans="1:9" ht="15" thickBot="1">
      <c r="B14" s="49" t="s">
        <v>9</v>
      </c>
    </row>
    <row r="15" spans="1:9" ht="15" thickBot="1">
      <c r="B15" s="51" t="s">
        <v>10</v>
      </c>
    </row>
    <row r="16" spans="1:9" ht="15" thickBot="1">
      <c r="B16" s="49" t="s">
        <v>11</v>
      </c>
    </row>
    <row r="17" spans="1:11" ht="26.45" thickBot="1">
      <c r="B17" s="47" t="s">
        <v>12</v>
      </c>
      <c r="C17" s="48" t="s">
        <v>13</v>
      </c>
    </row>
    <row r="18" spans="1:11" ht="15" thickBot="1">
      <c r="B18" s="49" t="s">
        <v>9</v>
      </c>
      <c r="C18" s="50">
        <v>111</v>
      </c>
    </row>
    <row r="19" spans="1:11" ht="15" thickBot="1">
      <c r="B19" s="51" t="s">
        <v>10</v>
      </c>
      <c r="C19" s="52">
        <v>10.5</v>
      </c>
    </row>
    <row r="20" spans="1:11" ht="15" thickBot="1">
      <c r="B20" s="49" t="s">
        <v>11</v>
      </c>
      <c r="C20" s="53">
        <f>C18/C19</f>
        <v>10.571428571428571</v>
      </c>
    </row>
    <row r="21" spans="1:11" ht="26.45" thickBot="1">
      <c r="B21" s="47" t="s">
        <v>14</v>
      </c>
      <c r="C21" s="48" t="s">
        <v>8</v>
      </c>
    </row>
    <row r="22" spans="1:11" ht="15" thickBot="1">
      <c r="B22" s="49" t="s">
        <v>9</v>
      </c>
      <c r="C22" s="54"/>
    </row>
    <row r="23" spans="1:11" ht="15" thickBot="1">
      <c r="B23" s="51" t="s">
        <v>10</v>
      </c>
      <c r="C23" s="55"/>
    </row>
    <row r="24" spans="1:11" ht="15" thickBot="1">
      <c r="B24" s="49" t="s">
        <v>11</v>
      </c>
      <c r="C24" s="56"/>
    </row>
    <row r="26" spans="1:11" ht="15.6">
      <c r="B26" s="2" t="s">
        <v>15</v>
      </c>
      <c r="C26" s="124"/>
    </row>
    <row r="27" spans="1:11" ht="15" thickBot="1"/>
    <row r="28" spans="1:11" ht="15" thickBot="1">
      <c r="A28" s="1">
        <v>3</v>
      </c>
      <c r="B28" s="156" t="s">
        <v>16</v>
      </c>
      <c r="C28" s="157"/>
      <c r="D28" s="157"/>
      <c r="E28" s="157"/>
      <c r="F28" s="157"/>
      <c r="G28" s="157"/>
      <c r="H28" s="157"/>
      <c r="I28" s="157"/>
      <c r="J28" s="157"/>
      <c r="K28" s="158"/>
    </row>
    <row r="29" spans="1:11" ht="15" thickBot="1">
      <c r="B29" s="3" t="s">
        <v>17</v>
      </c>
      <c r="C29" s="159" t="s">
        <v>18</v>
      </c>
      <c r="D29" s="160"/>
      <c r="E29" s="161"/>
      <c r="F29" s="162" t="s">
        <v>19</v>
      </c>
      <c r="G29" s="163"/>
      <c r="H29" s="164"/>
      <c r="I29" s="165" t="s">
        <v>20</v>
      </c>
      <c r="J29" s="166"/>
      <c r="K29" s="167"/>
    </row>
    <row r="30" spans="1:11" ht="39.6" thickBot="1">
      <c r="B30" s="3" t="s">
        <v>21</v>
      </c>
      <c r="C30" s="4" t="s">
        <v>3</v>
      </c>
      <c r="D30" s="4" t="s">
        <v>22</v>
      </c>
      <c r="E30" s="4" t="s">
        <v>4</v>
      </c>
      <c r="F30" s="5" t="s">
        <v>3</v>
      </c>
      <c r="G30" s="5" t="s">
        <v>23</v>
      </c>
      <c r="H30" s="5" t="s">
        <v>4</v>
      </c>
      <c r="I30" s="6" t="s">
        <v>3</v>
      </c>
      <c r="J30" s="6" t="s">
        <v>24</v>
      </c>
      <c r="K30" s="7" t="s">
        <v>25</v>
      </c>
    </row>
    <row r="31" spans="1:11">
      <c r="B31" s="136" t="s">
        <v>26</v>
      </c>
      <c r="C31" s="139"/>
      <c r="D31" s="8"/>
      <c r="E31" s="139"/>
      <c r="F31" s="142">
        <v>111</v>
      </c>
      <c r="G31" s="9"/>
      <c r="H31" s="10"/>
      <c r="I31" s="150"/>
      <c r="J31" s="150"/>
      <c r="K31" s="129"/>
    </row>
    <row r="32" spans="1:11">
      <c r="B32" s="137"/>
      <c r="C32" s="140"/>
      <c r="D32" s="11"/>
      <c r="E32" s="140"/>
      <c r="F32" s="143"/>
      <c r="G32" s="12"/>
      <c r="H32" s="13"/>
      <c r="I32" s="151"/>
      <c r="J32" s="151"/>
      <c r="K32" s="130"/>
    </row>
    <row r="33" spans="1:11" ht="168.95">
      <c r="B33" s="137"/>
      <c r="C33" s="140"/>
      <c r="D33" s="11"/>
      <c r="E33" s="140"/>
      <c r="F33" s="143"/>
      <c r="G33" s="12" t="s">
        <v>27</v>
      </c>
      <c r="H33" s="13" t="s">
        <v>28</v>
      </c>
      <c r="I33" s="151"/>
      <c r="J33" s="151"/>
      <c r="K33" s="130"/>
    </row>
    <row r="34" spans="1:11">
      <c r="B34" s="137"/>
      <c r="C34" s="140"/>
      <c r="D34" s="14"/>
      <c r="E34" s="140"/>
      <c r="F34" s="143"/>
      <c r="G34" s="15"/>
      <c r="H34" s="13"/>
      <c r="I34" s="151"/>
      <c r="J34" s="151"/>
      <c r="K34" s="130"/>
    </row>
    <row r="35" spans="1:11" ht="15" thickBot="1">
      <c r="B35" s="138"/>
      <c r="C35" s="141"/>
      <c r="D35" s="16"/>
      <c r="E35" s="141"/>
      <c r="F35" s="144"/>
      <c r="G35" s="17"/>
      <c r="H35" s="18"/>
      <c r="I35" s="152"/>
      <c r="J35" s="152"/>
      <c r="K35" s="131"/>
    </row>
    <row r="36" spans="1:11" ht="15" thickBot="1">
      <c r="B36" s="3" t="s">
        <v>29</v>
      </c>
      <c r="C36" s="19"/>
      <c r="D36" s="19"/>
      <c r="E36" s="19"/>
      <c r="F36" s="20">
        <v>10.5</v>
      </c>
      <c r="G36" s="20"/>
      <c r="H36" s="20"/>
      <c r="I36" s="21"/>
      <c r="J36" s="21"/>
      <c r="K36" s="22"/>
    </row>
    <row r="37" spans="1:11" ht="26.45" thickBot="1">
      <c r="B37" s="23" t="s">
        <v>30</v>
      </c>
      <c r="C37" s="24"/>
      <c r="D37" s="24"/>
      <c r="E37" s="24"/>
      <c r="F37" s="25">
        <v>10.57</v>
      </c>
      <c r="G37" s="25"/>
      <c r="H37" s="25"/>
      <c r="I37" s="26"/>
      <c r="J37" s="26"/>
      <c r="K37" s="27"/>
    </row>
    <row r="40" spans="1:11" ht="15.6">
      <c r="B40" s="2" t="s">
        <v>31</v>
      </c>
    </row>
    <row r="41" spans="1:11" ht="15" thickBot="1"/>
    <row r="42" spans="1:11" ht="15" thickBot="1">
      <c r="A42" s="1">
        <v>4</v>
      </c>
      <c r="B42" s="57" t="s">
        <v>18</v>
      </c>
      <c r="C42" s="58"/>
    </row>
    <row r="43" spans="1:11" ht="15" thickBot="1">
      <c r="B43" s="59" t="s">
        <v>19</v>
      </c>
      <c r="C43" s="60">
        <v>101</v>
      </c>
    </row>
    <row r="44" spans="1:11" ht="15" thickBot="1">
      <c r="B44" s="61" t="s">
        <v>20</v>
      </c>
      <c r="C44" s="62"/>
    </row>
    <row r="47" spans="1:11" ht="15.6">
      <c r="B47" s="2" t="s">
        <v>32</v>
      </c>
    </row>
    <row r="48" spans="1:11" ht="15" thickBot="1"/>
    <row r="49" spans="1:7" ht="26.45" thickBot="1">
      <c r="A49" s="1">
        <v>5</v>
      </c>
      <c r="B49" s="28" t="s">
        <v>17</v>
      </c>
      <c r="C49" s="28" t="s">
        <v>33</v>
      </c>
      <c r="D49" s="28" t="s">
        <v>34</v>
      </c>
      <c r="E49" s="28" t="s">
        <v>35</v>
      </c>
      <c r="F49" s="28" t="s">
        <v>36</v>
      </c>
    </row>
    <row r="50" spans="1:7" ht="15" thickBot="1">
      <c r="B50" s="28" t="s">
        <v>18</v>
      </c>
      <c r="C50" s="29"/>
      <c r="D50" s="29"/>
      <c r="E50" s="29"/>
      <c r="F50" s="29"/>
    </row>
    <row r="51" spans="1:7" ht="15" thickBot="1">
      <c r="B51" s="28" t="s">
        <v>19</v>
      </c>
      <c r="C51" s="30">
        <v>0</v>
      </c>
      <c r="D51" s="30">
        <v>0</v>
      </c>
      <c r="E51" s="30">
        <v>0</v>
      </c>
      <c r="F51" s="30">
        <v>0</v>
      </c>
    </row>
    <row r="52" spans="1:7" ht="15" thickBot="1">
      <c r="B52" s="28" t="s">
        <v>20</v>
      </c>
      <c r="C52" s="31"/>
      <c r="D52" s="31"/>
      <c r="E52" s="31"/>
      <c r="F52" s="31"/>
    </row>
    <row r="55" spans="1:7" ht="15.6">
      <c r="B55" s="2" t="s">
        <v>37</v>
      </c>
    </row>
    <row r="56" spans="1:7" ht="15" thickBot="1"/>
    <row r="57" spans="1:7" ht="15" thickBot="1">
      <c r="A57" s="1">
        <v>6</v>
      </c>
      <c r="B57" s="132" t="s">
        <v>2</v>
      </c>
      <c r="C57" s="133"/>
    </row>
    <row r="58" spans="1:7" ht="15" thickBot="1">
      <c r="B58" s="63" t="s">
        <v>38</v>
      </c>
      <c r="C58" s="42">
        <v>29</v>
      </c>
    </row>
    <row r="59" spans="1:7" ht="15" thickBot="1">
      <c r="B59" s="64" t="s">
        <v>4</v>
      </c>
      <c r="C59" s="44"/>
    </row>
    <row r="60" spans="1:7" ht="15" thickBot="1">
      <c r="B60" s="65" t="s">
        <v>39</v>
      </c>
      <c r="C60" s="46">
        <v>2</v>
      </c>
    </row>
    <row r="62" spans="1:7" ht="15.6">
      <c r="B62" s="2" t="s">
        <v>40</v>
      </c>
    </row>
    <row r="63" spans="1:7" ht="15" thickBot="1"/>
    <row r="64" spans="1:7" ht="26.45" thickBot="1">
      <c r="A64" s="1">
        <v>7</v>
      </c>
      <c r="B64" s="66" t="s">
        <v>41</v>
      </c>
      <c r="C64" s="67" t="s">
        <v>42</v>
      </c>
      <c r="D64" s="67" t="s">
        <v>43</v>
      </c>
      <c r="E64" s="67" t="s">
        <v>44</v>
      </c>
      <c r="F64" s="67" t="s">
        <v>45</v>
      </c>
      <c r="G64" s="68" t="s">
        <v>46</v>
      </c>
    </row>
    <row r="65" spans="1:7" ht="26.45" thickBot="1">
      <c r="B65" s="69" t="s">
        <v>47</v>
      </c>
      <c r="C65" s="70" t="s">
        <v>48</v>
      </c>
      <c r="D65" s="71"/>
      <c r="E65" s="71"/>
      <c r="F65" s="71"/>
      <c r="G65" s="71"/>
    </row>
    <row r="66" spans="1:7" ht="15" thickBot="1">
      <c r="B66" s="69" t="s">
        <v>49</v>
      </c>
      <c r="C66" s="72" t="s">
        <v>50</v>
      </c>
      <c r="D66" s="73"/>
      <c r="E66" s="73"/>
      <c r="F66" s="73"/>
      <c r="G66" s="73"/>
    </row>
    <row r="67" spans="1:7" ht="26.45" thickBot="1">
      <c r="B67" s="69" t="s">
        <v>51</v>
      </c>
      <c r="C67" s="70" t="s">
        <v>52</v>
      </c>
      <c r="D67" s="71"/>
      <c r="E67" s="71"/>
      <c r="F67" s="71"/>
      <c r="G67" s="71"/>
    </row>
    <row r="68" spans="1:7" ht="15" thickBot="1"/>
    <row r="69" spans="1:7" ht="26.45" thickBot="1">
      <c r="A69" s="1">
        <v>8</v>
      </c>
      <c r="B69" s="74" t="s">
        <v>41</v>
      </c>
      <c r="C69" s="75" t="s">
        <v>42</v>
      </c>
      <c r="D69" s="75" t="s">
        <v>43</v>
      </c>
      <c r="E69" s="75" t="s">
        <v>44</v>
      </c>
      <c r="F69" s="74" t="s">
        <v>45</v>
      </c>
      <c r="G69" s="75" t="s">
        <v>46</v>
      </c>
    </row>
    <row r="70" spans="1:7" ht="27" thickTop="1" thickBot="1">
      <c r="B70" s="76" t="s">
        <v>53</v>
      </c>
      <c r="C70" s="77" t="s">
        <v>54</v>
      </c>
      <c r="D70" s="78">
        <v>46</v>
      </c>
      <c r="E70" s="78">
        <v>4.2</v>
      </c>
      <c r="F70" s="78" t="s">
        <v>55</v>
      </c>
      <c r="G70" s="78">
        <v>10.95</v>
      </c>
    </row>
    <row r="71" spans="1:7" ht="32.1" customHeight="1">
      <c r="B71" s="134" t="s">
        <v>56</v>
      </c>
      <c r="C71" s="145" t="s">
        <v>57</v>
      </c>
      <c r="D71" s="147">
        <v>66</v>
      </c>
      <c r="E71" s="147">
        <v>6.3</v>
      </c>
      <c r="F71" s="79" t="s">
        <v>55</v>
      </c>
      <c r="G71" s="147">
        <v>10.5</v>
      </c>
    </row>
    <row r="72" spans="1:7" ht="15" thickBot="1">
      <c r="B72" s="135"/>
      <c r="C72" s="146"/>
      <c r="D72" s="148"/>
      <c r="E72" s="148"/>
      <c r="F72" s="80"/>
      <c r="G72" s="148"/>
    </row>
    <row r="73" spans="1:7" ht="15" thickBot="1"/>
    <row r="74" spans="1:7" ht="26.45" thickBot="1">
      <c r="A74" s="1">
        <v>9</v>
      </c>
      <c r="B74" s="81" t="s">
        <v>41</v>
      </c>
      <c r="C74" s="82" t="s">
        <v>42</v>
      </c>
      <c r="D74" s="82" t="s">
        <v>43</v>
      </c>
      <c r="E74" s="82" t="s">
        <v>44</v>
      </c>
      <c r="F74" s="83" t="s">
        <v>45</v>
      </c>
      <c r="G74" s="84" t="s">
        <v>46</v>
      </c>
    </row>
    <row r="75" spans="1:7">
      <c r="B75" s="168" t="s">
        <v>58</v>
      </c>
      <c r="C75" s="171" t="s">
        <v>59</v>
      </c>
      <c r="D75" s="85"/>
      <c r="E75" s="86"/>
      <c r="F75" s="86"/>
      <c r="G75" s="86"/>
    </row>
    <row r="76" spans="1:7">
      <c r="B76" s="169"/>
      <c r="C76" s="172"/>
      <c r="D76" s="87"/>
      <c r="E76" s="88"/>
      <c r="F76" s="88"/>
      <c r="G76" s="88"/>
    </row>
    <row r="77" spans="1:7">
      <c r="B77" s="169"/>
      <c r="C77" s="172"/>
      <c r="D77" s="87"/>
      <c r="E77" s="88"/>
      <c r="F77" s="88"/>
      <c r="G77" s="88"/>
    </row>
    <row r="78" spans="1:7" ht="15" thickBot="1">
      <c r="B78" s="170"/>
      <c r="C78" s="173"/>
      <c r="D78" s="89" t="s">
        <v>60</v>
      </c>
      <c r="E78" s="90"/>
      <c r="F78" s="90"/>
      <c r="G78" s="90"/>
    </row>
    <row r="80" spans="1:7" ht="15.6">
      <c r="B80" s="2" t="s">
        <v>61</v>
      </c>
    </row>
    <row r="81" spans="1:8" ht="15" thickBot="1"/>
    <row r="82" spans="1:8" ht="26.45" thickBot="1">
      <c r="A82" s="1">
        <v>10</v>
      </c>
      <c r="B82" s="66" t="s">
        <v>41</v>
      </c>
      <c r="C82" s="67" t="s">
        <v>42</v>
      </c>
      <c r="D82" s="67" t="s">
        <v>62</v>
      </c>
      <c r="E82" s="67" t="s">
        <v>63</v>
      </c>
      <c r="F82" s="67" t="s">
        <v>64</v>
      </c>
      <c r="G82" s="68" t="s">
        <v>45</v>
      </c>
    </row>
    <row r="83" spans="1:8" ht="26.45" thickBot="1">
      <c r="B83" s="69" t="s">
        <v>47</v>
      </c>
      <c r="C83" s="70" t="s">
        <v>48</v>
      </c>
      <c r="D83" s="71"/>
      <c r="E83" s="71"/>
      <c r="F83" s="71"/>
      <c r="G83" s="71"/>
    </row>
    <row r="84" spans="1:8" ht="15" thickBot="1">
      <c r="B84" s="69" t="s">
        <v>49</v>
      </c>
      <c r="C84" s="72" t="s">
        <v>50</v>
      </c>
      <c r="D84" s="73"/>
      <c r="E84" s="73"/>
      <c r="F84" s="73"/>
      <c r="G84" s="73"/>
    </row>
    <row r="85" spans="1:8" ht="26.45" thickBot="1">
      <c r="B85" s="69" t="s">
        <v>51</v>
      </c>
      <c r="C85" s="70" t="s">
        <v>52</v>
      </c>
      <c r="D85" s="71"/>
      <c r="E85" s="71"/>
      <c r="F85" s="71"/>
      <c r="G85" s="71"/>
    </row>
    <row r="86" spans="1:8" ht="15" thickBot="1"/>
    <row r="87" spans="1:8" ht="26.45" thickBot="1">
      <c r="A87" s="1">
        <v>11</v>
      </c>
      <c r="B87" s="91" t="s">
        <v>41</v>
      </c>
      <c r="C87" s="92" t="s">
        <v>42</v>
      </c>
      <c r="D87" s="92" t="s">
        <v>62</v>
      </c>
      <c r="E87" s="92" t="s">
        <v>63</v>
      </c>
      <c r="F87" s="92" t="s">
        <v>65</v>
      </c>
      <c r="G87" s="93" t="s">
        <v>45</v>
      </c>
    </row>
    <row r="88" spans="1:8" ht="52.5" thickBot="1">
      <c r="B88" s="94" t="s">
        <v>53</v>
      </c>
      <c r="C88" s="95" t="s">
        <v>54</v>
      </c>
      <c r="D88" s="96">
        <v>47</v>
      </c>
      <c r="E88" s="96">
        <v>46</v>
      </c>
      <c r="F88" s="96" t="s">
        <v>66</v>
      </c>
      <c r="G88" s="96" t="s">
        <v>67</v>
      </c>
    </row>
    <row r="89" spans="1:8" ht="15" thickBot="1">
      <c r="B89" s="94" t="s">
        <v>56</v>
      </c>
      <c r="C89" s="97" t="s">
        <v>57</v>
      </c>
      <c r="D89" s="98">
        <v>66</v>
      </c>
      <c r="E89" s="98">
        <v>66</v>
      </c>
      <c r="F89" s="98"/>
      <c r="G89" s="98" t="s">
        <v>68</v>
      </c>
    </row>
    <row r="90" spans="1:8" ht="15" thickBot="1"/>
    <row r="91" spans="1:8" ht="26.45" thickBot="1">
      <c r="A91" s="1">
        <v>12</v>
      </c>
      <c r="B91" s="99" t="s">
        <v>41</v>
      </c>
      <c r="C91" s="83" t="s">
        <v>42</v>
      </c>
      <c r="D91" s="83" t="s">
        <v>62</v>
      </c>
      <c r="E91" s="83" t="s">
        <v>63</v>
      </c>
      <c r="F91" s="83" t="s">
        <v>69</v>
      </c>
      <c r="G91" s="100" t="s">
        <v>45</v>
      </c>
    </row>
    <row r="92" spans="1:8" ht="15" thickBot="1">
      <c r="B92" s="101" t="s">
        <v>58</v>
      </c>
      <c r="C92" s="102" t="s">
        <v>59</v>
      </c>
      <c r="D92" s="103"/>
      <c r="E92" s="103"/>
      <c r="F92" s="104"/>
      <c r="G92" s="104"/>
    </row>
    <row r="95" spans="1:8">
      <c r="B95" s="181" t="s">
        <v>70</v>
      </c>
      <c r="C95" s="181"/>
      <c r="D95" s="181"/>
      <c r="E95" s="181"/>
      <c r="F95" s="181"/>
      <c r="G95" s="181"/>
      <c r="H95" s="181"/>
    </row>
    <row r="96" spans="1:8" ht="15.6">
      <c r="B96" s="182" t="s">
        <v>71</v>
      </c>
      <c r="C96" s="182"/>
      <c r="D96" s="182"/>
      <c r="E96" s="182"/>
      <c r="F96" s="182"/>
      <c r="G96" s="182"/>
      <c r="H96" s="182"/>
    </row>
    <row r="97" spans="1:7" ht="26.45" thickBot="1">
      <c r="A97" s="1">
        <v>12</v>
      </c>
      <c r="B97" s="105" t="s">
        <v>17</v>
      </c>
      <c r="C97" s="106" t="s">
        <v>72</v>
      </c>
      <c r="D97" s="106" t="s">
        <v>73</v>
      </c>
      <c r="E97" s="106" t="s">
        <v>74</v>
      </c>
      <c r="F97" s="106" t="s">
        <v>75</v>
      </c>
      <c r="G97" s="107" t="s">
        <v>76</v>
      </c>
    </row>
    <row r="98" spans="1:7">
      <c r="B98" s="183" t="s">
        <v>77</v>
      </c>
      <c r="C98" s="108" t="s">
        <v>47</v>
      </c>
      <c r="D98" s="109" t="s">
        <v>78</v>
      </c>
      <c r="E98" s="32" t="s">
        <v>79</v>
      </c>
      <c r="F98" s="33" t="s">
        <v>80</v>
      </c>
      <c r="G98" s="34"/>
    </row>
    <row r="99" spans="1:7">
      <c r="B99" s="184"/>
      <c r="C99" s="110" t="s">
        <v>47</v>
      </c>
      <c r="D99" s="111" t="s">
        <v>81</v>
      </c>
      <c r="E99" s="35" t="s">
        <v>82</v>
      </c>
      <c r="F99" s="36" t="s">
        <v>83</v>
      </c>
      <c r="G99" s="37"/>
    </row>
    <row r="100" spans="1:7">
      <c r="B100" s="184"/>
      <c r="C100" s="110" t="s">
        <v>47</v>
      </c>
      <c r="D100" s="111" t="s">
        <v>84</v>
      </c>
      <c r="E100" s="35" t="s">
        <v>85</v>
      </c>
      <c r="F100" s="36" t="s">
        <v>86</v>
      </c>
      <c r="G100" s="37"/>
    </row>
    <row r="101" spans="1:7">
      <c r="B101" s="184"/>
      <c r="C101" s="110" t="s">
        <v>47</v>
      </c>
      <c r="D101" s="111" t="s">
        <v>87</v>
      </c>
      <c r="E101" s="35" t="s">
        <v>88</v>
      </c>
      <c r="F101" s="36" t="s">
        <v>86</v>
      </c>
      <c r="G101" s="37"/>
    </row>
    <row r="102" spans="1:7">
      <c r="B102" s="184"/>
      <c r="C102" s="110" t="s">
        <v>47</v>
      </c>
      <c r="D102" s="111" t="s">
        <v>89</v>
      </c>
      <c r="E102" s="35" t="s">
        <v>90</v>
      </c>
      <c r="F102" s="36" t="s">
        <v>91</v>
      </c>
      <c r="G102" s="37"/>
    </row>
    <row r="103" spans="1:7">
      <c r="B103" s="184"/>
      <c r="C103" s="110" t="s">
        <v>47</v>
      </c>
      <c r="D103" s="111" t="s">
        <v>92</v>
      </c>
      <c r="E103" s="35" t="s">
        <v>93</v>
      </c>
      <c r="F103" s="36" t="s">
        <v>86</v>
      </c>
      <c r="G103" s="37"/>
    </row>
    <row r="104" spans="1:7">
      <c r="B104" s="184"/>
      <c r="C104" s="110" t="s">
        <v>47</v>
      </c>
      <c r="D104" s="111" t="s">
        <v>94</v>
      </c>
      <c r="E104" s="35" t="s">
        <v>95</v>
      </c>
      <c r="F104" s="36" t="s">
        <v>91</v>
      </c>
      <c r="G104" s="37"/>
    </row>
    <row r="105" spans="1:7">
      <c r="B105" s="184"/>
      <c r="C105" s="110" t="s">
        <v>47</v>
      </c>
      <c r="D105" s="111" t="s">
        <v>96</v>
      </c>
      <c r="E105" s="35" t="s">
        <v>97</v>
      </c>
      <c r="F105" s="36" t="s">
        <v>86</v>
      </c>
      <c r="G105" s="37"/>
    </row>
    <row r="106" spans="1:7">
      <c r="B106" s="184"/>
      <c r="C106" s="110" t="s">
        <v>47</v>
      </c>
      <c r="D106" s="112" t="s">
        <v>98</v>
      </c>
      <c r="E106" s="35" t="s">
        <v>99</v>
      </c>
      <c r="F106" s="36" t="s">
        <v>100</v>
      </c>
      <c r="G106" s="37"/>
    </row>
    <row r="107" spans="1:7">
      <c r="B107" s="184"/>
      <c r="C107" s="108" t="s">
        <v>49</v>
      </c>
      <c r="D107" s="109" t="s">
        <v>101</v>
      </c>
      <c r="E107" s="32" t="s">
        <v>102</v>
      </c>
      <c r="F107" s="33" t="s">
        <v>80</v>
      </c>
      <c r="G107" s="34"/>
    </row>
    <row r="108" spans="1:7">
      <c r="B108" s="184"/>
      <c r="C108" s="110" t="s">
        <v>49</v>
      </c>
      <c r="D108" s="111" t="s">
        <v>103</v>
      </c>
      <c r="E108" s="35" t="s">
        <v>104</v>
      </c>
      <c r="F108" s="36" t="s">
        <v>100</v>
      </c>
      <c r="G108" s="37"/>
    </row>
    <row r="109" spans="1:7">
      <c r="B109" s="184"/>
      <c r="C109" s="110" t="s">
        <v>49</v>
      </c>
      <c r="D109" s="111" t="s">
        <v>105</v>
      </c>
      <c r="E109" s="35" t="s">
        <v>106</v>
      </c>
      <c r="F109" s="36" t="s">
        <v>83</v>
      </c>
      <c r="G109" s="37"/>
    </row>
    <row r="110" spans="1:7">
      <c r="B110" s="184"/>
      <c r="C110" s="110" t="s">
        <v>49</v>
      </c>
      <c r="D110" s="112" t="s">
        <v>107</v>
      </c>
      <c r="E110" s="35" t="s">
        <v>108</v>
      </c>
      <c r="F110" s="36" t="s">
        <v>83</v>
      </c>
      <c r="G110" s="37"/>
    </row>
    <row r="111" spans="1:7">
      <c r="B111" s="184"/>
      <c r="C111" s="110" t="s">
        <v>49</v>
      </c>
      <c r="D111" s="112" t="s">
        <v>109</v>
      </c>
      <c r="E111" s="35" t="s">
        <v>110</v>
      </c>
      <c r="F111" s="36" t="s">
        <v>111</v>
      </c>
      <c r="G111" s="37"/>
    </row>
    <row r="112" spans="1:7">
      <c r="B112" s="184"/>
      <c r="C112" s="110" t="s">
        <v>49</v>
      </c>
      <c r="D112" s="111" t="s">
        <v>112</v>
      </c>
      <c r="E112" s="35" t="s">
        <v>113</v>
      </c>
      <c r="F112" s="36" t="s">
        <v>83</v>
      </c>
      <c r="G112" s="37"/>
    </row>
    <row r="113" spans="2:7">
      <c r="B113" s="184"/>
      <c r="C113" s="110" t="s">
        <v>49</v>
      </c>
      <c r="D113" s="111" t="s">
        <v>114</v>
      </c>
      <c r="E113" s="35" t="s">
        <v>115</v>
      </c>
      <c r="F113" s="36" t="s">
        <v>91</v>
      </c>
      <c r="G113" s="37"/>
    </row>
    <row r="114" spans="2:7">
      <c r="B114" s="184"/>
      <c r="C114" s="108" t="s">
        <v>51</v>
      </c>
      <c r="D114" s="109" t="s">
        <v>116</v>
      </c>
      <c r="E114" s="32" t="s">
        <v>117</v>
      </c>
      <c r="F114" s="33" t="s">
        <v>118</v>
      </c>
      <c r="G114" s="34"/>
    </row>
    <row r="115" spans="2:7">
      <c r="B115" s="184"/>
      <c r="C115" s="110" t="s">
        <v>51</v>
      </c>
      <c r="D115" s="111" t="s">
        <v>119</v>
      </c>
      <c r="E115" s="35" t="s">
        <v>120</v>
      </c>
      <c r="F115" s="36" t="s">
        <v>91</v>
      </c>
      <c r="G115" s="37"/>
    </row>
    <row r="116" spans="2:7">
      <c r="B116" s="184"/>
      <c r="C116" s="110" t="s">
        <v>51</v>
      </c>
      <c r="D116" s="111" t="s">
        <v>121</v>
      </c>
      <c r="E116" s="35" t="s">
        <v>122</v>
      </c>
      <c r="F116" s="36" t="s">
        <v>100</v>
      </c>
      <c r="G116" s="37"/>
    </row>
    <row r="117" spans="2:7">
      <c r="B117" s="184"/>
      <c r="C117" s="110" t="s">
        <v>51</v>
      </c>
      <c r="D117" s="111" t="s">
        <v>123</v>
      </c>
      <c r="E117" s="35" t="s">
        <v>124</v>
      </c>
      <c r="F117" s="36" t="s">
        <v>100</v>
      </c>
      <c r="G117" s="37"/>
    </row>
    <row r="118" spans="2:7">
      <c r="B118" s="184"/>
      <c r="C118" s="110" t="s">
        <v>51</v>
      </c>
      <c r="D118" s="111" t="s">
        <v>125</v>
      </c>
      <c r="E118" s="35" t="s">
        <v>126</v>
      </c>
      <c r="F118" s="36" t="s">
        <v>83</v>
      </c>
      <c r="G118" s="37"/>
    </row>
    <row r="119" spans="2:7">
      <c r="B119" s="184"/>
      <c r="C119" s="110" t="s">
        <v>51</v>
      </c>
      <c r="D119" s="113" t="s">
        <v>127</v>
      </c>
      <c r="E119" s="35" t="s">
        <v>128</v>
      </c>
      <c r="F119" s="36" t="s">
        <v>91</v>
      </c>
      <c r="G119" s="37"/>
    </row>
    <row r="120" spans="2:7">
      <c r="B120" s="184"/>
      <c r="C120" s="110" t="s">
        <v>51</v>
      </c>
      <c r="D120" s="113" t="s">
        <v>129</v>
      </c>
      <c r="E120" s="35" t="s">
        <v>130</v>
      </c>
      <c r="F120" s="36" t="s">
        <v>91</v>
      </c>
      <c r="G120" s="37"/>
    </row>
    <row r="121" spans="2:7">
      <c r="B121" s="184"/>
      <c r="C121" s="110" t="s">
        <v>51</v>
      </c>
      <c r="D121" s="111" t="s">
        <v>131</v>
      </c>
      <c r="E121" s="35" t="s">
        <v>132</v>
      </c>
      <c r="F121" s="36" t="s">
        <v>91</v>
      </c>
      <c r="G121" s="37"/>
    </row>
    <row r="122" spans="2:7" ht="15" thickBot="1">
      <c r="B122" s="185"/>
      <c r="C122" s="110" t="s">
        <v>51</v>
      </c>
      <c r="D122" s="113" t="s">
        <v>133</v>
      </c>
      <c r="E122" s="35" t="s">
        <v>134</v>
      </c>
      <c r="F122" s="36" t="s">
        <v>86</v>
      </c>
      <c r="G122" s="37"/>
    </row>
    <row r="123" spans="2:7">
      <c r="B123" s="183" t="s">
        <v>135</v>
      </c>
      <c r="C123" s="108" t="s">
        <v>136</v>
      </c>
      <c r="D123" s="109" t="s">
        <v>137</v>
      </c>
      <c r="E123" s="32" t="s">
        <v>138</v>
      </c>
      <c r="F123" s="33" t="s">
        <v>80</v>
      </c>
      <c r="G123" s="34"/>
    </row>
    <row r="124" spans="2:7">
      <c r="B124" s="184"/>
      <c r="C124" s="114" t="s">
        <v>53</v>
      </c>
      <c r="D124" s="112" t="s">
        <v>139</v>
      </c>
      <c r="E124" s="35" t="s">
        <v>140</v>
      </c>
      <c r="F124" s="36" t="s">
        <v>100</v>
      </c>
      <c r="G124" s="37">
        <v>10</v>
      </c>
    </row>
    <row r="125" spans="2:7">
      <c r="B125" s="184"/>
      <c r="C125" s="114" t="s">
        <v>53</v>
      </c>
      <c r="D125" s="112" t="s">
        <v>98</v>
      </c>
      <c r="E125" s="35" t="s">
        <v>141</v>
      </c>
      <c r="F125" s="36" t="s">
        <v>100</v>
      </c>
      <c r="G125" s="37">
        <v>11</v>
      </c>
    </row>
    <row r="126" spans="2:7">
      <c r="B126" s="184"/>
      <c r="C126" s="114" t="s">
        <v>53</v>
      </c>
      <c r="D126" s="112" t="s">
        <v>142</v>
      </c>
      <c r="E126" s="35" t="s">
        <v>143</v>
      </c>
      <c r="F126" s="36" t="s">
        <v>100</v>
      </c>
      <c r="G126" s="37">
        <v>1</v>
      </c>
    </row>
    <row r="127" spans="2:7">
      <c r="B127" s="184"/>
      <c r="C127" s="114" t="s">
        <v>53</v>
      </c>
      <c r="D127" s="112" t="s">
        <v>144</v>
      </c>
      <c r="E127" s="35" t="s">
        <v>145</v>
      </c>
      <c r="F127" s="36" t="s">
        <v>146</v>
      </c>
      <c r="G127" s="37">
        <v>7</v>
      </c>
    </row>
    <row r="128" spans="2:7">
      <c r="B128" s="184"/>
      <c r="C128" s="114" t="s">
        <v>53</v>
      </c>
      <c r="D128" s="112" t="s">
        <v>147</v>
      </c>
      <c r="E128" s="35" t="s">
        <v>148</v>
      </c>
      <c r="F128" s="36" t="s">
        <v>91</v>
      </c>
      <c r="G128" s="37">
        <v>10</v>
      </c>
    </row>
    <row r="129" spans="2:7">
      <c r="B129" s="184"/>
      <c r="C129" s="114" t="s">
        <v>53</v>
      </c>
      <c r="D129" s="112" t="s">
        <v>149</v>
      </c>
      <c r="E129" s="35" t="s">
        <v>150</v>
      </c>
      <c r="F129" s="36" t="s">
        <v>91</v>
      </c>
      <c r="G129" s="38">
        <v>7</v>
      </c>
    </row>
    <row r="130" spans="2:7">
      <c r="B130" s="184"/>
      <c r="C130" s="108" t="s">
        <v>56</v>
      </c>
      <c r="D130" s="109" t="s">
        <v>151</v>
      </c>
      <c r="E130" s="32" t="s">
        <v>152</v>
      </c>
      <c r="F130" s="33" t="s">
        <v>80</v>
      </c>
      <c r="G130" s="34"/>
    </row>
    <row r="131" spans="2:7">
      <c r="B131" s="184"/>
      <c r="C131" s="114" t="s">
        <v>56</v>
      </c>
      <c r="D131" s="112" t="s">
        <v>153</v>
      </c>
      <c r="E131" s="35" t="s">
        <v>154</v>
      </c>
      <c r="F131" s="36" t="s">
        <v>83</v>
      </c>
      <c r="G131" s="37">
        <v>6</v>
      </c>
    </row>
    <row r="132" spans="2:7">
      <c r="B132" s="184"/>
      <c r="C132" s="114" t="s">
        <v>56</v>
      </c>
      <c r="D132" s="112" t="s">
        <v>155</v>
      </c>
      <c r="E132" s="35" t="s">
        <v>156</v>
      </c>
      <c r="F132" s="36" t="s">
        <v>100</v>
      </c>
      <c r="G132" s="37">
        <v>10</v>
      </c>
    </row>
    <row r="133" spans="2:7">
      <c r="B133" s="184"/>
      <c r="C133" s="114" t="s">
        <v>56</v>
      </c>
      <c r="D133" s="112" t="s">
        <v>157</v>
      </c>
      <c r="E133" s="35" t="s">
        <v>158</v>
      </c>
      <c r="F133" s="36" t="s">
        <v>146</v>
      </c>
      <c r="G133" s="37">
        <v>10</v>
      </c>
    </row>
    <row r="134" spans="2:7">
      <c r="B134" s="184"/>
      <c r="C134" s="114" t="s">
        <v>56</v>
      </c>
      <c r="D134" s="112" t="s">
        <v>159</v>
      </c>
      <c r="E134" s="35" t="s">
        <v>160</v>
      </c>
      <c r="F134" s="36" t="s">
        <v>100</v>
      </c>
      <c r="G134" s="37">
        <v>9</v>
      </c>
    </row>
    <row r="135" spans="2:7">
      <c r="B135" s="184"/>
      <c r="C135" s="114" t="s">
        <v>53</v>
      </c>
      <c r="D135" s="112" t="s">
        <v>142</v>
      </c>
      <c r="E135" s="35" t="s">
        <v>143</v>
      </c>
      <c r="F135" s="36" t="s">
        <v>100</v>
      </c>
      <c r="G135" s="37">
        <v>9</v>
      </c>
    </row>
    <row r="136" spans="2:7">
      <c r="B136" s="184"/>
      <c r="C136" s="114" t="s">
        <v>53</v>
      </c>
      <c r="D136" s="112" t="s">
        <v>161</v>
      </c>
      <c r="E136" s="35" t="s">
        <v>162</v>
      </c>
      <c r="F136" s="36" t="s">
        <v>100</v>
      </c>
      <c r="G136" s="38">
        <v>14</v>
      </c>
    </row>
    <row r="137" spans="2:7" ht="15" thickBot="1">
      <c r="B137" s="184"/>
      <c r="C137" s="114" t="s">
        <v>56</v>
      </c>
      <c r="D137" s="112" t="s">
        <v>163</v>
      </c>
      <c r="E137" s="35" t="s">
        <v>164</v>
      </c>
      <c r="F137" s="36" t="s">
        <v>86</v>
      </c>
      <c r="G137" s="37">
        <v>8</v>
      </c>
    </row>
    <row r="138" spans="2:7">
      <c r="B138" s="183" t="s">
        <v>165</v>
      </c>
      <c r="C138" s="108" t="s">
        <v>166</v>
      </c>
      <c r="D138" s="109" t="s">
        <v>167</v>
      </c>
      <c r="E138" s="32" t="s">
        <v>168</v>
      </c>
      <c r="F138" s="33" t="s">
        <v>80</v>
      </c>
      <c r="G138" s="34"/>
    </row>
    <row r="139" spans="2:7">
      <c r="B139" s="184"/>
      <c r="C139" s="114" t="s">
        <v>58</v>
      </c>
      <c r="D139" s="112" t="s">
        <v>169</v>
      </c>
      <c r="E139" s="35" t="s">
        <v>170</v>
      </c>
      <c r="F139" s="36" t="s">
        <v>86</v>
      </c>
      <c r="G139" s="37"/>
    </row>
    <row r="140" spans="2:7">
      <c r="B140" s="184"/>
      <c r="C140" s="114" t="s">
        <v>58</v>
      </c>
      <c r="D140" s="112" t="s">
        <v>171</v>
      </c>
      <c r="E140" s="35" t="s">
        <v>172</v>
      </c>
      <c r="F140" s="36" t="s">
        <v>83</v>
      </c>
      <c r="G140" s="37"/>
    </row>
    <row r="141" spans="2:7">
      <c r="B141" s="184"/>
      <c r="C141" s="114" t="s">
        <v>58</v>
      </c>
      <c r="D141" s="112" t="s">
        <v>173</v>
      </c>
      <c r="E141" s="35" t="s">
        <v>174</v>
      </c>
      <c r="F141" s="36" t="s">
        <v>111</v>
      </c>
      <c r="G141" s="37"/>
    </row>
    <row r="142" spans="2:7">
      <c r="B142" s="184"/>
      <c r="C142" s="114" t="s">
        <v>58</v>
      </c>
      <c r="D142" s="112" t="s">
        <v>175</v>
      </c>
      <c r="E142" s="35" t="s">
        <v>176</v>
      </c>
      <c r="F142" s="36" t="s">
        <v>86</v>
      </c>
      <c r="G142" s="37"/>
    </row>
    <row r="143" spans="2:7">
      <c r="B143" s="184"/>
      <c r="C143" s="114" t="s">
        <v>58</v>
      </c>
      <c r="D143" s="112" t="s">
        <v>177</v>
      </c>
      <c r="E143" s="35" t="s">
        <v>178</v>
      </c>
      <c r="F143" s="36" t="s">
        <v>83</v>
      </c>
      <c r="G143" s="37"/>
    </row>
    <row r="144" spans="2:7">
      <c r="B144" s="184"/>
      <c r="C144" s="114" t="s">
        <v>58</v>
      </c>
      <c r="D144" s="113" t="s">
        <v>179</v>
      </c>
      <c r="E144" s="35" t="s">
        <v>180</v>
      </c>
      <c r="F144" s="36" t="s">
        <v>91</v>
      </c>
      <c r="G144" s="37"/>
    </row>
    <row r="145" spans="1:7">
      <c r="B145" s="184"/>
      <c r="C145" s="114" t="s">
        <v>58</v>
      </c>
      <c r="D145" s="113" t="s">
        <v>181</v>
      </c>
      <c r="E145" s="35" t="s">
        <v>182</v>
      </c>
      <c r="F145" s="36" t="s">
        <v>86</v>
      </c>
      <c r="G145" s="37"/>
    </row>
    <row r="146" spans="1:7" ht="15" thickBot="1">
      <c r="B146" s="186"/>
      <c r="C146" s="113" t="s">
        <v>58</v>
      </c>
      <c r="D146" s="113" t="s">
        <v>183</v>
      </c>
      <c r="E146" s="35" t="s">
        <v>184</v>
      </c>
      <c r="F146" s="36" t="s">
        <v>83</v>
      </c>
      <c r="G146" s="37"/>
    </row>
    <row r="148" spans="1:7" ht="15.6">
      <c r="B148" s="2" t="s">
        <v>185</v>
      </c>
    </row>
    <row r="150" spans="1:7">
      <c r="A150" s="1">
        <v>14</v>
      </c>
      <c r="B150" s="115"/>
      <c r="C150" s="174" t="s">
        <v>186</v>
      </c>
      <c r="D150" s="174"/>
    </row>
    <row r="151" spans="1:7">
      <c r="B151" s="116"/>
      <c r="C151" s="117" t="s">
        <v>187</v>
      </c>
      <c r="D151" s="117" t="s">
        <v>188</v>
      </c>
    </row>
    <row r="152" spans="1:7">
      <c r="B152" s="187" t="s">
        <v>18</v>
      </c>
      <c r="C152" s="190"/>
      <c r="D152" s="118"/>
    </row>
    <row r="153" spans="1:7">
      <c r="B153" s="188"/>
      <c r="C153" s="191"/>
      <c r="D153" s="119"/>
    </row>
    <row r="154" spans="1:7">
      <c r="B154" s="188"/>
      <c r="C154" s="191"/>
      <c r="D154" s="119"/>
    </row>
    <row r="155" spans="1:7">
      <c r="B155" s="188"/>
      <c r="C155" s="191"/>
      <c r="D155" s="119"/>
    </row>
    <row r="156" spans="1:7" ht="15" thickBot="1">
      <c r="B156" s="189"/>
      <c r="C156" s="192"/>
      <c r="D156" s="120" t="s">
        <v>189</v>
      </c>
    </row>
    <row r="157" spans="1:7">
      <c r="B157" s="193" t="s">
        <v>19</v>
      </c>
      <c r="C157" s="175" t="s">
        <v>190</v>
      </c>
      <c r="D157" s="178" t="s">
        <v>191</v>
      </c>
    </row>
    <row r="158" spans="1:7">
      <c r="B158" s="194"/>
      <c r="C158" s="176"/>
      <c r="D158" s="179"/>
    </row>
    <row r="159" spans="1:7">
      <c r="B159" s="194"/>
      <c r="C159" s="176"/>
      <c r="D159" s="179"/>
    </row>
    <row r="160" spans="1:7">
      <c r="B160" s="194"/>
      <c r="C160" s="176"/>
      <c r="D160" s="179"/>
    </row>
    <row r="161" spans="1:4">
      <c r="B161" s="194"/>
      <c r="C161" s="176"/>
      <c r="D161" s="179"/>
    </row>
    <row r="162" spans="1:4" ht="15" thickBot="1">
      <c r="B162" s="195"/>
      <c r="C162" s="177"/>
      <c r="D162" s="180"/>
    </row>
    <row r="163" spans="1:4" ht="15" thickBot="1">
      <c r="B163" s="121" t="s">
        <v>20</v>
      </c>
      <c r="C163" s="122"/>
      <c r="D163" s="121"/>
    </row>
    <row r="164" spans="1:4" ht="15" thickBot="1">
      <c r="B164" s="123" t="s">
        <v>5</v>
      </c>
      <c r="C164" s="123"/>
      <c r="D164" s="123"/>
    </row>
    <row r="166" spans="1:4">
      <c r="B166" s="128" t="s">
        <v>192</v>
      </c>
    </row>
    <row r="168" spans="1:4">
      <c r="A168" s="1">
        <v>14</v>
      </c>
      <c r="B168" s="153" t="s">
        <v>193</v>
      </c>
      <c r="C168" s="154" t="s">
        <v>194</v>
      </c>
    </row>
    <row r="169" spans="1:4">
      <c r="B169" s="153"/>
      <c r="C169" s="153"/>
    </row>
    <row r="170" spans="1:4" ht="18.95" thickBot="1">
      <c r="B170" s="125" t="s">
        <v>195</v>
      </c>
      <c r="C170" s="126">
        <v>104</v>
      </c>
    </row>
    <row r="171" spans="1:4" ht="18.95" thickBot="1">
      <c r="B171" s="125" t="s">
        <v>196</v>
      </c>
      <c r="C171" s="127"/>
    </row>
    <row r="172" spans="1:4" ht="18.95" thickBot="1">
      <c r="B172" s="125" t="s">
        <v>197</v>
      </c>
      <c r="C172" s="126">
        <v>7</v>
      </c>
    </row>
    <row r="173" spans="1:4" ht="18.95" thickBot="1">
      <c r="B173" s="125" t="s">
        <v>198</v>
      </c>
      <c r="C173" s="126"/>
    </row>
    <row r="174" spans="1:4" ht="18.95" thickBot="1">
      <c r="B174" s="125" t="s">
        <v>199</v>
      </c>
      <c r="C174" s="126"/>
    </row>
    <row r="175" spans="1:4" ht="18.95" thickBot="1">
      <c r="B175" s="125" t="s">
        <v>200</v>
      </c>
      <c r="C175" s="126"/>
    </row>
    <row r="176" spans="1:4" ht="18.95" thickBot="1">
      <c r="B176" s="125" t="s">
        <v>194</v>
      </c>
      <c r="C176" s="126">
        <v>111</v>
      </c>
    </row>
  </sheetData>
  <mergeCells count="36">
    <mergeCell ref="D157:D162"/>
    <mergeCell ref="B95:H95"/>
    <mergeCell ref="B96:H96"/>
    <mergeCell ref="B98:B122"/>
    <mergeCell ref="B123:B137"/>
    <mergeCell ref="B138:B146"/>
    <mergeCell ref="B152:B156"/>
    <mergeCell ref="C152:C156"/>
    <mergeCell ref="B157:B162"/>
    <mergeCell ref="B2:I2"/>
    <mergeCell ref="I31:I35"/>
    <mergeCell ref="B168:B169"/>
    <mergeCell ref="C168:C169"/>
    <mergeCell ref="B6:C6"/>
    <mergeCell ref="B4:C4"/>
    <mergeCell ref="B11:C11"/>
    <mergeCell ref="B28:K28"/>
    <mergeCell ref="C29:E29"/>
    <mergeCell ref="F29:H29"/>
    <mergeCell ref="I29:K29"/>
    <mergeCell ref="B75:B78"/>
    <mergeCell ref="C75:C78"/>
    <mergeCell ref="C150:D150"/>
    <mergeCell ref="J31:J35"/>
    <mergeCell ref="C157:C162"/>
    <mergeCell ref="K31:K35"/>
    <mergeCell ref="B57:C57"/>
    <mergeCell ref="B71:B72"/>
    <mergeCell ref="B31:B35"/>
    <mergeCell ref="E31:E35"/>
    <mergeCell ref="F31:F35"/>
    <mergeCell ref="C71:C72"/>
    <mergeCell ref="D71:D72"/>
    <mergeCell ref="E71:E72"/>
    <mergeCell ref="G71:G72"/>
    <mergeCell ref="C31:C35"/>
  </mergeCells>
  <conditionalFormatting sqref="A150 A6 A13 A28 A42 A49 A57 A64 A69 A74 A82 A87 A91">
    <cfRule type="iconSet" priority="3">
      <iconSet iconSet="3Symbols2" showValue="0">
        <cfvo type="percent" val="0"/>
        <cfvo type="num" val="0"/>
        <cfvo type="num" val="0"/>
      </iconSet>
    </cfRule>
  </conditionalFormatting>
  <conditionalFormatting sqref="A97">
    <cfRule type="iconSet" priority="2">
      <iconSet iconSet="3Symbols2" showValue="0">
        <cfvo type="percent" val="0"/>
        <cfvo type="num" val="0"/>
        <cfvo type="num" val="0"/>
      </iconSet>
    </cfRule>
  </conditionalFormatting>
  <conditionalFormatting sqref="A168">
    <cfRule type="iconSet" priority="1">
      <iconSet iconSet="3Symbols2" showValue="0">
        <cfvo type="percent" val="0"/>
        <cfvo type="num" val="0"/>
        <cfvo type="num" val="0"/>
      </iconSet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4" ma:contentTypeDescription="Crear nuevo documento." ma:contentTypeScope="" ma:versionID="ddec260070336827ee8c328f0227227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590a657cbc5fcb450edb0ba38c295f5b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07A3BB-FCFD-42D3-B617-B2F323439184}"/>
</file>

<file path=customXml/itemProps2.xml><?xml version="1.0" encoding="utf-8"?>
<ds:datastoreItem xmlns:ds="http://schemas.openxmlformats.org/officeDocument/2006/customXml" ds:itemID="{40C5C1DC-AF4B-41DB-A074-5DBB0E33898D}"/>
</file>

<file path=customXml/itemProps3.xml><?xml version="1.0" encoding="utf-8"?>
<ds:datastoreItem xmlns:ds="http://schemas.openxmlformats.org/officeDocument/2006/customXml" ds:itemID="{FE9A4FF9-1C1A-42D3-B75B-7956C04973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Gonzales Estrada Sara Stephany</dc:creator>
  <cp:keywords/>
  <dc:description/>
  <cp:lastModifiedBy>Gonzales Estrada Sara Stephany</cp:lastModifiedBy>
  <cp:revision/>
  <dcterms:created xsi:type="dcterms:W3CDTF">2024-01-03T15:06:50Z</dcterms:created>
  <dcterms:modified xsi:type="dcterms:W3CDTF">2024-09-04T14:04:24Z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