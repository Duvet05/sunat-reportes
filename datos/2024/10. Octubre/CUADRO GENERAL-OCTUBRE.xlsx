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natperu.sharepoint.com/sites/i-ni/7U7000/Productividad/10. Octubre/"/>
    </mc:Choice>
  </mc:AlternateContent>
  <xr:revisionPtr revIDLastSave="515" documentId="13_ncr:1_{D8772CA1-E718-4B3B-8125-68D73A4CEF31}" xr6:coauthVersionLast="47" xr6:coauthVersionMax="47" xr10:uidLastSave="{C68C78EF-03B3-4C69-9E4F-D6365E3EEC35}"/>
  <bookViews>
    <workbookView xWindow="-108" yWindow="-108" windowWidth="23256" windowHeight="12576" xr2:uid="{2EFA1358-0385-4213-83A5-14E931E4CB47}"/>
  </bookViews>
  <sheets>
    <sheet name="GAFA" sheetId="1" r:id="rId1"/>
  </sheets>
  <definedNames>
    <definedName name="_xlnm._FilterDatabase" localSheetId="0" hidden="1">GAFA!$B$84:$G$84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4" i="1" l="1"/>
  <c r="G117" i="1"/>
  <c r="G110" i="1"/>
  <c r="E155" i="1"/>
  <c r="G133" i="1"/>
  <c r="E17" i="1"/>
  <c r="D10" i="1"/>
  <c r="D17" i="1"/>
  <c r="G58" i="1"/>
  <c r="G57" i="1"/>
  <c r="D155" i="1"/>
</calcChain>
</file>

<file path=xl/sharedStrings.xml><?xml version="1.0" encoding="utf-8"?>
<sst xmlns="http://schemas.openxmlformats.org/spreadsheetml/2006/main" count="294" uniqueCount="182">
  <si>
    <t>COMITÉ INI</t>
  </si>
  <si>
    <t>STOCK DE DOCUMENTOS</t>
  </si>
  <si>
    <t>DCCI</t>
  </si>
  <si>
    <t>DCCII</t>
  </si>
  <si>
    <t>DCP</t>
  </si>
  <si>
    <t>FONDO</t>
  </si>
  <si>
    <t>ADMISIBILIDAD</t>
  </si>
  <si>
    <t>INGRESADO</t>
  </si>
  <si>
    <t>TOTAL</t>
  </si>
  <si>
    <t>84*</t>
  </si>
  <si>
    <t>*INCA+DCCII</t>
  </si>
  <si>
    <t xml:space="preserve">PRODUCTIVIDAD RECLAMOS </t>
  </si>
  <si>
    <t>DIVISIÓN DE CONTROL CONCURRENTE-I</t>
  </si>
  <si>
    <t>DIVISIÓN DE CONTROL CONCURRENTE-II</t>
  </si>
  <si>
    <t>DIVISIÓN DE CONTROL POSTERIOR</t>
  </si>
  <si>
    <t>Reclamos resueltos</t>
  </si>
  <si>
    <t>(*)</t>
  </si>
  <si>
    <t>Resolutor</t>
  </si>
  <si>
    <t>14.5</t>
  </si>
  <si>
    <t>Producción Promedio</t>
  </si>
  <si>
    <t>14.28</t>
  </si>
  <si>
    <t>(*) Incluye: 19 reclamos origen INCA por S/. 9.7 millones; y 9 reclamos origen DCCII.</t>
  </si>
  <si>
    <t>PRODUCTIVIDAD (LABORES ADICIONALES)</t>
  </si>
  <si>
    <t>PRODUCCIÓN</t>
  </si>
  <si>
    <t>UUOO</t>
  </si>
  <si>
    <t>MATERIA</t>
  </si>
  <si>
    <t>MEJORA RTF</t>
  </si>
  <si>
    <t>MEJORA LC</t>
  </si>
  <si>
    <t>MEJORA (IAMC)</t>
  </si>
  <si>
    <t xml:space="preserve">PRODUCTO RESUELTO </t>
  </si>
  <si>
    <t>Dos Informes de demandas contenciosas administrativas
Consultas</t>
  </si>
  <si>
    <t>Un Informe de demanda  contenciosa administartiva</t>
  </si>
  <si>
    <t>RESOLUTOR</t>
  </si>
  <si>
    <t>PRODUCCIÓN PROMEDIO</t>
  </si>
  <si>
    <t xml:space="preserve">PROGRAMA DE ELABORACION FORMATOS </t>
  </si>
  <si>
    <t>6 equipos</t>
  </si>
  <si>
    <t>PROGRAMACIÓN NOV</t>
  </si>
  <si>
    <t>Exp</t>
  </si>
  <si>
    <t>STOCK VENCIDOS</t>
  </si>
  <si>
    <t>VENCIDO +9 MESES</t>
  </si>
  <si>
    <t>9 MESES</t>
  </si>
  <si>
    <t>8 MESES</t>
  </si>
  <si>
    <t>7 MESES</t>
  </si>
  <si>
    <t>NO GESTIONABLE Y REINGRESADOS</t>
  </si>
  <si>
    <t>NO GESTIONABLE</t>
  </si>
  <si>
    <t xml:space="preserve">REINGRESADOS </t>
  </si>
  <si>
    <t>PRODUCTIVIDAD POR SUPERVISIÓN</t>
  </si>
  <si>
    <t>Supervisión</t>
  </si>
  <si>
    <t>Nombre y apellido</t>
  </si>
  <si>
    <t>Resolución aplicada</t>
  </si>
  <si>
    <t>Resolutor efectivo</t>
  </si>
  <si>
    <t>Complejidad</t>
  </si>
  <si>
    <t>Producción promedio</t>
  </si>
  <si>
    <t>7U7101</t>
  </si>
  <si>
    <t>Allison Castro</t>
  </si>
  <si>
    <t>4.2</t>
  </si>
  <si>
    <t> </t>
  </si>
  <si>
    <t>15.48</t>
  </si>
  <si>
    <t>7U7102</t>
  </si>
  <si>
    <t>Teresita Quezada</t>
  </si>
  <si>
    <t>13.33</t>
  </si>
  <si>
    <t>7U7103</t>
  </si>
  <si>
    <t>Angelita Santillan</t>
  </si>
  <si>
    <t>6.1</t>
  </si>
  <si>
    <t>14.10</t>
  </si>
  <si>
    <t>7U7201</t>
  </si>
  <si>
    <t>Yessenia Salcedo</t>
  </si>
  <si>
    <t>7U7202</t>
  </si>
  <si>
    <t>Alberto Munive</t>
  </si>
  <si>
    <t>7U7301</t>
  </si>
  <si>
    <t xml:space="preserve">Cynthia Sánchez Ferrer </t>
  </si>
  <si>
    <t>2 Muy Alta                     8 Alta
18 Mediana</t>
  </si>
  <si>
    <t>PROYECTADO Y NO APLICADO</t>
  </si>
  <si>
    <t xml:space="preserve">Resolución proyectada </t>
  </si>
  <si>
    <r>
      <rPr>
        <b/>
        <sz val="10"/>
        <color rgb="FFFFFFFF"/>
        <rFont val="Calibri Light"/>
      </rPr>
      <t>Resolución</t>
    </r>
    <r>
      <rPr>
        <b/>
        <u/>
        <sz val="10"/>
        <color rgb="FFFFFFFF"/>
        <rFont val="Calibri Light"/>
      </rPr>
      <t xml:space="preserve"> NO </t>
    </r>
    <r>
      <rPr>
        <b/>
        <sz val="10"/>
        <color rgb="FFFFFFFF"/>
        <rFont val="Calibri Light"/>
      </rPr>
      <t>aplicada</t>
    </r>
    <r>
      <rPr>
        <b/>
        <u/>
        <sz val="10"/>
        <color rgb="FFFFFFFF"/>
        <rFont val="Calibri Light"/>
      </rPr>
      <t xml:space="preserve"> </t>
    </r>
  </si>
  <si>
    <t xml:space="preserve">Motivo </t>
  </si>
  <si>
    <r>
      <t>Resolución</t>
    </r>
    <r>
      <rPr>
        <b/>
        <u/>
        <sz val="10"/>
        <color rgb="FFFFFFFF"/>
        <rFont val="Calibri Light"/>
        <family val="2"/>
        <scheme val="major"/>
      </rPr>
      <t xml:space="preserve"> </t>
    </r>
    <r>
      <rPr>
        <b/>
        <sz val="10"/>
        <color rgb="FFFFFFFF"/>
        <rFont val="Calibri Light"/>
        <family val="2"/>
        <scheme val="major"/>
      </rPr>
      <t>aplicada</t>
    </r>
    <r>
      <rPr>
        <b/>
        <u/>
        <sz val="10"/>
        <color rgb="FFFFFFFF"/>
        <rFont val="Calibri Light"/>
        <family val="2"/>
        <scheme val="major"/>
      </rPr>
      <t xml:space="preserve"> </t>
    </r>
  </si>
  <si>
    <t xml:space="preserve">      Motivo</t>
  </si>
  <si>
    <t>AlbertoMunive</t>
  </si>
  <si>
    <t>Motivo</t>
  </si>
  <si>
    <t>Cynthia Sánchez Ferrer</t>
  </si>
  <si>
    <t>Etiquetas de fila</t>
  </si>
  <si>
    <t>Cantidad de Resoluciones</t>
  </si>
  <si>
    <t>ALLISON ERIKA, CASTRO LAGOS</t>
  </si>
  <si>
    <t>ANA MARIA, DIAZ JURADO</t>
  </si>
  <si>
    <t>CAROLINA MARCELA, CAVERO CARRION</t>
  </si>
  <si>
    <t>CELSO FELIX, SANCHEZ GARRIDO</t>
  </si>
  <si>
    <t>CESAR VICTOR, LINARES ALCANTARA</t>
  </si>
  <si>
    <t>EDGAR FERNANDO, COSIO JARA</t>
  </si>
  <si>
    <t>VICTORIA AGUSTINA, SANTA CRUZ MARTINEZ</t>
  </si>
  <si>
    <t>GLADYS ANGELITA, SANTILLAN VALDIVIA</t>
  </si>
  <si>
    <t>ANDRES EDUARDO, ANGULO FARFAN</t>
  </si>
  <si>
    <t>AZHIR YUSSEF, SANDOVAL GUEVARA</t>
  </si>
  <si>
    <t>JORGE LUIS, SANCHEZ TORRES</t>
  </si>
  <si>
    <t>JULIO RAMIRO, CASTAÑEDA CALDERON</t>
  </si>
  <si>
    <t>LUIS ALBERTO, CORDOVA MEZA</t>
  </si>
  <si>
    <t>MARITZA, MOLLINEDO CATUNTA</t>
  </si>
  <si>
    <t>TANIA ELENA, ROSALES OCHOA</t>
  </si>
  <si>
    <t>TERESITA MILAGROS, QUEZADA VILLAR</t>
  </si>
  <si>
    <t>HUGO ALBERTO, JIMENEZ SUCLLA</t>
  </si>
  <si>
    <t>JAVIER GUSTAVO, OYARSE CRUZ</t>
  </si>
  <si>
    <t>MARIA LUISA, CHIRE TUNQUE</t>
  </si>
  <si>
    <t>WILLIAN ARNALDO, GODOY ESCALANTE</t>
  </si>
  <si>
    <t>ZAIRA, CARBAJAL JARA</t>
  </si>
  <si>
    <t>Total general</t>
  </si>
  <si>
    <t>TOTAL DCCI</t>
  </si>
  <si>
    <t>7U7200 DIVISION DE CONTROL CONCURRENTE II</t>
  </si>
  <si>
    <t xml:space="preserve">7U7201 </t>
  </si>
  <si>
    <t>7587</t>
  </si>
  <si>
    <t>Yessenia Salcedo Diaz</t>
  </si>
  <si>
    <t>Supervisor 2</t>
  </si>
  <si>
    <t>7342</t>
  </si>
  <si>
    <t>Juan Cuya Velarde</t>
  </si>
  <si>
    <t>Especialista 3</t>
  </si>
  <si>
    <t>4644</t>
  </si>
  <si>
    <t>Carlos Malaga Portocarrero</t>
  </si>
  <si>
    <t>AO21</t>
  </si>
  <si>
    <t>Renierd Rios Gomez</t>
  </si>
  <si>
    <t>CAS</t>
  </si>
  <si>
    <t>7211</t>
  </si>
  <si>
    <t>Roberto Rivarola Hidalgo</t>
  </si>
  <si>
    <t>Especialista 2</t>
  </si>
  <si>
    <t>7624</t>
  </si>
  <si>
    <t>Poul Valdivia Charca</t>
  </si>
  <si>
    <t>5844</t>
  </si>
  <si>
    <t>Richard Vela Nuñez</t>
  </si>
  <si>
    <t>4840</t>
  </si>
  <si>
    <t>Alberto Munive Bisetti</t>
  </si>
  <si>
    <t>2423</t>
  </si>
  <si>
    <t>Cecilia Acosta Salazar</t>
  </si>
  <si>
    <t>Especialista 4</t>
  </si>
  <si>
    <t>7326</t>
  </si>
  <si>
    <t>Lydia Arestegui Pereyra</t>
  </si>
  <si>
    <t>AT75</t>
  </si>
  <si>
    <t>Victoria Flores Alvitez</t>
  </si>
  <si>
    <t>7151</t>
  </si>
  <si>
    <t>Lourdes Pretel Noblecilla</t>
  </si>
  <si>
    <t>5749</t>
  </si>
  <si>
    <t>Wilder Ulloa Ascencio</t>
  </si>
  <si>
    <t>Especialista 5</t>
  </si>
  <si>
    <t>4569</t>
  </si>
  <si>
    <t xml:space="preserve">Jose Linarez Amacifuen </t>
  </si>
  <si>
    <t>TOTAL DCCII</t>
  </si>
  <si>
    <t>7U7300 DIVISION DE CONTROL POSTERIOR</t>
  </si>
  <si>
    <t xml:space="preserve">7U7301 </t>
  </si>
  <si>
    <t>2834</t>
  </si>
  <si>
    <t xml:space="preserve">Cynthia Sanchez Ferrer  </t>
  </si>
  <si>
    <t>2694</t>
  </si>
  <si>
    <t>Gustavo Bernuy Nuñez</t>
  </si>
  <si>
    <t>4700</t>
  </si>
  <si>
    <t>Carlos Mauro Sampen</t>
  </si>
  <si>
    <t>5730</t>
  </si>
  <si>
    <t>Marco Tregear Jimenez</t>
  </si>
  <si>
    <t>7660</t>
  </si>
  <si>
    <t>Marco Fournier Castillo</t>
  </si>
  <si>
    <t>7148</t>
  </si>
  <si>
    <t>Jesus Garcia Rodriguez</t>
  </si>
  <si>
    <t>4594</t>
  </si>
  <si>
    <t>Carlos Lopez Cornelio</t>
  </si>
  <si>
    <t>4990</t>
  </si>
  <si>
    <t xml:space="preserve">Cecilia Pantoja Urizar Garfias </t>
  </si>
  <si>
    <t>(*) Incluye 9 casos atendidos de Concurrente II</t>
  </si>
  <si>
    <t>ITOP REPORTADOS-OCTUBRE 2024</t>
  </si>
  <si>
    <t>Julio</t>
  </si>
  <si>
    <t>N° ITOP</t>
  </si>
  <si>
    <t> ASUNTO</t>
  </si>
  <si>
    <t>I-902560
I-1063895</t>
  </si>
  <si>
    <t>I-902560: 
 Se solicitó verificar pago anulado en el RSIRAT al momento de calificar valor.
I-1063895 : Reslución no genera SINE. (solucionado)</t>
  </si>
  <si>
    <t>RESULTADOS DE RECLAMO</t>
  </si>
  <si>
    <t>INFUNDADO</t>
  </si>
  <si>
    <t>ReclamoInfundada</t>
  </si>
  <si>
    <t>ESTADO</t>
  </si>
  <si>
    <t>Infundada</t>
  </si>
  <si>
    <t>Infundado</t>
  </si>
  <si>
    <t>Resolucion de Nulidad Sigeri</t>
  </si>
  <si>
    <t>Fundado/F.P</t>
  </si>
  <si>
    <t>NULIDAD</t>
  </si>
  <si>
    <t>Nulidad</t>
  </si>
  <si>
    <t>Carece de Objeto</t>
  </si>
  <si>
    <t>Total</t>
  </si>
  <si>
    <t>(*) Incluye 20 casos origen INCA y 10 origen DCCII</t>
  </si>
  <si>
    <t>(*) Incluye 19 casos origen INCA y 9 origen DCCII.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</si>
</sst>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rgb="FFFFFFFF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name val="Calibri Light"/>
      <family val="2"/>
      <scheme val="major"/>
    </font>
    <font>
      <b/>
      <u/>
      <sz val="10"/>
      <color rgb="FFFFFFFF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2"/>
      <color theme="0"/>
      <name val="Calibri Light"/>
      <family val="2"/>
    </font>
    <font>
      <b/>
      <sz val="14"/>
      <name val="Calibri Light"/>
      <family val="2"/>
    </font>
    <font>
      <b/>
      <sz val="11"/>
      <color theme="1"/>
      <name val="Calibri Light"/>
      <family val="2"/>
      <scheme val="major"/>
    </font>
    <font>
      <b/>
      <sz val="10"/>
      <color rgb="FFFF0000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sz val="8"/>
      <color rgb="FF000000"/>
      <name val="Calibri Light"/>
      <family val="2"/>
      <scheme val="major"/>
    </font>
    <font>
      <b/>
      <sz val="10"/>
      <color rgb="FF000000"/>
      <name val="Calibri Light"/>
      <family val="2"/>
    </font>
    <font>
      <sz val="10"/>
      <color rgb="FF000000"/>
      <name val="Calibri Light"/>
      <family val="2"/>
    </font>
    <font>
      <sz val="10"/>
      <color rgb="FF000000"/>
      <name val="Calibri Light"/>
    </font>
    <font>
      <sz val="8"/>
      <color rgb="FF000000"/>
      <name val="Calibri Light"/>
      <scheme val="major"/>
    </font>
    <font>
      <b/>
      <sz val="10"/>
      <color rgb="FFFFFFFF"/>
      <name val="Calibri Light"/>
    </font>
    <font>
      <b/>
      <u/>
      <sz val="10"/>
      <color rgb="FFFFFFFF"/>
      <name val="Calibri Light"/>
    </font>
    <font>
      <b/>
      <sz val="11"/>
      <color rgb="FF3F3F3F"/>
      <name val="Calibri"/>
      <scheme val="minor"/>
    </font>
    <font>
      <sz val="8"/>
      <color rgb="FF000000"/>
      <name val="Arial Nova"/>
      <family val="2"/>
    </font>
    <font>
      <b/>
      <sz val="14"/>
      <color rgb="FF3F3F3F"/>
      <name val="Calibri"/>
      <scheme val="minor"/>
    </font>
    <font>
      <b/>
      <sz val="14"/>
      <color theme="1"/>
      <name val="Calibri Light"/>
      <family val="2"/>
      <scheme val="major"/>
    </font>
    <font>
      <sz val="14"/>
      <color theme="1"/>
      <name val="Calibri Light"/>
      <family val="2"/>
      <scheme val="major"/>
    </font>
    <font>
      <sz val="14"/>
      <name val="Calibri Light"/>
      <family val="2"/>
      <scheme val="major"/>
    </font>
    <font>
      <sz val="14"/>
      <color rgb="FF000000"/>
      <name val="Calibri Light"/>
      <family val="2"/>
    </font>
    <font>
      <b/>
      <sz val="14"/>
      <color rgb="FF000000"/>
      <name val="Calibri Light"/>
      <family val="2"/>
      <scheme val="major"/>
    </font>
    <font>
      <b/>
      <sz val="14"/>
      <name val="Calibri Light"/>
      <family val="2"/>
      <scheme val="major"/>
    </font>
    <font>
      <b/>
      <sz val="14"/>
      <color rgb="FF833C0C"/>
      <name val="Calibri Light"/>
      <family val="2"/>
      <scheme val="major"/>
    </font>
    <font>
      <b/>
      <sz val="14"/>
      <color rgb="FF3F3F3F"/>
      <name val="Calibri Light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2"/>
      <color rgb="FFFFFFFF"/>
      <name val="Calibri Light"/>
      <family val="2"/>
      <scheme val="major"/>
    </font>
    <font>
      <sz val="12"/>
      <color rgb="FF000000"/>
      <name val="Calibri Light"/>
      <family val="2"/>
    </font>
    <font>
      <sz val="12"/>
      <color rgb="FF000000"/>
      <name val="Calibri Light"/>
      <family val="2"/>
      <scheme val="major"/>
    </font>
    <font>
      <sz val="14"/>
      <color rgb="FF000000"/>
      <name val="Calibri Light"/>
      <family val="2"/>
      <scheme val="major"/>
    </font>
  </fonts>
  <fills count="2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8CB"/>
        <bgColor indexed="64"/>
      </patternFill>
    </fill>
    <fill>
      <patternFill patternType="solid">
        <fgColor rgb="FFFFF4E7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F1E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EEAF6"/>
        <bgColor rgb="FF000000"/>
      </patternFill>
    </fill>
    <fill>
      <patternFill patternType="solid">
        <fgColor rgb="FFBDD6EE"/>
        <bgColor rgb="FF000000"/>
      </patternFill>
    </fill>
    <fill>
      <patternFill patternType="solid">
        <fgColor rgb="FFF2F2F2"/>
      </patternFill>
    </fill>
    <fill>
      <patternFill patternType="solid">
        <fgColor theme="2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4" tint="0.79998168889431442"/>
        <bgColor indexed="64"/>
      </patternFill>
    </fill>
  </fills>
  <borders count="76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 style="medium">
        <color rgb="FF5B9BD5"/>
      </top>
      <bottom style="medium">
        <color rgb="FF9CC2E5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 style="medium">
        <color rgb="FF9CC2E5"/>
      </bottom>
      <diagonal/>
    </border>
    <border>
      <left style="medium">
        <color theme="8" tint="0.39994506668294322"/>
      </left>
      <right/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theme="8" tint="0.39994506668294322"/>
      </left>
      <right style="medium">
        <color rgb="FF8EAADB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/>
      <bottom style="medium">
        <color theme="8" tint="0.39994506668294322"/>
      </bottom>
      <diagonal/>
    </border>
    <border>
      <left/>
      <right style="medium">
        <color theme="8" tint="0.39994506668294322"/>
      </right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FFFFFF"/>
      </bottom>
      <diagonal/>
    </border>
    <border>
      <left/>
      <right/>
      <top style="medium">
        <color indexed="64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indexed="64"/>
      </right>
      <top style="medium">
        <color indexed="64"/>
      </top>
      <bottom style="medium">
        <color rgb="FF9CC2E5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 style="medium">
        <color rgb="FF9CC2E5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9CC2E5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/>
      <diagonal/>
    </border>
    <border>
      <left style="medium">
        <color rgb="FF70AD47"/>
      </left>
      <right style="medium">
        <color rgb="FF70AD47"/>
      </right>
      <top/>
      <bottom style="medium">
        <color rgb="FF70AD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9CC2E5"/>
      </left>
      <right style="medium">
        <color rgb="FF9CC2E5"/>
      </right>
      <top/>
      <bottom style="medium">
        <color rgb="FF9CC2E5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rgb="FF9BC2E6"/>
      </right>
      <top style="medium">
        <color rgb="FF9BC2E6"/>
      </top>
      <bottom style="medium">
        <color rgb="FF9BC2E6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/>
      <bottom style="thin">
        <color rgb="FF000000"/>
      </bottom>
      <diagonal/>
    </border>
    <border>
      <left style="thin">
        <color rgb="FF3F3F3F"/>
      </left>
      <right style="thin">
        <color rgb="FF3F3F3F"/>
      </right>
      <top/>
      <bottom style="thin">
        <color rgb="FF000000"/>
      </bottom>
      <diagonal/>
    </border>
    <border>
      <left style="thin">
        <color rgb="FF3F3F3F"/>
      </left>
      <right/>
      <top/>
      <bottom style="thin">
        <color rgb="FF000000"/>
      </bottom>
      <diagonal/>
    </border>
    <border>
      <left/>
      <right style="thin">
        <color rgb="FF3F3F3F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3F3F3F"/>
      </right>
      <top style="thin">
        <color rgb="FF000000"/>
      </top>
      <bottom/>
      <diagonal/>
    </border>
    <border>
      <left style="thin">
        <color rgb="FF3F3F3F"/>
      </left>
      <right style="thin">
        <color rgb="FF3F3F3F"/>
      </right>
      <top style="thin">
        <color rgb="FF000000"/>
      </top>
      <bottom/>
      <diagonal/>
    </border>
    <border>
      <left style="thin">
        <color rgb="FF3F3F3F"/>
      </left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9CC2E5"/>
      </left>
      <right style="medium">
        <color rgb="FF9BC2E6"/>
      </right>
      <top style="medium">
        <color rgb="FF9BC2E6"/>
      </top>
      <bottom style="medium">
        <color rgb="FF9BC2E6"/>
      </bottom>
      <diagonal/>
    </border>
    <border>
      <left style="medium">
        <color rgb="FF9CC2E5"/>
      </left>
      <right style="medium">
        <color rgb="FF9BC2E6"/>
      </right>
      <top/>
      <bottom style="medium">
        <color rgb="FF9BC2E6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/>
      <top/>
      <bottom style="thin">
        <color rgb="FF8EA9DB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3" fillId="22" borderId="53" applyNumberFormat="0" applyAlignment="0" applyProtection="0"/>
  </cellStyleXfs>
  <cellXfs count="231">
    <xf numFmtId="0" fontId="0" fillId="0" borderId="0" xfId="0"/>
    <xf numFmtId="0" fontId="1" fillId="0" borderId="0" xfId="0" applyFont="1"/>
    <xf numFmtId="0" fontId="2" fillId="0" borderId="0" xfId="0" applyFont="1"/>
    <xf numFmtId="0" fontId="3" fillId="6" borderId="16" xfId="0" applyFont="1" applyFill="1" applyBorder="1" applyAlignment="1">
      <alignment horizontal="center" vertical="center" wrapText="1" readingOrder="1"/>
    </xf>
    <xf numFmtId="0" fontId="3" fillId="7" borderId="10" xfId="0" applyFont="1" applyFill="1" applyBorder="1" applyAlignment="1">
      <alignment horizontal="center" vertical="center" wrapText="1" readingOrder="1"/>
    </xf>
    <xf numFmtId="0" fontId="3" fillId="8" borderId="10" xfId="0" applyFont="1" applyFill="1" applyBorder="1" applyAlignment="1">
      <alignment horizontal="center" vertical="center" wrapText="1" readingOrder="1"/>
    </xf>
    <xf numFmtId="0" fontId="3" fillId="9" borderId="10" xfId="0" applyFont="1" applyFill="1" applyBorder="1" applyAlignment="1">
      <alignment horizontal="center" vertical="center" wrapText="1" readingOrder="1"/>
    </xf>
    <xf numFmtId="0" fontId="4" fillId="7" borderId="10" xfId="0" applyFont="1" applyFill="1" applyBorder="1" applyAlignment="1">
      <alignment horizontal="center" vertical="center" wrapText="1" readingOrder="1"/>
    </xf>
    <xf numFmtId="0" fontId="4" fillId="8" borderId="10" xfId="0" applyFont="1" applyFill="1" applyBorder="1" applyAlignment="1">
      <alignment horizontal="center" vertical="center" wrapText="1" readingOrder="1"/>
    </xf>
    <xf numFmtId="0" fontId="4" fillId="9" borderId="10" xfId="0" applyFont="1" applyFill="1" applyBorder="1" applyAlignment="1">
      <alignment horizontal="center" vertical="center" wrapText="1" readingOrder="1"/>
    </xf>
    <xf numFmtId="0" fontId="4" fillId="7" borderId="18" xfId="0" applyFont="1" applyFill="1" applyBorder="1" applyAlignment="1">
      <alignment horizontal="center" vertical="center" wrapText="1" readingOrder="1"/>
    </xf>
    <xf numFmtId="0" fontId="4" fillId="8" borderId="18" xfId="0" applyFont="1" applyFill="1" applyBorder="1" applyAlignment="1">
      <alignment horizontal="center" vertical="center" wrapText="1" readingOrder="1"/>
    </xf>
    <xf numFmtId="0" fontId="4" fillId="9" borderId="18" xfId="0" applyFont="1" applyFill="1" applyBorder="1" applyAlignment="1">
      <alignment horizontal="center" vertical="center" wrapText="1" readingOrder="1"/>
    </xf>
    <xf numFmtId="0" fontId="6" fillId="2" borderId="23" xfId="0" applyFont="1" applyFill="1" applyBorder="1" applyAlignment="1">
      <alignment horizontal="center" vertical="center" wrapText="1" readingOrder="1"/>
    </xf>
    <xf numFmtId="0" fontId="3" fillId="3" borderId="24" xfId="0" applyFont="1" applyFill="1" applyBorder="1" applyAlignment="1">
      <alignment horizontal="center" vertical="center" wrapText="1" readingOrder="1"/>
    </xf>
    <xf numFmtId="0" fontId="3" fillId="3" borderId="26" xfId="0" applyFont="1" applyFill="1" applyBorder="1" applyAlignment="1">
      <alignment horizontal="center" vertical="center" wrapText="1" readingOrder="1"/>
    </xf>
    <xf numFmtId="0" fontId="3" fillId="0" borderId="25" xfId="0" applyFont="1" applyBorder="1" applyAlignment="1">
      <alignment horizontal="center" vertical="center" wrapText="1" readingOrder="1"/>
    </xf>
    <xf numFmtId="0" fontId="5" fillId="0" borderId="0" xfId="0" applyFont="1"/>
    <xf numFmtId="0" fontId="7" fillId="0" borderId="0" xfId="0" applyFont="1" applyAlignment="1">
      <alignment horizontal="center"/>
    </xf>
    <xf numFmtId="0" fontId="4" fillId="3" borderId="2" xfId="0" applyFont="1" applyFill="1" applyBorder="1" applyAlignment="1">
      <alignment horizontal="left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left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4" fillId="3" borderId="3" xfId="0" applyFont="1" applyFill="1" applyBorder="1" applyAlignment="1">
      <alignment horizontal="left" vertical="center" wrapText="1" readingOrder="1"/>
    </xf>
    <xf numFmtId="0" fontId="3" fillId="3" borderId="3" xfId="0" applyFont="1" applyFill="1" applyBorder="1" applyAlignment="1">
      <alignment horizontal="center" vertical="center" wrapText="1" readingOrder="1"/>
    </xf>
    <xf numFmtId="0" fontId="3" fillId="4" borderId="5" xfId="0" applyFont="1" applyFill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3" borderId="2" xfId="0" applyFont="1" applyFill="1" applyBorder="1" applyAlignment="1">
      <alignment horizontal="left" vertical="center" wrapText="1" readingOrder="1"/>
    </xf>
    <xf numFmtId="0" fontId="3" fillId="0" borderId="3" xfId="0" applyFont="1" applyBorder="1" applyAlignment="1">
      <alignment horizontal="left" vertical="center" wrapText="1" readingOrder="1"/>
    </xf>
    <xf numFmtId="0" fontId="3" fillId="3" borderId="3" xfId="0" applyFont="1" applyFill="1" applyBorder="1" applyAlignment="1">
      <alignment horizontal="left" vertical="center" wrapText="1" readingOrder="1"/>
    </xf>
    <xf numFmtId="0" fontId="6" fillId="2" borderId="8" xfId="0" applyFont="1" applyFill="1" applyBorder="1" applyAlignment="1">
      <alignment horizontal="center" vertical="center" wrapText="1" readingOrder="1"/>
    </xf>
    <xf numFmtId="0" fontId="6" fillId="2" borderId="9" xfId="0" applyFont="1" applyFill="1" applyBorder="1" applyAlignment="1">
      <alignment horizontal="center" vertical="center" wrapText="1" readingOrder="1"/>
    </xf>
    <xf numFmtId="0" fontId="6" fillId="2" borderId="11" xfId="0" applyFont="1" applyFill="1" applyBorder="1" applyAlignment="1">
      <alignment horizontal="center" vertical="center" wrapText="1" readingOrder="1"/>
    </xf>
    <xf numFmtId="0" fontId="6" fillId="2" borderId="10" xfId="0" applyFont="1" applyFill="1" applyBorder="1" applyAlignment="1">
      <alignment horizontal="center" vertical="center" wrapText="1" readingOrder="1"/>
    </xf>
    <xf numFmtId="0" fontId="4" fillId="10" borderId="10" xfId="0" applyFont="1" applyFill="1" applyBorder="1" applyAlignment="1">
      <alignment horizontal="left" vertical="center" wrapText="1" readingOrder="1"/>
    </xf>
    <xf numFmtId="0" fontId="4" fillId="10" borderId="10" xfId="0" applyFont="1" applyFill="1" applyBorder="1" applyAlignment="1">
      <alignment horizontal="center" vertical="center" wrapText="1" readingOrder="1"/>
    </xf>
    <xf numFmtId="0" fontId="4" fillId="3" borderId="10" xfId="0" applyFont="1" applyFill="1" applyBorder="1" applyAlignment="1">
      <alignment horizontal="left" vertical="center" wrapText="1" readingOrder="1"/>
    </xf>
    <xf numFmtId="0" fontId="4" fillId="3" borderId="10" xfId="0" applyFont="1" applyFill="1" applyBorder="1" applyAlignment="1">
      <alignment horizontal="center" vertical="center" wrapText="1" readingOrder="1"/>
    </xf>
    <xf numFmtId="0" fontId="6" fillId="14" borderId="9" xfId="0" applyFont="1" applyFill="1" applyBorder="1" applyAlignment="1">
      <alignment horizontal="center" vertical="center" wrapText="1" readingOrder="1"/>
    </xf>
    <xf numFmtId="0" fontId="6" fillId="11" borderId="8" xfId="0" applyFont="1" applyFill="1" applyBorder="1" applyAlignment="1">
      <alignment horizontal="left" vertical="center" wrapText="1" readingOrder="1"/>
    </xf>
    <xf numFmtId="0" fontId="6" fillId="11" borderId="9" xfId="0" applyFont="1" applyFill="1" applyBorder="1" applyAlignment="1">
      <alignment horizontal="center" vertical="center" wrapText="1" readingOrder="1"/>
    </xf>
    <xf numFmtId="0" fontId="6" fillId="11" borderId="11" xfId="0" applyFont="1" applyFill="1" applyBorder="1" applyAlignment="1">
      <alignment horizontal="center" vertical="center" wrapText="1" readingOrder="1"/>
    </xf>
    <xf numFmtId="0" fontId="6" fillId="11" borderId="10" xfId="0" applyFont="1" applyFill="1" applyBorder="1" applyAlignment="1">
      <alignment horizontal="center" vertical="center" wrapText="1" readingOrder="1"/>
    </xf>
    <xf numFmtId="0" fontId="4" fillId="16" borderId="10" xfId="0" applyFont="1" applyFill="1" applyBorder="1" applyAlignment="1">
      <alignment horizontal="left" vertical="center" wrapText="1" readingOrder="1"/>
    </xf>
    <xf numFmtId="0" fontId="4" fillId="16" borderId="10" xfId="0" applyFont="1" applyFill="1" applyBorder="1" applyAlignment="1">
      <alignment horizontal="center" vertical="center" wrapText="1" readingOrder="1"/>
    </xf>
    <xf numFmtId="0" fontId="4" fillId="17" borderId="10" xfId="0" applyFont="1" applyFill="1" applyBorder="1" applyAlignment="1">
      <alignment horizontal="left" vertical="center" wrapText="1" readingOrder="1"/>
    </xf>
    <xf numFmtId="0" fontId="4" fillId="17" borderId="10" xfId="0" applyFont="1" applyFill="1" applyBorder="1" applyAlignment="1">
      <alignment horizontal="center" vertical="center" wrapText="1" readingOrder="1"/>
    </xf>
    <xf numFmtId="0" fontId="6" fillId="14" borderId="8" xfId="0" applyFont="1" applyFill="1" applyBorder="1" applyAlignment="1">
      <alignment horizontal="left" vertical="center" wrapText="1" readingOrder="1"/>
    </xf>
    <xf numFmtId="0" fontId="6" fillId="14" borderId="11" xfId="0" applyFont="1" applyFill="1" applyBorder="1" applyAlignment="1">
      <alignment horizontal="center" vertical="center" wrapText="1" readingOrder="1"/>
    </xf>
    <xf numFmtId="0" fontId="6" fillId="14" borderId="10" xfId="0" applyFont="1" applyFill="1" applyBorder="1" applyAlignment="1">
      <alignment horizontal="center" vertical="center" wrapText="1" readingOrder="1"/>
    </xf>
    <xf numFmtId="0" fontId="4" fillId="15" borderId="10" xfId="0" applyFont="1" applyFill="1" applyBorder="1" applyAlignment="1">
      <alignment horizontal="left" vertical="center" wrapText="1" readingOrder="1"/>
    </xf>
    <xf numFmtId="0" fontId="4" fillId="15" borderId="10" xfId="0" applyFont="1" applyFill="1" applyBorder="1" applyAlignment="1">
      <alignment horizontal="center" vertical="center" wrapText="1" readingOrder="1"/>
    </xf>
    <xf numFmtId="0" fontId="8" fillId="15" borderId="10" xfId="0" applyFont="1" applyFill="1" applyBorder="1" applyAlignment="1">
      <alignment horizontal="center" vertical="top" wrapText="1"/>
    </xf>
    <xf numFmtId="0" fontId="3" fillId="18" borderId="32" xfId="0" applyFont="1" applyFill="1" applyBorder="1" applyAlignment="1">
      <alignment horizontal="left" vertical="center" wrapText="1" readingOrder="1"/>
    </xf>
    <xf numFmtId="0" fontId="3" fillId="0" borderId="31" xfId="0" applyFont="1" applyBorder="1" applyAlignment="1">
      <alignment horizontal="left" vertical="center" wrapText="1" readingOrder="1"/>
    </xf>
    <xf numFmtId="0" fontId="3" fillId="0" borderId="31" xfId="0" applyFont="1" applyBorder="1" applyAlignment="1">
      <alignment horizontal="center" vertical="center" wrapText="1" readingOrder="1"/>
    </xf>
    <xf numFmtId="0" fontId="3" fillId="18" borderId="29" xfId="0" applyFont="1" applyFill="1" applyBorder="1" applyAlignment="1">
      <alignment horizontal="left" vertical="center" wrapText="1" readingOrder="1"/>
    </xf>
    <xf numFmtId="0" fontId="3" fillId="0" borderId="29" xfId="0" applyFont="1" applyBorder="1" applyAlignment="1">
      <alignment horizontal="left" vertical="center" wrapText="1" readingOrder="1"/>
    </xf>
    <xf numFmtId="0" fontId="10" fillId="0" borderId="0" xfId="0" applyFont="1"/>
    <xf numFmtId="0" fontId="12" fillId="3" borderId="34" xfId="0" applyFont="1" applyFill="1" applyBorder="1" applyAlignment="1">
      <alignment horizontal="left" vertical="center"/>
    </xf>
    <xf numFmtId="0" fontId="13" fillId="0" borderId="0" xfId="0" applyFont="1"/>
    <xf numFmtId="17" fontId="6" fillId="5" borderId="6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center"/>
    </xf>
    <xf numFmtId="0" fontId="3" fillId="18" borderId="32" xfId="0" applyFont="1" applyFill="1" applyBorder="1" applyAlignment="1">
      <alignment horizontal="center" vertical="center" wrapText="1" readingOrder="1"/>
    </xf>
    <xf numFmtId="0" fontId="3" fillId="0" borderId="30" xfId="0" applyFont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vertical="center" wrapText="1" readingOrder="1"/>
    </xf>
    <xf numFmtId="0" fontId="14" fillId="0" borderId="0" xfId="0" applyFont="1"/>
    <xf numFmtId="0" fontId="15" fillId="0" borderId="0" xfId="0" applyFont="1"/>
    <xf numFmtId="0" fontId="16" fillId="18" borderId="29" xfId="0" applyFont="1" applyFill="1" applyBorder="1" applyAlignment="1">
      <alignment horizontal="left" vertical="top" wrapText="1" readingOrder="1"/>
    </xf>
    <xf numFmtId="0" fontId="2" fillId="0" borderId="35" xfId="0" applyFont="1" applyBorder="1" applyAlignment="1">
      <alignment horizontal="center"/>
    </xf>
    <xf numFmtId="0" fontId="3" fillId="2" borderId="1" xfId="0" applyFont="1" applyFill="1" applyBorder="1" applyAlignment="1">
      <alignment vertical="center" readingOrder="1"/>
    </xf>
    <xf numFmtId="0" fontId="11" fillId="2" borderId="32" xfId="0" applyFont="1" applyFill="1" applyBorder="1" applyAlignment="1">
      <alignment vertical="center" wrapText="1"/>
    </xf>
    <xf numFmtId="0" fontId="3" fillId="18" borderId="30" xfId="0" applyFont="1" applyFill="1" applyBorder="1" applyAlignment="1">
      <alignment vertical="center" wrapText="1" readingOrder="1"/>
    </xf>
    <xf numFmtId="0" fontId="4" fillId="7" borderId="12" xfId="0" applyFont="1" applyFill="1" applyBorder="1" applyAlignment="1">
      <alignment vertical="center" wrapText="1" readingOrder="1"/>
    </xf>
    <xf numFmtId="0" fontId="4" fillId="8" borderId="12" xfId="0" applyFont="1" applyFill="1" applyBorder="1" applyAlignment="1">
      <alignment vertical="center" wrapText="1" readingOrder="1"/>
    </xf>
    <xf numFmtId="0" fontId="4" fillId="9" borderId="12" xfId="0" applyFont="1" applyFill="1" applyBorder="1" applyAlignment="1">
      <alignment vertical="center" wrapText="1" readingOrder="1"/>
    </xf>
    <xf numFmtId="0" fontId="6" fillId="2" borderId="4" xfId="0" applyFont="1" applyFill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left" vertical="center" wrapText="1" readingOrder="1"/>
    </xf>
    <xf numFmtId="0" fontId="3" fillId="6" borderId="16" xfId="0" applyFont="1" applyFill="1" applyBorder="1" applyAlignment="1">
      <alignment horizontal="left" vertical="center" wrapText="1" readingOrder="1"/>
    </xf>
    <xf numFmtId="0" fontId="4" fillId="10" borderId="0" xfId="0" applyFont="1" applyFill="1" applyAlignment="1">
      <alignment horizontal="center" vertical="center" wrapText="1" readingOrder="1"/>
    </xf>
    <xf numFmtId="0" fontId="5" fillId="0" borderId="0" xfId="0" applyFont="1" applyAlignment="1">
      <alignment horizontal="center" vertical="center"/>
    </xf>
    <xf numFmtId="0" fontId="8" fillId="15" borderId="10" xfId="0" applyFont="1" applyFill="1" applyBorder="1" applyAlignment="1">
      <alignment horizontal="center" vertical="center" wrapText="1"/>
    </xf>
    <xf numFmtId="0" fontId="4" fillId="18" borderId="29" xfId="0" applyFont="1" applyFill="1" applyBorder="1" applyAlignment="1">
      <alignment horizontal="center" vertical="center" wrapText="1" readingOrder="1"/>
    </xf>
    <xf numFmtId="0" fontId="3" fillId="0" borderId="0" xfId="0" applyFont="1" applyAlignment="1">
      <alignment horizontal="left" vertical="center" wrapText="1" readingOrder="1"/>
    </xf>
    <xf numFmtId="0" fontId="5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7" fillId="19" borderId="0" xfId="0" applyFont="1" applyFill="1" applyAlignment="1">
      <alignment horizontal="centerContinuous"/>
    </xf>
    <xf numFmtId="0" fontId="7" fillId="0" borderId="0" xfId="0" applyFont="1"/>
    <xf numFmtId="0" fontId="3" fillId="0" borderId="30" xfId="0" applyFont="1" applyBorder="1" applyAlignment="1">
      <alignment vertical="center" wrapText="1" readingOrder="1"/>
    </xf>
    <xf numFmtId="0" fontId="4" fillId="18" borderId="30" xfId="0" applyFont="1" applyFill="1" applyBorder="1" applyAlignment="1">
      <alignment horizontal="center" vertical="center" wrapText="1" readingOrder="1"/>
    </xf>
    <xf numFmtId="0" fontId="14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20" fillId="18" borderId="29" xfId="0" applyFont="1" applyFill="1" applyBorder="1" applyAlignment="1">
      <alignment horizontal="left" vertical="top" wrapText="1" readingOrder="1"/>
    </xf>
    <xf numFmtId="0" fontId="21" fillId="2" borderId="9" xfId="0" applyFont="1" applyFill="1" applyBorder="1" applyAlignment="1">
      <alignment horizontal="center" vertical="center" wrapText="1" readingOrder="1"/>
    </xf>
    <xf numFmtId="0" fontId="24" fillId="0" borderId="0" xfId="0" applyFont="1"/>
    <xf numFmtId="0" fontId="25" fillId="0" borderId="54" xfId="1" applyFont="1" applyFill="1" applyBorder="1" applyAlignment="1">
      <alignment vertical="center" wrapText="1"/>
    </xf>
    <xf numFmtId="0" fontId="25" fillId="0" borderId="55" xfId="1" applyFont="1" applyFill="1" applyBorder="1" applyAlignment="1">
      <alignment horizontal="center" vertical="center" wrapText="1"/>
    </xf>
    <xf numFmtId="0" fontId="25" fillId="0" borderId="56" xfId="1" applyFont="1" applyFill="1" applyBorder="1" applyAlignment="1">
      <alignment horizontal="center" vertical="center" wrapText="1"/>
    </xf>
    <xf numFmtId="0" fontId="25" fillId="23" borderId="57" xfId="1" applyFont="1" applyFill="1" applyBorder="1" applyAlignment="1">
      <alignment horizontal="left" vertical="center"/>
    </xf>
    <xf numFmtId="0" fontId="25" fillId="0" borderId="58" xfId="1" applyFont="1" applyFill="1" applyBorder="1" applyAlignment="1">
      <alignment horizontal="center" vertical="center"/>
    </xf>
    <xf numFmtId="0" fontId="25" fillId="0" borderId="59" xfId="1" applyFont="1" applyFill="1" applyBorder="1" applyAlignment="1">
      <alignment horizontal="center" vertical="center"/>
    </xf>
    <xf numFmtId="0" fontId="25" fillId="23" borderId="60" xfId="1" applyFont="1" applyFill="1" applyBorder="1" applyAlignment="1">
      <alignment horizontal="left" vertical="center"/>
    </xf>
    <xf numFmtId="0" fontId="25" fillId="0" borderId="61" xfId="1" applyFont="1" applyFill="1" applyBorder="1" applyAlignment="1">
      <alignment horizontal="center" vertical="center"/>
    </xf>
    <xf numFmtId="0" fontId="25" fillId="0" borderId="62" xfId="1" applyFont="1" applyFill="1" applyBorder="1" applyAlignment="1">
      <alignment horizontal="center" vertical="center"/>
    </xf>
    <xf numFmtId="49" fontId="26" fillId="19" borderId="36" xfId="0" applyNumberFormat="1" applyFont="1" applyFill="1" applyBorder="1" applyAlignment="1">
      <alignment horizontal="center" vertical="center" wrapText="1"/>
    </xf>
    <xf numFmtId="49" fontId="26" fillId="19" borderId="32" xfId="0" applyNumberFormat="1" applyFont="1" applyFill="1" applyBorder="1" applyAlignment="1">
      <alignment horizontal="center" vertical="center" wrapText="1"/>
    </xf>
    <xf numFmtId="49" fontId="26" fillId="19" borderId="32" xfId="0" applyNumberFormat="1" applyFont="1" applyFill="1" applyBorder="1" applyAlignment="1">
      <alignment vertical="center"/>
    </xf>
    <xf numFmtId="49" fontId="26" fillId="19" borderId="32" xfId="0" applyNumberFormat="1" applyFont="1" applyFill="1" applyBorder="1" applyAlignment="1">
      <alignment horizontal="left" vertical="center"/>
    </xf>
    <xf numFmtId="49" fontId="26" fillId="0" borderId="37" xfId="0" applyNumberFormat="1" applyFont="1" applyBorder="1" applyAlignment="1">
      <alignment horizontal="center" vertical="center" wrapText="1"/>
    </xf>
    <xf numFmtId="49" fontId="27" fillId="0" borderId="32" xfId="0" applyNumberFormat="1" applyFont="1" applyBorder="1" applyAlignment="1">
      <alignment vertical="center"/>
    </xf>
    <xf numFmtId="49" fontId="27" fillId="0" borderId="32" xfId="0" applyNumberFormat="1" applyFont="1" applyBorder="1" applyAlignment="1">
      <alignment horizontal="left" vertical="center"/>
    </xf>
    <xf numFmtId="0" fontId="27" fillId="0" borderId="49" xfId="0" applyFont="1" applyBorder="1" applyAlignment="1">
      <alignment horizontal="center" vertical="center"/>
    </xf>
    <xf numFmtId="49" fontId="26" fillId="0" borderId="33" xfId="0" applyNumberFormat="1" applyFont="1" applyBorder="1" applyAlignment="1">
      <alignment horizontal="center" vertical="center"/>
    </xf>
    <xf numFmtId="49" fontId="27" fillId="0" borderId="33" xfId="0" applyNumberFormat="1" applyFont="1" applyBorder="1" applyAlignment="1">
      <alignment vertical="center"/>
    </xf>
    <xf numFmtId="49" fontId="27" fillId="0" borderId="33" xfId="0" applyNumberFormat="1" applyFont="1" applyBorder="1" applyAlignment="1">
      <alignment horizontal="left" vertical="center"/>
    </xf>
    <xf numFmtId="49" fontId="26" fillId="0" borderId="32" xfId="0" applyNumberFormat="1" applyFont="1" applyBorder="1" applyAlignment="1">
      <alignment horizontal="center" vertical="center"/>
    </xf>
    <xf numFmtId="49" fontId="26" fillId="0" borderId="40" xfId="0" applyNumberFormat="1" applyFont="1" applyBorder="1" applyAlignment="1">
      <alignment horizontal="center" vertical="center" wrapText="1"/>
    </xf>
    <xf numFmtId="49" fontId="26" fillId="0" borderId="44" xfId="0" applyNumberFormat="1" applyFont="1" applyBorder="1" applyAlignment="1">
      <alignment horizontal="center" vertical="center"/>
    </xf>
    <xf numFmtId="49" fontId="27" fillId="0" borderId="44" xfId="0" applyNumberFormat="1" applyFont="1" applyBorder="1" applyAlignment="1">
      <alignment vertical="center"/>
    </xf>
    <xf numFmtId="49" fontId="27" fillId="0" borderId="44" xfId="0" applyNumberFormat="1" applyFont="1" applyBorder="1" applyAlignment="1">
      <alignment horizontal="left" vertical="center"/>
    </xf>
    <xf numFmtId="0" fontId="26" fillId="0" borderId="45" xfId="0" applyFont="1" applyBorder="1" applyAlignment="1">
      <alignment horizontal="center" vertical="center"/>
    </xf>
    <xf numFmtId="49" fontId="26" fillId="19" borderId="41" xfId="0" applyNumberFormat="1" applyFont="1" applyFill="1" applyBorder="1" applyAlignment="1">
      <alignment horizontal="center" vertical="center" wrapText="1"/>
    </xf>
    <xf numFmtId="49" fontId="26" fillId="19" borderId="42" xfId="0" applyNumberFormat="1" applyFont="1" applyFill="1" applyBorder="1" applyAlignment="1">
      <alignment horizontal="center" vertical="center" wrapText="1"/>
    </xf>
    <xf numFmtId="49" fontId="26" fillId="19" borderId="42" xfId="0" applyNumberFormat="1" applyFont="1" applyFill="1" applyBorder="1" applyAlignment="1">
      <alignment vertical="center"/>
    </xf>
    <xf numFmtId="49" fontId="26" fillId="19" borderId="42" xfId="0" applyNumberFormat="1" applyFont="1" applyFill="1" applyBorder="1" applyAlignment="1">
      <alignment horizontal="left" vertical="center"/>
    </xf>
    <xf numFmtId="0" fontId="27" fillId="19" borderId="50" xfId="0" applyFont="1" applyFill="1" applyBorder="1" applyAlignment="1">
      <alignment horizontal="center" vertical="center"/>
    </xf>
    <xf numFmtId="49" fontId="26" fillId="0" borderId="38" xfId="0" applyNumberFormat="1" applyFont="1" applyBorder="1" applyAlignment="1">
      <alignment horizontal="center" vertical="center"/>
    </xf>
    <xf numFmtId="0" fontId="28" fillId="0" borderId="49" xfId="0" applyFont="1" applyBorder="1" applyAlignment="1">
      <alignment horizontal="center" vertical="center"/>
    </xf>
    <xf numFmtId="49" fontId="26" fillId="0" borderId="43" xfId="0" applyNumberFormat="1" applyFont="1" applyBorder="1" applyAlignment="1">
      <alignment horizontal="center" vertical="center"/>
    </xf>
    <xf numFmtId="49" fontId="26" fillId="0" borderId="39" xfId="0" applyNumberFormat="1" applyFont="1" applyBorder="1" applyAlignment="1">
      <alignment vertical="center" wrapText="1"/>
    </xf>
    <xf numFmtId="49" fontId="26" fillId="0" borderId="46" xfId="0" applyNumberFormat="1" applyFont="1" applyBorder="1" applyAlignment="1">
      <alignment horizontal="center" vertical="center" wrapText="1"/>
    </xf>
    <xf numFmtId="49" fontId="26" fillId="0" borderId="47" xfId="0" applyNumberFormat="1" applyFont="1" applyBorder="1" applyAlignment="1">
      <alignment horizontal="center" vertical="center"/>
    </xf>
    <xf numFmtId="49" fontId="27" fillId="0" borderId="47" xfId="0" applyNumberFormat="1" applyFont="1" applyBorder="1" applyAlignment="1">
      <alignment vertical="center"/>
    </xf>
    <xf numFmtId="49" fontId="27" fillId="0" borderId="47" xfId="0" applyNumberFormat="1" applyFont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30" fillId="0" borderId="20" xfId="0" applyFont="1" applyBorder="1" applyAlignment="1">
      <alignment horizontal="center" vertical="center" wrapText="1"/>
    </xf>
    <xf numFmtId="0" fontId="31" fillId="0" borderId="21" xfId="0" applyFont="1" applyBorder="1" applyAlignment="1">
      <alignment horizontal="center" vertical="center" wrapText="1" readingOrder="1"/>
    </xf>
    <xf numFmtId="0" fontId="30" fillId="0" borderId="19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 readingOrder="1"/>
    </xf>
    <xf numFmtId="0" fontId="30" fillId="0" borderId="63" xfId="0" applyFont="1" applyBorder="1" applyAlignment="1">
      <alignment horizontal="center" vertical="center" wrapText="1"/>
    </xf>
    <xf numFmtId="0" fontId="32" fillId="0" borderId="64" xfId="0" applyFont="1" applyBorder="1" applyAlignment="1">
      <alignment horizontal="center" vertical="center" wrapText="1" readingOrder="1"/>
    </xf>
    <xf numFmtId="0" fontId="27" fillId="0" borderId="0" xfId="0" applyFont="1" applyAlignment="1">
      <alignment horizontal="center" vertical="center"/>
    </xf>
    <xf numFmtId="0" fontId="33" fillId="23" borderId="57" xfId="1" applyFont="1" applyFill="1" applyBorder="1" applyAlignment="1">
      <alignment horizontal="left" vertical="center"/>
    </xf>
    <xf numFmtId="0" fontId="33" fillId="0" borderId="58" xfId="1" applyFont="1" applyFill="1" applyBorder="1" applyAlignment="1">
      <alignment horizontal="center" vertical="center"/>
    </xf>
    <xf numFmtId="0" fontId="33" fillId="0" borderId="59" xfId="1" applyFont="1" applyFill="1" applyBorder="1" applyAlignment="1">
      <alignment horizontal="center" vertical="center"/>
    </xf>
    <xf numFmtId="4" fontId="4" fillId="0" borderId="7" xfId="0" applyNumberFormat="1" applyFont="1" applyBorder="1" applyAlignment="1">
      <alignment horizontal="center" vertical="center" wrapText="1"/>
    </xf>
    <xf numFmtId="4" fontId="3" fillId="3" borderId="7" xfId="0" applyNumberFormat="1" applyFont="1" applyFill="1" applyBorder="1" applyAlignment="1">
      <alignment horizontal="center" vertical="center" wrapText="1"/>
    </xf>
    <xf numFmtId="0" fontId="17" fillId="20" borderId="2" xfId="0" applyFont="1" applyFill="1" applyBorder="1" applyAlignment="1">
      <alignment horizontal="center" wrapText="1" readingOrder="1"/>
    </xf>
    <xf numFmtId="0" fontId="17" fillId="0" borderId="34" xfId="0" applyFont="1" applyBorder="1" applyAlignment="1">
      <alignment horizontal="center" wrapText="1" readingOrder="1"/>
    </xf>
    <xf numFmtId="0" fontId="17" fillId="20" borderId="34" xfId="0" applyFont="1" applyFill="1" applyBorder="1" applyAlignment="1">
      <alignment horizontal="center" wrapText="1" readingOrder="1"/>
    </xf>
    <xf numFmtId="0" fontId="29" fillId="0" borderId="32" xfId="0" applyFont="1" applyBorder="1" applyAlignment="1">
      <alignment horizontal="center"/>
    </xf>
    <xf numFmtId="0" fontId="29" fillId="0" borderId="42" xfId="0" applyFont="1" applyBorder="1" applyAlignment="1">
      <alignment horizontal="center"/>
    </xf>
    <xf numFmtId="0" fontId="33" fillId="23" borderId="65" xfId="0" applyFont="1" applyFill="1" applyBorder="1" applyAlignment="1">
      <alignment horizontal="left" vertical="center"/>
    </xf>
    <xf numFmtId="0" fontId="33" fillId="0" borderId="65" xfId="0" applyFont="1" applyBorder="1" applyAlignment="1">
      <alignment horizontal="center" vertical="center"/>
    </xf>
    <xf numFmtId="0" fontId="17" fillId="20" borderId="2" xfId="0" applyFont="1" applyFill="1" applyBorder="1" applyAlignment="1">
      <alignment wrapText="1" readingOrder="1"/>
    </xf>
    <xf numFmtId="0" fontId="17" fillId="0" borderId="34" xfId="0" applyFont="1" applyBorder="1" applyAlignment="1">
      <alignment wrapText="1" readingOrder="1"/>
    </xf>
    <xf numFmtId="0" fontId="17" fillId="20" borderId="34" xfId="0" applyFont="1" applyFill="1" applyBorder="1" applyAlignment="1">
      <alignment wrapText="1" readingOrder="1"/>
    </xf>
    <xf numFmtId="0" fontId="17" fillId="20" borderId="24" xfId="0" applyFont="1" applyFill="1" applyBorder="1" applyAlignment="1">
      <alignment wrapText="1" readingOrder="1"/>
    </xf>
    <xf numFmtId="0" fontId="34" fillId="24" borderId="69" xfId="0" applyFont="1" applyFill="1" applyBorder="1"/>
    <xf numFmtId="0" fontId="34" fillId="0" borderId="40" xfId="0" applyFont="1" applyBorder="1"/>
    <xf numFmtId="0" fontId="35" fillId="0" borderId="32" xfId="0" applyFont="1" applyBorder="1"/>
    <xf numFmtId="0" fontId="35" fillId="0" borderId="42" xfId="0" applyFont="1" applyBorder="1"/>
    <xf numFmtId="0" fontId="36" fillId="0" borderId="42" xfId="0" applyFont="1" applyBorder="1"/>
    <xf numFmtId="0" fontId="27" fillId="0" borderId="5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9" fontId="26" fillId="19" borderId="0" xfId="0" applyNumberFormat="1" applyFont="1" applyFill="1" applyAlignment="1">
      <alignment horizontal="center" vertical="center" wrapText="1"/>
    </xf>
    <xf numFmtId="49" fontId="26" fillId="19" borderId="0" xfId="0" applyNumberFormat="1" applyFont="1" applyFill="1" applyAlignment="1">
      <alignment vertical="center"/>
    </xf>
    <xf numFmtId="49" fontId="26" fillId="19" borderId="0" xfId="0" applyNumberFormat="1" applyFont="1" applyFill="1" applyAlignment="1">
      <alignment horizontal="left" vertical="center"/>
    </xf>
    <xf numFmtId="0" fontId="27" fillId="19" borderId="0" xfId="0" applyFont="1" applyFill="1" applyAlignment="1">
      <alignment horizontal="center" vertical="center"/>
    </xf>
    <xf numFmtId="49" fontId="26" fillId="0" borderId="0" xfId="0" applyNumberFormat="1" applyFont="1" applyAlignment="1">
      <alignment horizontal="center" vertical="center" wrapText="1"/>
    </xf>
    <xf numFmtId="49" fontId="27" fillId="0" borderId="0" xfId="0" applyNumberFormat="1" applyFont="1" applyAlignment="1">
      <alignment vertical="center"/>
    </xf>
    <xf numFmtId="49" fontId="27" fillId="0" borderId="0" xfId="0" applyNumberFormat="1" applyFont="1" applyAlignment="1">
      <alignment horizontal="left" vertical="center"/>
    </xf>
    <xf numFmtId="49" fontId="26" fillId="0" borderId="0" xfId="0" applyNumberFormat="1" applyFont="1" applyAlignment="1">
      <alignment horizontal="center" vertical="center"/>
    </xf>
    <xf numFmtId="0" fontId="34" fillId="0" borderId="70" xfId="0" applyFont="1" applyBorder="1"/>
    <xf numFmtId="0" fontId="35" fillId="0" borderId="71" xfId="0" applyFont="1" applyBorder="1"/>
    <xf numFmtId="0" fontId="35" fillId="0" borderId="35" xfId="0" applyFont="1" applyBorder="1"/>
    <xf numFmtId="0" fontId="36" fillId="0" borderId="35" xfId="0" applyFont="1" applyBorder="1"/>
    <xf numFmtId="49" fontId="27" fillId="0" borderId="41" xfId="0" applyNumberFormat="1" applyFont="1" applyBorder="1" applyAlignment="1">
      <alignment horizontal="left" vertical="center"/>
    </xf>
    <xf numFmtId="0" fontId="34" fillId="24" borderId="72" xfId="0" applyFont="1" applyFill="1" applyBorder="1"/>
    <xf numFmtId="49" fontId="26" fillId="0" borderId="73" xfId="0" applyNumberFormat="1" applyFont="1" applyBorder="1" applyAlignment="1">
      <alignment horizontal="center" vertical="center" wrapText="1"/>
    </xf>
    <xf numFmtId="49" fontId="26" fillId="0" borderId="74" xfId="0" applyNumberFormat="1" applyFont="1" applyBorder="1" applyAlignment="1">
      <alignment horizontal="center" vertical="center" wrapText="1"/>
    </xf>
    <xf numFmtId="49" fontId="26" fillId="0" borderId="75" xfId="0" applyNumberFormat="1" applyFont="1" applyBorder="1" applyAlignment="1">
      <alignment horizontal="center" vertical="center"/>
    </xf>
    <xf numFmtId="49" fontId="27" fillId="0" borderId="75" xfId="0" applyNumberFormat="1" applyFont="1" applyBorder="1" applyAlignment="1">
      <alignment vertical="center"/>
    </xf>
    <xf numFmtId="0" fontId="3" fillId="7" borderId="8" xfId="0" applyFont="1" applyFill="1" applyBorder="1" applyAlignment="1">
      <alignment vertical="center" wrapText="1" readingOrder="1"/>
    </xf>
    <xf numFmtId="0" fontId="3" fillId="7" borderId="9" xfId="0" applyFont="1" applyFill="1" applyBorder="1" applyAlignment="1">
      <alignment vertical="center" wrapText="1" readingOrder="1"/>
    </xf>
    <xf numFmtId="0" fontId="3" fillId="8" borderId="8" xfId="0" applyFont="1" applyFill="1" applyBorder="1" applyAlignment="1">
      <alignment vertical="center" wrapText="1" readingOrder="1"/>
    </xf>
    <xf numFmtId="0" fontId="3" fillId="8" borderId="9" xfId="0" applyFont="1" applyFill="1" applyBorder="1" applyAlignment="1">
      <alignment vertical="center" wrapText="1" readingOrder="1"/>
    </xf>
    <xf numFmtId="0" fontId="3" fillId="9" borderId="8" xfId="0" applyFont="1" applyFill="1" applyBorder="1" applyAlignment="1">
      <alignment vertical="center" wrapText="1" readingOrder="1"/>
    </xf>
    <xf numFmtId="0" fontId="3" fillId="9" borderId="9" xfId="0" applyFont="1" applyFill="1" applyBorder="1" applyAlignment="1">
      <alignment vertical="center" wrapText="1" readingOrder="1"/>
    </xf>
    <xf numFmtId="0" fontId="3" fillId="6" borderId="14" xfId="0" applyFont="1" applyFill="1" applyBorder="1" applyAlignment="1">
      <alignment vertical="center" wrapText="1" readingOrder="1"/>
    </xf>
    <xf numFmtId="0" fontId="3" fillId="6" borderId="15" xfId="0" applyFont="1" applyFill="1" applyBorder="1" applyAlignment="1">
      <alignment vertical="center" wrapText="1" readingOrder="1"/>
    </xf>
    <xf numFmtId="0" fontId="26" fillId="19" borderId="49" xfId="0" applyFont="1" applyFill="1" applyBorder="1" applyAlignment="1">
      <alignment horizontal="center" vertical="center"/>
    </xf>
    <xf numFmtId="0" fontId="26" fillId="19" borderId="50" xfId="0" applyFont="1" applyFill="1" applyBorder="1" applyAlignment="1">
      <alignment horizontal="center" vertical="center"/>
    </xf>
    <xf numFmtId="3" fontId="4" fillId="3" borderId="7" xfId="0" applyNumberFormat="1" applyFont="1" applyFill="1" applyBorder="1" applyAlignment="1">
      <alignment horizontal="center" vertical="center" wrapText="1"/>
    </xf>
    <xf numFmtId="3" fontId="18" fillId="20" borderId="51" xfId="0" applyNumberFormat="1" applyFont="1" applyFill="1" applyBorder="1" applyAlignment="1">
      <alignment horizontal="center" wrapText="1"/>
    </xf>
    <xf numFmtId="0" fontId="18" fillId="20" borderId="66" xfId="0" applyFont="1" applyFill="1" applyBorder="1" applyAlignment="1">
      <alignment horizontal="center" wrapText="1" readingOrder="1"/>
    </xf>
    <xf numFmtId="0" fontId="18" fillId="0" borderId="67" xfId="0" applyFont="1" applyBorder="1" applyAlignment="1">
      <alignment horizontal="center" wrapText="1" readingOrder="1"/>
    </xf>
    <xf numFmtId="0" fontId="17" fillId="20" borderId="67" xfId="0" applyFont="1" applyFill="1" applyBorder="1" applyAlignment="1">
      <alignment horizontal="center" wrapText="1" readingOrder="1"/>
    </xf>
    <xf numFmtId="0" fontId="37" fillId="2" borderId="8" xfId="0" applyFont="1" applyFill="1" applyBorder="1" applyAlignment="1">
      <alignment horizontal="center" vertical="center" wrapText="1" readingOrder="1"/>
    </xf>
    <xf numFmtId="0" fontId="37" fillId="2" borderId="9" xfId="0" applyFont="1" applyFill="1" applyBorder="1" applyAlignment="1">
      <alignment horizontal="center" vertical="center" wrapText="1" readingOrder="1"/>
    </xf>
    <xf numFmtId="0" fontId="37" fillId="2" borderId="11" xfId="0" applyFont="1" applyFill="1" applyBorder="1" applyAlignment="1">
      <alignment horizontal="center" vertical="center" wrapText="1" readingOrder="1"/>
    </xf>
    <xf numFmtId="0" fontId="37" fillId="2" borderId="10" xfId="0" applyFont="1" applyFill="1" applyBorder="1" applyAlignment="1">
      <alignment horizontal="center" vertical="center" wrapText="1" readingOrder="1"/>
    </xf>
    <xf numFmtId="0" fontId="38" fillId="21" borderId="10" xfId="0" applyFont="1" applyFill="1" applyBorder="1" applyAlignment="1">
      <alignment horizontal="center" vertical="center" wrapText="1" readingOrder="1"/>
    </xf>
    <xf numFmtId="0" fontId="38" fillId="21" borderId="11" xfId="0" applyFont="1" applyFill="1" applyBorder="1" applyAlignment="1">
      <alignment horizontal="center" vertical="center" wrapText="1" readingOrder="1"/>
    </xf>
    <xf numFmtId="0" fontId="38" fillId="20" borderId="52" xfId="0" applyFont="1" applyFill="1" applyBorder="1" applyAlignment="1">
      <alignment horizontal="center" vertical="center" wrapText="1" readingOrder="1"/>
    </xf>
    <xf numFmtId="0" fontId="38" fillId="20" borderId="68" xfId="0" applyFont="1" applyFill="1" applyBorder="1" applyAlignment="1">
      <alignment horizontal="center" vertical="center" wrapText="1" readingOrder="1"/>
    </xf>
    <xf numFmtId="0" fontId="38" fillId="21" borderId="68" xfId="0" applyFont="1" applyFill="1" applyBorder="1" applyAlignment="1">
      <alignment horizontal="center" vertical="center" wrapText="1" readingOrder="1"/>
    </xf>
    <xf numFmtId="0" fontId="38" fillId="21" borderId="52" xfId="0" applyFont="1" applyFill="1" applyBorder="1" applyAlignment="1">
      <alignment horizontal="center" vertical="center" wrapText="1" readingOrder="1"/>
    </xf>
    <xf numFmtId="0" fontId="10" fillId="0" borderId="0" xfId="0" applyFont="1" applyAlignment="1">
      <alignment horizontal="center"/>
    </xf>
    <xf numFmtId="2" fontId="10" fillId="0" borderId="0" xfId="0" applyNumberFormat="1" applyFont="1"/>
    <xf numFmtId="0" fontId="37" fillId="11" borderId="27" xfId="0" applyFont="1" applyFill="1" applyBorder="1" applyAlignment="1">
      <alignment horizontal="center" vertical="center" wrapText="1" readingOrder="1"/>
    </xf>
    <xf numFmtId="0" fontId="37" fillId="11" borderId="27" xfId="0" applyFont="1" applyFill="1" applyBorder="1" applyAlignment="1">
      <alignment horizontal="left" vertical="center" wrapText="1" readingOrder="1"/>
    </xf>
    <xf numFmtId="0" fontId="37" fillId="11" borderId="28" xfId="0" applyFont="1" applyFill="1" applyBorder="1" applyAlignment="1">
      <alignment horizontal="center" vertical="center" wrapText="1" readingOrder="1"/>
    </xf>
    <xf numFmtId="0" fontId="39" fillId="12" borderId="28" xfId="0" applyFont="1" applyFill="1" applyBorder="1" applyAlignment="1">
      <alignment horizontal="center" vertical="center" wrapText="1" readingOrder="1"/>
    </xf>
    <xf numFmtId="4" fontId="39" fillId="12" borderId="28" xfId="0" applyNumberFormat="1" applyFont="1" applyFill="1" applyBorder="1" applyAlignment="1">
      <alignment horizontal="center" vertical="center" wrapText="1" readingOrder="1"/>
    </xf>
    <xf numFmtId="164" fontId="39" fillId="12" borderId="28" xfId="0" applyNumberFormat="1" applyFont="1" applyFill="1" applyBorder="1" applyAlignment="1">
      <alignment horizontal="center" vertical="center" wrapText="1" readingOrder="1"/>
    </xf>
    <xf numFmtId="0" fontId="37" fillId="11" borderId="12" xfId="0" applyFont="1" applyFill="1" applyBorder="1" applyAlignment="1">
      <alignment horizontal="center" vertical="center" wrapText="1" readingOrder="1"/>
    </xf>
    <xf numFmtId="0" fontId="39" fillId="13" borderId="12" xfId="0" applyFont="1" applyFill="1" applyBorder="1" applyAlignment="1">
      <alignment horizontal="center" vertical="center" wrapText="1" readingOrder="1"/>
    </xf>
    <xf numFmtId="4" fontId="39" fillId="13" borderId="12" xfId="0" applyNumberFormat="1" applyFont="1" applyFill="1" applyBorder="1" applyAlignment="1">
      <alignment horizontal="center" vertical="center" wrapText="1" readingOrder="1"/>
    </xf>
    <xf numFmtId="164" fontId="39" fillId="13" borderId="12" xfId="0" applyNumberFormat="1" applyFont="1" applyFill="1" applyBorder="1" applyAlignment="1">
      <alignment horizontal="center" vertical="center" wrapText="1" readingOrder="1"/>
    </xf>
    <xf numFmtId="0" fontId="10" fillId="0" borderId="0" xfId="0" applyFont="1" applyAlignment="1">
      <alignment horizontal="center" vertical="center"/>
    </xf>
    <xf numFmtId="0" fontId="37" fillId="14" borderId="8" xfId="0" applyFont="1" applyFill="1" applyBorder="1" applyAlignment="1">
      <alignment horizontal="center" vertical="center" wrapText="1" readingOrder="1"/>
    </xf>
    <xf numFmtId="0" fontId="37" fillId="14" borderId="9" xfId="0" applyFont="1" applyFill="1" applyBorder="1" applyAlignment="1">
      <alignment horizontal="center" vertical="center" wrapText="1" readingOrder="1"/>
    </xf>
    <xf numFmtId="0" fontId="37" fillId="14" borderId="9" xfId="0" applyFont="1" applyFill="1" applyBorder="1" applyAlignment="1">
      <alignment horizontal="left" vertical="center" wrapText="1" readingOrder="1"/>
    </xf>
    <xf numFmtId="0" fontId="37" fillId="14" borderId="11" xfId="0" applyFont="1" applyFill="1" applyBorder="1" applyAlignment="1">
      <alignment horizontal="left" vertical="center" wrapText="1" readingOrder="1"/>
    </xf>
    <xf numFmtId="0" fontId="37" fillId="14" borderId="12" xfId="0" applyFont="1" applyFill="1" applyBorder="1" applyAlignment="1">
      <alignment horizontal="center" vertical="center" wrapText="1" readingOrder="1"/>
    </xf>
    <xf numFmtId="0" fontId="39" fillId="15" borderId="13" xfId="0" applyFont="1" applyFill="1" applyBorder="1" applyAlignment="1">
      <alignment horizontal="center" vertical="center" wrapText="1" readingOrder="1"/>
    </xf>
    <xf numFmtId="0" fontId="30" fillId="25" borderId="0" xfId="0" applyFont="1" applyFill="1"/>
    <xf numFmtId="0" fontId="40" fillId="25" borderId="0" xfId="0" applyFont="1" applyFill="1" applyAlignment="1">
      <alignment horizontal="center" vertical="center"/>
    </xf>
  </cellXfs>
  <cellStyles count="2">
    <cellStyle name="Normal" xfId="0" builtinId="0"/>
    <cellStyle name="Salida" xfId="1" builtinId="21"/>
  </cellStyles>
  <dxfs count="13">
    <dxf>
      <font>
        <sz val="14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family val="2"/>
        <scheme val="maj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font>
        <sz val="14"/>
      </font>
      <fill>
        <patternFill patternType="none"/>
      </fill>
    </dxf>
    <dxf>
      <font>
        <sz val="14"/>
        <color rgb="FF000000"/>
      </font>
      <fill>
        <patternFill patternType="solid">
          <fgColor indexed="64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 Light"/>
        <family val="2"/>
        <scheme val="none"/>
      </font>
      <fill>
        <patternFill patternType="none">
          <fgColor rgb="FFF2F2F2"/>
          <bgColor indexed="65"/>
        </patternFill>
      </fill>
      <alignment horizontal="center" vertical="center" textRotation="0" wrapText="0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 Light"/>
        <family val="2"/>
        <scheme val="none"/>
      </font>
      <fill>
        <patternFill patternType="none">
          <fgColor rgb="FFF2F2F2"/>
          <bgColor indexed="65"/>
        </patternFill>
      </fill>
      <alignment horizontal="center" vertical="center" textRotation="0" wrapText="0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 Light"/>
        <family val="2"/>
        <scheme val="none"/>
      </font>
      <fill>
        <patternFill patternType="none">
          <fgColor rgb="FFF2F2F2"/>
          <bgColor indexed="65"/>
        </patternFill>
      </fill>
      <alignment horizontal="center" vertical="center" textRotation="0" wrapText="0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 Light"/>
        <family val="2"/>
        <scheme val="none"/>
      </font>
      <fill>
        <patternFill patternType="solid">
          <fgColor indexed="64"/>
          <bgColor theme="2"/>
        </patternFill>
      </fill>
      <alignment horizontal="left" vertical="center" textRotation="0" wrapText="0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 Light"/>
        <family val="2"/>
        <scheme val="none"/>
      </font>
      <fill>
        <patternFill patternType="none">
          <fgColor rgb="FFF2F2F2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 Light"/>
        <family val="2"/>
        <scheme val="none"/>
      </font>
      <fill>
        <patternFill patternType="none">
          <fgColor rgb="FFF2F2F2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F610EF-6817-4B2E-B656-E8D570C0908B}" name="Tabla1" displayName="Tabla1" ref="B150:E156" totalsRowShown="0" headerRowDxfId="12" dataDxfId="11" headerRowBorderDxfId="10" totalsRowBorderDxfId="9">
  <autoFilter ref="B150:E156" xr:uid="{C0F610EF-6817-4B2E-B656-E8D570C0908B}"/>
  <tableColumns count="4">
    <tableColumn id="1" xr3:uid="{BB7A4C98-26BC-45B1-AA9E-174EB71BBBE8}" name="ESTADO" dataDxfId="8"/>
    <tableColumn id="2" xr3:uid="{9831EEBE-394E-4024-8502-36803BEFC3A9}" name="DCCI" dataDxfId="7"/>
    <tableColumn id="3" xr3:uid="{F9C66D03-3D51-49C0-BA34-E9515E02A369}" name="DCCII" dataDxfId="6"/>
    <tableColumn id="4" xr3:uid="{C65AA2B4-6378-4E31-B4C1-5E60BAEAFB5F}" name="DCP" dataDxfId="5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29EFC3-58A2-4431-8B0F-60680F58676D}" name="Tabla2" displayName="Tabla2" ref="B29:C32" totalsRowShown="0" headerRowDxfId="4" dataDxfId="3" tableBorderDxfId="2">
  <autoFilter ref="B29:C32" xr:uid="{4A29EFC3-58A2-4431-8B0F-60680F58676D}"/>
  <tableColumns count="2">
    <tableColumn id="1" xr3:uid="{3999BB60-4785-4A8A-8BB8-25B1BCAE28BC}" name="PROGRAMACIÓN NOV" dataDxfId="1"/>
    <tableColumn id="2" xr3:uid="{F732DAB3-91EE-4831-A922-809480FA0AA3}" name="Exp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1E13-4B11-4763-B94D-D97A2305A4A4}">
  <dimension ref="A2:N158"/>
  <sheetViews>
    <sheetView tabSelected="1" topLeftCell="A28" zoomScale="85" zoomScaleNormal="85" workbookViewId="0">
      <pane xSplit="2" topLeftCell="C1" activePane="topRight" state="frozen"/>
      <selection pane="topRight" activeCell="G40" sqref="G40"/>
    </sheetView>
  </sheetViews>
  <sheetFormatPr defaultColWidth="10.85546875" defaultRowHeight="14.45"/>
  <cols>
    <col min="1" max="1" width="10.85546875" style="1"/>
    <col min="2" max="2" width="26.28515625" style="17" customWidth="1"/>
    <col min="3" max="5" width="19.85546875" style="17" customWidth="1"/>
    <col min="6" max="6" width="18.42578125" style="17" customWidth="1"/>
    <col min="7" max="7" width="16" style="17" customWidth="1"/>
    <col min="8" max="8" width="17.85546875" style="17" customWidth="1"/>
    <col min="9" max="9" width="17.7109375" style="17" customWidth="1"/>
    <col min="10" max="10" width="24" style="17" customWidth="1"/>
    <col min="11" max="11" width="17.140625" style="17" customWidth="1"/>
    <col min="12" max="13" width="10.85546875" style="17"/>
    <col min="14" max="14" width="38.5703125" style="17" customWidth="1"/>
    <col min="15" max="17" width="10.85546875" style="17"/>
    <col min="18" max="18" width="33.28515625" style="17" customWidth="1"/>
    <col min="19" max="16384" width="10.85546875" style="17"/>
  </cols>
  <sheetData>
    <row r="2" spans="1:9">
      <c r="B2" s="87" t="s">
        <v>0</v>
      </c>
      <c r="C2" s="87"/>
      <c r="D2" s="87"/>
      <c r="E2" s="87"/>
      <c r="F2" s="88"/>
      <c r="G2" s="88"/>
      <c r="H2" s="88"/>
      <c r="I2" s="88"/>
    </row>
    <row r="4" spans="1:9" ht="15.6">
      <c r="B4" s="86" t="s">
        <v>1</v>
      </c>
      <c r="C4" s="86"/>
      <c r="D4" s="85"/>
      <c r="E4" s="85"/>
    </row>
    <row r="6" spans="1:9" ht="15">
      <c r="A6" s="1">
        <v>1</v>
      </c>
      <c r="B6" s="66"/>
      <c r="C6" s="62" t="s">
        <v>2</v>
      </c>
      <c r="D6" s="62" t="s">
        <v>3</v>
      </c>
      <c r="E6" s="62" t="s">
        <v>4</v>
      </c>
    </row>
    <row r="7" spans="1:9" ht="14.25">
      <c r="B7" s="19" t="s">
        <v>5</v>
      </c>
      <c r="C7" s="155">
        <v>477</v>
      </c>
      <c r="D7" s="20">
        <v>271</v>
      </c>
      <c r="E7" s="148">
        <v>50</v>
      </c>
    </row>
    <row r="8" spans="1:9" ht="14.25">
      <c r="B8" s="21" t="s">
        <v>6</v>
      </c>
      <c r="C8" s="156">
        <v>136</v>
      </c>
      <c r="D8" s="22">
        <v>92</v>
      </c>
      <c r="E8" s="149">
        <v>34</v>
      </c>
    </row>
    <row r="9" spans="1:9" ht="14.25">
      <c r="B9" s="21" t="s">
        <v>7</v>
      </c>
      <c r="C9" s="157">
        <v>4</v>
      </c>
      <c r="D9" s="22">
        <v>5</v>
      </c>
      <c r="E9" s="150"/>
    </row>
    <row r="10" spans="1:9" ht="14.25">
      <c r="B10" s="23" t="s">
        <v>8</v>
      </c>
      <c r="C10" s="24">
        <v>677</v>
      </c>
      <c r="D10" s="24">
        <f>SUM(D7:D9)</f>
        <v>368</v>
      </c>
      <c r="E10" s="150" t="s">
        <v>9</v>
      </c>
    </row>
    <row r="11" spans="1:9" ht="15">
      <c r="B11" s="17" t="s">
        <v>10</v>
      </c>
    </row>
    <row r="12" spans="1:9" ht="15.6">
      <c r="B12" s="86" t="s">
        <v>11</v>
      </c>
      <c r="C12" s="86"/>
      <c r="D12" s="85"/>
      <c r="E12" s="85"/>
    </row>
    <row r="13" spans="1:9">
      <c r="B13" s="18"/>
      <c r="C13" s="18"/>
    </row>
    <row r="14" spans="1:9" ht="58.9" customHeight="1">
      <c r="A14" s="1">
        <v>2</v>
      </c>
      <c r="B14" s="61">
        <v>45536</v>
      </c>
      <c r="C14" s="77" t="s">
        <v>12</v>
      </c>
      <c r="D14" s="77" t="s">
        <v>13</v>
      </c>
      <c r="E14" s="77" t="s">
        <v>14</v>
      </c>
    </row>
    <row r="15" spans="1:9" ht="14.25">
      <c r="B15" s="25" t="s">
        <v>15</v>
      </c>
      <c r="C15" s="197">
        <v>207</v>
      </c>
      <c r="D15" s="195">
        <v>102</v>
      </c>
      <c r="E15" s="196">
        <v>28</v>
      </c>
      <c r="F15" s="17" t="s">
        <v>16</v>
      </c>
    </row>
    <row r="16" spans="1:9" ht="14.25">
      <c r="B16" s="26" t="s">
        <v>17</v>
      </c>
      <c r="C16" s="198" t="s">
        <v>18</v>
      </c>
      <c r="D16" s="146">
        <v>10.1</v>
      </c>
      <c r="E16" s="146">
        <v>5</v>
      </c>
    </row>
    <row r="17" spans="1:14" ht="14.25">
      <c r="B17" s="25" t="s">
        <v>19</v>
      </c>
      <c r="C17" s="199" t="s">
        <v>20</v>
      </c>
      <c r="D17" s="147">
        <f>D15/D16</f>
        <v>10.099009900990099</v>
      </c>
      <c r="E17" s="147">
        <f>E15/E16</f>
        <v>5.6</v>
      </c>
    </row>
    <row r="18" spans="1:14" ht="30">
      <c r="B18" s="91" t="s">
        <v>21</v>
      </c>
      <c r="I18" s="68"/>
    </row>
    <row r="19" spans="1:14" ht="15">
      <c r="B19" s="67"/>
      <c r="I19" s="68"/>
    </row>
    <row r="20" spans="1:14" ht="15.75">
      <c r="B20" s="2" t="s">
        <v>22</v>
      </c>
      <c r="C20" s="58"/>
    </row>
    <row r="21" spans="1:14" ht="15" customHeight="1">
      <c r="A21" s="1">
        <v>3</v>
      </c>
      <c r="B21" s="191" t="s">
        <v>23</v>
      </c>
      <c r="C21" s="192"/>
      <c r="D21" s="192"/>
      <c r="E21" s="192"/>
      <c r="F21" s="192"/>
      <c r="G21" s="192"/>
      <c r="H21" s="192"/>
    </row>
    <row r="22" spans="1:14" ht="15">
      <c r="B22" s="3" t="s">
        <v>24</v>
      </c>
      <c r="C22" s="185" t="s">
        <v>2</v>
      </c>
      <c r="D22" s="186"/>
      <c r="E22" s="187" t="s">
        <v>3</v>
      </c>
      <c r="F22" s="188"/>
      <c r="G22" s="189" t="s">
        <v>4</v>
      </c>
      <c r="H22" s="190"/>
    </row>
    <row r="23" spans="1:14" ht="30" customHeight="1">
      <c r="B23" s="3" t="s">
        <v>25</v>
      </c>
      <c r="C23" s="4" t="s">
        <v>5</v>
      </c>
      <c r="D23" s="4" t="s">
        <v>26</v>
      </c>
      <c r="E23" s="5" t="s">
        <v>5</v>
      </c>
      <c r="F23" s="5" t="s">
        <v>27</v>
      </c>
      <c r="G23" s="6" t="s">
        <v>5</v>
      </c>
      <c r="H23" s="6" t="s">
        <v>28</v>
      </c>
    </row>
    <row r="24" spans="1:14" ht="58.5">
      <c r="B24" s="78" t="s">
        <v>29</v>
      </c>
      <c r="C24" s="74"/>
      <c r="D24" s="74" t="s">
        <v>30</v>
      </c>
      <c r="E24" s="75"/>
      <c r="F24" s="75"/>
      <c r="G24" s="76"/>
      <c r="H24" s="76" t="s">
        <v>31</v>
      </c>
    </row>
    <row r="25" spans="1:14" ht="15.75">
      <c r="B25" s="79" t="s">
        <v>32</v>
      </c>
      <c r="C25" s="7"/>
      <c r="D25" s="7">
        <v>1</v>
      </c>
      <c r="E25" s="8"/>
      <c r="F25" s="8"/>
      <c r="G25" s="9"/>
      <c r="H25" s="9">
        <v>1</v>
      </c>
      <c r="M25" s="2"/>
      <c r="N25" s="58"/>
    </row>
    <row r="26" spans="1:14" ht="14.25">
      <c r="B26" s="79" t="s">
        <v>33</v>
      </c>
      <c r="C26" s="10"/>
      <c r="D26" s="10"/>
      <c r="E26" s="11"/>
      <c r="F26" s="11"/>
      <c r="G26" s="12"/>
      <c r="H26" s="12">
        <v>1</v>
      </c>
    </row>
    <row r="27" spans="1:14" ht="30">
      <c r="B27" s="79" t="s">
        <v>34</v>
      </c>
      <c r="D27" s="17" t="s">
        <v>35</v>
      </c>
    </row>
    <row r="28" spans="1:14" ht="15"/>
    <row r="29" spans="1:14" ht="18.75">
      <c r="B29" s="229" t="s">
        <v>36</v>
      </c>
      <c r="C29" s="230" t="s">
        <v>37</v>
      </c>
    </row>
    <row r="30" spans="1:14" ht="20.25">
      <c r="A30" s="1">
        <v>4</v>
      </c>
      <c r="B30" s="136" t="s">
        <v>2</v>
      </c>
      <c r="C30" s="137">
        <v>210</v>
      </c>
    </row>
    <row r="31" spans="1:14" ht="18">
      <c r="B31" s="138" t="s">
        <v>3</v>
      </c>
      <c r="C31" s="139">
        <v>103</v>
      </c>
    </row>
    <row r="32" spans="1:14" ht="20.25">
      <c r="B32" s="140" t="s">
        <v>4</v>
      </c>
      <c r="C32" s="141">
        <v>21</v>
      </c>
    </row>
    <row r="35" spans="1:9" ht="15.6">
      <c r="B35" s="2" t="s">
        <v>38</v>
      </c>
    </row>
    <row r="36" spans="1:9" ht="27.6">
      <c r="A36" s="1">
        <v>5</v>
      </c>
      <c r="B36" s="13" t="s">
        <v>24</v>
      </c>
      <c r="C36" s="13" t="s">
        <v>39</v>
      </c>
      <c r="D36" s="13" t="s">
        <v>40</v>
      </c>
      <c r="E36" s="13" t="s">
        <v>41</v>
      </c>
      <c r="F36" s="13" t="s">
        <v>42</v>
      </c>
    </row>
    <row r="37" spans="1:9">
      <c r="B37" s="13" t="s">
        <v>2</v>
      </c>
      <c r="C37" s="14"/>
      <c r="D37" s="14"/>
      <c r="E37" s="14"/>
      <c r="F37" s="14"/>
    </row>
    <row r="38" spans="1:9">
      <c r="B38" s="13" t="s">
        <v>3</v>
      </c>
      <c r="C38" s="15"/>
      <c r="D38" s="15"/>
      <c r="E38" s="15"/>
      <c r="F38" s="15"/>
    </row>
    <row r="39" spans="1:9" ht="14.25">
      <c r="B39" s="13" t="s">
        <v>4</v>
      </c>
      <c r="C39" s="16">
        <v>0</v>
      </c>
      <c r="D39" s="16">
        <v>0</v>
      </c>
      <c r="E39" s="16">
        <v>0</v>
      </c>
      <c r="F39" s="16">
        <v>0</v>
      </c>
    </row>
    <row r="40" spans="1:9">
      <c r="B40" s="92"/>
    </row>
    <row r="41" spans="1:9">
      <c r="B41" s="88"/>
    </row>
    <row r="43" spans="1:9" ht="15.6">
      <c r="B43" s="2" t="s">
        <v>43</v>
      </c>
    </row>
    <row r="44" spans="1:9">
      <c r="A44" s="1">
        <v>6</v>
      </c>
      <c r="C44" s="71" t="s">
        <v>2</v>
      </c>
      <c r="F44" s="66" t="s">
        <v>3</v>
      </c>
      <c r="I44" s="71" t="s">
        <v>4</v>
      </c>
    </row>
    <row r="45" spans="1:9" ht="19.5" customHeight="1">
      <c r="B45" s="27" t="s">
        <v>44</v>
      </c>
      <c r="C45" s="20"/>
      <c r="E45" s="27" t="s">
        <v>44</v>
      </c>
      <c r="F45" s="20">
        <v>21</v>
      </c>
      <c r="H45" s="27" t="s">
        <v>44</v>
      </c>
      <c r="I45" s="20">
        <v>0</v>
      </c>
    </row>
    <row r="46" spans="1:9" ht="19.5" customHeight="1">
      <c r="B46" s="28" t="s">
        <v>6</v>
      </c>
      <c r="C46" s="22"/>
      <c r="E46" s="28" t="s">
        <v>6</v>
      </c>
      <c r="F46" s="22"/>
      <c r="H46" s="28" t="s">
        <v>6</v>
      </c>
      <c r="I46" s="22">
        <v>0</v>
      </c>
    </row>
    <row r="47" spans="1:9" ht="19.5" customHeight="1">
      <c r="B47" s="29" t="s">
        <v>45</v>
      </c>
      <c r="C47" s="158">
        <v>33</v>
      </c>
      <c r="E47" s="29" t="s">
        <v>45</v>
      </c>
      <c r="F47" s="24">
        <v>3</v>
      </c>
      <c r="H47" s="29" t="s">
        <v>45</v>
      </c>
      <c r="I47" s="24">
        <v>1</v>
      </c>
    </row>
    <row r="48" spans="1:9" ht="15"/>
    <row r="49" spans="1:7" ht="15"/>
    <row r="50" spans="1:7" ht="15.6">
      <c r="B50" s="2" t="s">
        <v>46</v>
      </c>
    </row>
    <row r="51" spans="1:7" ht="53.25">
      <c r="A51" s="1">
        <v>7</v>
      </c>
      <c r="B51" s="200" t="s">
        <v>47</v>
      </c>
      <c r="C51" s="201" t="s">
        <v>48</v>
      </c>
      <c r="D51" s="201" t="s">
        <v>49</v>
      </c>
      <c r="E51" s="201" t="s">
        <v>50</v>
      </c>
      <c r="F51" s="201" t="s">
        <v>51</v>
      </c>
      <c r="G51" s="202" t="s">
        <v>52</v>
      </c>
    </row>
    <row r="52" spans="1:7" ht="27.75" customHeight="1">
      <c r="B52" s="203" t="s">
        <v>53</v>
      </c>
      <c r="C52" s="204" t="s">
        <v>54</v>
      </c>
      <c r="D52" s="205">
        <v>65</v>
      </c>
      <c r="E52" s="205" t="s">
        <v>55</v>
      </c>
      <c r="F52" s="205" t="s">
        <v>56</v>
      </c>
      <c r="G52" s="205" t="s">
        <v>57</v>
      </c>
    </row>
    <row r="53" spans="1:7" ht="27.75" customHeight="1">
      <c r="B53" s="203" t="s">
        <v>58</v>
      </c>
      <c r="C53" s="206" t="s">
        <v>59</v>
      </c>
      <c r="D53" s="207">
        <v>56</v>
      </c>
      <c r="E53" s="207" t="s">
        <v>55</v>
      </c>
      <c r="F53" s="207" t="s">
        <v>56</v>
      </c>
      <c r="G53" s="208" t="s">
        <v>60</v>
      </c>
    </row>
    <row r="54" spans="1:7" ht="27.75" customHeight="1">
      <c r="B54" s="203" t="s">
        <v>61</v>
      </c>
      <c r="C54" s="209" t="s">
        <v>62</v>
      </c>
      <c r="D54" s="208">
        <v>86</v>
      </c>
      <c r="E54" s="208" t="s">
        <v>63</v>
      </c>
      <c r="F54" s="208" t="s">
        <v>56</v>
      </c>
      <c r="G54" s="208" t="s">
        <v>64</v>
      </c>
    </row>
    <row r="55" spans="1:7" ht="27.75" customHeight="1">
      <c r="B55" s="58"/>
      <c r="C55" s="210"/>
      <c r="D55" s="58"/>
      <c r="E55" s="58"/>
      <c r="F55" s="58"/>
      <c r="G55" s="211"/>
    </row>
    <row r="56" spans="1:7" ht="27.75" customHeight="1">
      <c r="A56" s="1">
        <v>8</v>
      </c>
      <c r="B56" s="212" t="s">
        <v>47</v>
      </c>
      <c r="C56" s="212" t="s">
        <v>48</v>
      </c>
      <c r="D56" s="212" t="s">
        <v>49</v>
      </c>
      <c r="E56" s="212" t="s">
        <v>50</v>
      </c>
      <c r="F56" s="212" t="s">
        <v>51</v>
      </c>
      <c r="G56" s="213" t="s">
        <v>52</v>
      </c>
    </row>
    <row r="57" spans="1:7" ht="27.75" customHeight="1">
      <c r="B57" s="214" t="s">
        <v>65</v>
      </c>
      <c r="C57" s="215" t="s">
        <v>66</v>
      </c>
      <c r="D57" s="216">
        <v>49</v>
      </c>
      <c r="E57" s="216">
        <v>4.9000000000000004</v>
      </c>
      <c r="F57" s="215"/>
      <c r="G57" s="217">
        <f>+D57/E57</f>
        <v>10</v>
      </c>
    </row>
    <row r="58" spans="1:7" ht="27.75" customHeight="1">
      <c r="B58" s="218" t="s">
        <v>67</v>
      </c>
      <c r="C58" s="219" t="s">
        <v>68</v>
      </c>
      <c r="D58" s="220">
        <v>53</v>
      </c>
      <c r="E58" s="220">
        <v>5.2</v>
      </c>
      <c r="F58" s="219"/>
      <c r="G58" s="221">
        <f>+D58/E58</f>
        <v>10.192307692307692</v>
      </c>
    </row>
    <row r="59" spans="1:7" ht="27.75" customHeight="1">
      <c r="B59" s="58"/>
      <c r="C59" s="210"/>
      <c r="D59" s="222"/>
      <c r="E59" s="222"/>
      <c r="F59" s="222"/>
      <c r="G59" s="222"/>
    </row>
    <row r="60" spans="1:7" ht="27.75" customHeight="1">
      <c r="A60" s="1">
        <v>9</v>
      </c>
      <c r="B60" s="223" t="s">
        <v>47</v>
      </c>
      <c r="C60" s="224" t="s">
        <v>48</v>
      </c>
      <c r="D60" s="225" t="s">
        <v>49</v>
      </c>
      <c r="E60" s="225" t="s">
        <v>50</v>
      </c>
      <c r="F60" s="224" t="s">
        <v>51</v>
      </c>
      <c r="G60" s="226" t="s">
        <v>52</v>
      </c>
    </row>
    <row r="61" spans="1:7" ht="27.75" customHeight="1">
      <c r="B61" s="227" t="s">
        <v>69</v>
      </c>
      <c r="C61" s="228" t="s">
        <v>70</v>
      </c>
      <c r="D61" s="228">
        <v>28</v>
      </c>
      <c r="E61" s="228">
        <v>5</v>
      </c>
      <c r="F61" s="228" t="s">
        <v>71</v>
      </c>
      <c r="G61" s="228">
        <v>5.6</v>
      </c>
    </row>
    <row r="62" spans="1:7" ht="14.45" customHeight="1"/>
    <row r="65" spans="1:7" ht="15.6">
      <c r="B65" s="2" t="s">
        <v>72</v>
      </c>
    </row>
    <row r="67" spans="1:7" ht="27.6">
      <c r="A67" s="1">
        <v>10</v>
      </c>
      <c r="B67" s="30" t="s">
        <v>47</v>
      </c>
      <c r="C67" s="31" t="s">
        <v>48</v>
      </c>
      <c r="D67" s="31" t="s">
        <v>73</v>
      </c>
      <c r="E67" s="94" t="s">
        <v>74</v>
      </c>
      <c r="F67" s="31" t="s">
        <v>75</v>
      </c>
      <c r="G67" s="32" t="s">
        <v>51</v>
      </c>
    </row>
    <row r="68" spans="1:7">
      <c r="B68" s="33" t="s">
        <v>53</v>
      </c>
      <c r="C68" s="34" t="s">
        <v>54</v>
      </c>
      <c r="D68" s="35"/>
      <c r="E68" s="35"/>
      <c r="F68" s="35"/>
      <c r="G68" s="35"/>
    </row>
    <row r="69" spans="1:7">
      <c r="B69" s="33" t="s">
        <v>58</v>
      </c>
      <c r="C69" s="36" t="s">
        <v>59</v>
      </c>
      <c r="D69" s="37"/>
      <c r="E69" s="37"/>
      <c r="F69" s="37"/>
      <c r="G69" s="37"/>
    </row>
    <row r="70" spans="1:7" ht="27" customHeight="1">
      <c r="B70" s="33" t="s">
        <v>61</v>
      </c>
      <c r="C70" s="34" t="s">
        <v>62</v>
      </c>
      <c r="D70" s="35"/>
      <c r="E70" s="35"/>
      <c r="F70" s="35"/>
      <c r="G70" s="35"/>
    </row>
    <row r="71" spans="1:7" ht="18.75" customHeight="1">
      <c r="D71" s="80"/>
      <c r="E71" s="81"/>
    </row>
    <row r="73" spans="1:7" ht="27.6">
      <c r="A73" s="1">
        <v>11</v>
      </c>
      <c r="B73" s="39" t="s">
        <v>47</v>
      </c>
      <c r="C73" s="40" t="s">
        <v>48</v>
      </c>
      <c r="D73" s="40" t="s">
        <v>73</v>
      </c>
      <c r="E73" s="40" t="s">
        <v>76</v>
      </c>
      <c r="F73" s="40" t="s">
        <v>77</v>
      </c>
      <c r="G73" s="41" t="s">
        <v>51</v>
      </c>
    </row>
    <row r="74" spans="1:7" ht="30" customHeight="1">
      <c r="B74" s="42" t="s">
        <v>65</v>
      </c>
      <c r="C74" s="43" t="s">
        <v>66</v>
      </c>
      <c r="D74" s="44">
        <v>49</v>
      </c>
      <c r="E74" s="44">
        <v>49</v>
      </c>
      <c r="F74" s="44"/>
      <c r="G74" s="44"/>
    </row>
    <row r="75" spans="1:7" ht="30" customHeight="1">
      <c r="B75" s="42" t="s">
        <v>67</v>
      </c>
      <c r="C75" s="45" t="s">
        <v>78</v>
      </c>
      <c r="D75" s="46">
        <v>53</v>
      </c>
      <c r="E75" s="46">
        <v>53</v>
      </c>
      <c r="F75" s="46"/>
      <c r="G75" s="46"/>
    </row>
    <row r="76" spans="1:7" ht="24.75" customHeight="1">
      <c r="D76" s="81"/>
      <c r="E76" s="81"/>
    </row>
    <row r="78" spans="1:7" ht="27.6">
      <c r="A78" s="1">
        <v>12</v>
      </c>
      <c r="B78" s="47" t="s">
        <v>47</v>
      </c>
      <c r="C78" s="38" t="s">
        <v>48</v>
      </c>
      <c r="D78" s="38" t="s">
        <v>73</v>
      </c>
      <c r="E78" s="38" t="s">
        <v>76</v>
      </c>
      <c r="F78" s="38" t="s">
        <v>79</v>
      </c>
      <c r="G78" s="48" t="s">
        <v>51</v>
      </c>
    </row>
    <row r="79" spans="1:7" ht="44.25" customHeight="1">
      <c r="B79" s="49" t="s">
        <v>69</v>
      </c>
      <c r="C79" s="50" t="s">
        <v>80</v>
      </c>
      <c r="D79" s="51"/>
      <c r="E79" s="51"/>
      <c r="F79" s="82"/>
      <c r="G79" s="52"/>
    </row>
    <row r="82" spans="2:7" ht="15.6">
      <c r="B82" s="70"/>
    </row>
    <row r="83" spans="2:7" ht="15.75">
      <c r="B83" s="63"/>
      <c r="C83" s="63"/>
      <c r="D83" s="63"/>
      <c r="E83" s="63"/>
      <c r="F83" s="63"/>
      <c r="G83" s="63"/>
    </row>
    <row r="84" spans="2:7" ht="44.25" customHeight="1">
      <c r="B84" s="159" t="s">
        <v>81</v>
      </c>
      <c r="C84" s="159" t="s">
        <v>82</v>
      </c>
      <c r="D84" s="165"/>
      <c r="E84" s="165"/>
      <c r="F84" s="165"/>
      <c r="G84" s="166"/>
    </row>
    <row r="85" spans="2:7" ht="18.75">
      <c r="B85" s="160" t="s">
        <v>83</v>
      </c>
      <c r="C85" s="175">
        <v>65</v>
      </c>
      <c r="D85" s="167"/>
      <c r="E85" s="168"/>
      <c r="F85" s="169"/>
      <c r="G85" s="170"/>
    </row>
    <row r="86" spans="2:7" ht="18.75">
      <c r="B86" s="161" t="s">
        <v>84</v>
      </c>
      <c r="C86" s="176">
        <v>13</v>
      </c>
      <c r="D86" s="171"/>
      <c r="E86" s="172"/>
      <c r="F86" s="173"/>
      <c r="G86" s="142"/>
    </row>
    <row r="87" spans="2:7" ht="18.75">
      <c r="B87" s="162" t="s">
        <v>85</v>
      </c>
      <c r="C87" s="177">
        <v>15</v>
      </c>
      <c r="D87" s="171"/>
      <c r="E87" s="172"/>
      <c r="F87" s="173"/>
      <c r="G87" s="142"/>
    </row>
    <row r="88" spans="2:7" ht="18.75">
      <c r="B88" s="162" t="s">
        <v>86</v>
      </c>
      <c r="C88" s="177">
        <v>9</v>
      </c>
      <c r="D88" s="171"/>
      <c r="E88" s="172"/>
      <c r="F88" s="173"/>
      <c r="G88" s="142"/>
    </row>
    <row r="89" spans="2:7" ht="18.75">
      <c r="B89" s="162" t="s">
        <v>87</v>
      </c>
      <c r="C89" s="177">
        <v>10</v>
      </c>
      <c r="D89" s="171"/>
      <c r="E89" s="172"/>
      <c r="F89" s="173"/>
      <c r="G89" s="142"/>
    </row>
    <row r="90" spans="2:7" ht="18.75">
      <c r="B90" s="163" t="s">
        <v>88</v>
      </c>
      <c r="C90" s="178">
        <v>10</v>
      </c>
      <c r="D90" s="174"/>
      <c r="E90" s="172"/>
      <c r="F90" s="173"/>
      <c r="G90" s="142"/>
    </row>
    <row r="91" spans="2:7" ht="18.75">
      <c r="B91" s="163" t="s">
        <v>89</v>
      </c>
      <c r="C91" s="178">
        <v>8</v>
      </c>
      <c r="D91" s="171"/>
      <c r="E91" s="172"/>
      <c r="F91" s="173"/>
      <c r="G91" s="142"/>
    </row>
    <row r="92" spans="2:7" ht="18.75">
      <c r="B92" s="160" t="s">
        <v>90</v>
      </c>
      <c r="C92" s="175">
        <v>86</v>
      </c>
      <c r="D92" s="171"/>
      <c r="E92" s="172"/>
      <c r="F92" s="173"/>
      <c r="G92" s="142"/>
    </row>
    <row r="93" spans="2:7" ht="18.75">
      <c r="B93" s="161" t="s">
        <v>91</v>
      </c>
      <c r="C93" s="176">
        <v>16</v>
      </c>
      <c r="D93" s="171"/>
      <c r="E93" s="172"/>
      <c r="F93" s="173"/>
      <c r="G93" s="142"/>
    </row>
    <row r="94" spans="2:7" ht="18.75">
      <c r="B94" s="162" t="s">
        <v>92</v>
      </c>
      <c r="C94" s="177">
        <v>14</v>
      </c>
      <c r="D94" s="167"/>
      <c r="E94" s="168"/>
      <c r="F94" s="169"/>
      <c r="G94" s="170"/>
    </row>
    <row r="95" spans="2:7" ht="18.75">
      <c r="B95" s="162" t="s">
        <v>93</v>
      </c>
      <c r="C95" s="177">
        <v>16</v>
      </c>
      <c r="D95" s="171"/>
      <c r="E95" s="172"/>
      <c r="F95" s="173"/>
      <c r="G95" s="142"/>
    </row>
    <row r="96" spans="2:7" ht="18.75">
      <c r="B96" s="163" t="s">
        <v>94</v>
      </c>
      <c r="C96" s="178">
        <v>12</v>
      </c>
      <c r="D96" s="171"/>
      <c r="E96" s="172"/>
      <c r="F96" s="173"/>
      <c r="G96" s="142"/>
    </row>
    <row r="97" spans="2:7" ht="18.75">
      <c r="B97" s="162" t="s">
        <v>95</v>
      </c>
      <c r="C97" s="177">
        <v>9</v>
      </c>
      <c r="D97" s="174"/>
      <c r="E97" s="172"/>
      <c r="F97" s="173"/>
      <c r="G97" s="142"/>
    </row>
    <row r="98" spans="2:7" ht="18.75">
      <c r="B98" s="162" t="s">
        <v>96</v>
      </c>
      <c r="C98" s="177">
        <v>9</v>
      </c>
      <c r="D98" s="171"/>
      <c r="E98" s="172"/>
      <c r="F98" s="173"/>
      <c r="G98" s="142"/>
    </row>
    <row r="99" spans="2:7" ht="18.75">
      <c r="B99" s="162" t="s">
        <v>97</v>
      </c>
      <c r="C99" s="177">
        <v>10</v>
      </c>
      <c r="D99" s="171"/>
      <c r="E99" s="172"/>
      <c r="F99" s="173"/>
      <c r="G99" s="142"/>
    </row>
    <row r="100" spans="2:7" ht="18.75">
      <c r="B100" s="160" t="s">
        <v>98</v>
      </c>
      <c r="C100" s="175">
        <v>56</v>
      </c>
      <c r="D100" s="174"/>
      <c r="E100" s="172"/>
      <c r="F100" s="173"/>
      <c r="G100" s="142"/>
    </row>
    <row r="101" spans="2:7" ht="18.75">
      <c r="B101" s="161" t="s">
        <v>99</v>
      </c>
      <c r="C101" s="176">
        <v>9</v>
      </c>
      <c r="D101" s="167"/>
      <c r="E101" s="168"/>
      <c r="F101" s="169"/>
      <c r="G101" s="170"/>
    </row>
    <row r="102" spans="2:7" ht="18.75">
      <c r="B102" s="162" t="s">
        <v>100</v>
      </c>
      <c r="C102" s="177">
        <v>11</v>
      </c>
      <c r="D102" s="171"/>
      <c r="E102" s="172"/>
      <c r="F102" s="173"/>
      <c r="G102" s="142"/>
    </row>
    <row r="103" spans="2:7" ht="18.75">
      <c r="B103" s="162" t="s">
        <v>101</v>
      </c>
      <c r="C103" s="177">
        <v>11</v>
      </c>
      <c r="D103" s="171"/>
      <c r="E103" s="172"/>
      <c r="F103" s="173"/>
      <c r="G103" s="142"/>
    </row>
    <row r="104" spans="2:7" ht="18.75">
      <c r="B104" s="162" t="s">
        <v>102</v>
      </c>
      <c r="C104" s="177">
        <v>12</v>
      </c>
      <c r="D104" s="174"/>
      <c r="E104" s="172"/>
      <c r="F104" s="173"/>
      <c r="G104" s="142"/>
    </row>
    <row r="105" spans="2:7" ht="18.75">
      <c r="B105" s="162" t="s">
        <v>103</v>
      </c>
      <c r="C105" s="177">
        <v>13</v>
      </c>
      <c r="D105" s="171"/>
      <c r="E105" s="172"/>
      <c r="F105" s="173"/>
      <c r="G105" s="142"/>
    </row>
    <row r="106" spans="2:7" ht="18.75">
      <c r="B106" s="180" t="s">
        <v>104</v>
      </c>
      <c r="C106" s="180">
        <v>207</v>
      </c>
      <c r="D106" s="174"/>
      <c r="E106" s="172"/>
      <c r="F106" s="173"/>
      <c r="G106" s="142"/>
    </row>
    <row r="107" spans="2:7" ht="18.75">
      <c r="B107" s="171"/>
      <c r="C107" s="171"/>
      <c r="D107" s="174"/>
      <c r="E107" s="172"/>
      <c r="F107" s="173"/>
      <c r="G107" s="142"/>
    </row>
    <row r="108" spans="2:7" ht="18.75">
      <c r="B108" s="171"/>
      <c r="C108" s="171"/>
      <c r="D108" s="171"/>
      <c r="E108" s="172"/>
      <c r="F108" s="179"/>
      <c r="G108" s="164"/>
    </row>
    <row r="109" spans="2:7" ht="21.75" customHeight="1">
      <c r="B109" s="181" t="s">
        <v>105</v>
      </c>
      <c r="C109" s="182"/>
      <c r="D109" s="183"/>
      <c r="E109" s="184"/>
      <c r="F109" s="120"/>
      <c r="G109" s="121"/>
    </row>
    <row r="110" spans="2:7" ht="41.25">
      <c r="B110" s="109" t="s">
        <v>106</v>
      </c>
      <c r="C110" s="122" t="s">
        <v>107</v>
      </c>
      <c r="D110" s="123" t="s">
        <v>108</v>
      </c>
      <c r="E110" s="124" t="s">
        <v>109</v>
      </c>
      <c r="F110" s="125" t="s">
        <v>110</v>
      </c>
      <c r="G110" s="194">
        <f>SUM(G111:G116)</f>
        <v>49</v>
      </c>
    </row>
    <row r="111" spans="2:7" ht="18.75">
      <c r="B111" s="109"/>
      <c r="C111" s="127" t="s">
        <v>65</v>
      </c>
      <c r="D111" s="113" t="s">
        <v>111</v>
      </c>
      <c r="E111" s="110" t="s">
        <v>112</v>
      </c>
      <c r="F111" s="111" t="s">
        <v>113</v>
      </c>
      <c r="G111" s="112">
        <v>9</v>
      </c>
    </row>
    <row r="112" spans="2:7" ht="18.75">
      <c r="B112" s="109"/>
      <c r="C112" s="127" t="s">
        <v>65</v>
      </c>
      <c r="D112" s="113" t="s">
        <v>114</v>
      </c>
      <c r="E112" s="110" t="s">
        <v>115</v>
      </c>
      <c r="F112" s="111" t="s">
        <v>113</v>
      </c>
      <c r="G112" s="112">
        <v>8</v>
      </c>
    </row>
    <row r="113" spans="2:7" ht="18.75">
      <c r="B113" s="109"/>
      <c r="C113" s="127" t="s">
        <v>65</v>
      </c>
      <c r="D113" s="113" t="s">
        <v>116</v>
      </c>
      <c r="E113" s="110" t="s">
        <v>117</v>
      </c>
      <c r="F113" s="111" t="s">
        <v>118</v>
      </c>
      <c r="G113" s="112">
        <v>10</v>
      </c>
    </row>
    <row r="114" spans="2:7" ht="18.75">
      <c r="B114" s="109"/>
      <c r="C114" s="127" t="s">
        <v>65</v>
      </c>
      <c r="D114" s="113" t="s">
        <v>119</v>
      </c>
      <c r="E114" s="110" t="s">
        <v>120</v>
      </c>
      <c r="F114" s="111" t="s">
        <v>121</v>
      </c>
      <c r="G114" s="112">
        <v>7</v>
      </c>
    </row>
    <row r="115" spans="2:7" ht="18.75">
      <c r="B115" s="109"/>
      <c r="C115" s="127" t="s">
        <v>65</v>
      </c>
      <c r="D115" s="113" t="s">
        <v>122</v>
      </c>
      <c r="E115" s="110" t="s">
        <v>123</v>
      </c>
      <c r="F115" s="111" t="s">
        <v>121</v>
      </c>
      <c r="G115" s="128">
        <v>6</v>
      </c>
    </row>
    <row r="116" spans="2:7" ht="18.75">
      <c r="B116" s="109"/>
      <c r="C116" s="127" t="s">
        <v>65</v>
      </c>
      <c r="D116" s="113" t="s">
        <v>124</v>
      </c>
      <c r="E116" s="110" t="s">
        <v>125</v>
      </c>
      <c r="F116" s="111" t="s">
        <v>113</v>
      </c>
      <c r="G116" s="128">
        <v>9</v>
      </c>
    </row>
    <row r="117" spans="2:7" ht="20.25">
      <c r="B117" s="109"/>
      <c r="C117" s="105" t="s">
        <v>67</v>
      </c>
      <c r="D117" s="106" t="s">
        <v>126</v>
      </c>
      <c r="E117" s="107" t="s">
        <v>127</v>
      </c>
      <c r="F117" s="108" t="s">
        <v>110</v>
      </c>
      <c r="G117" s="193">
        <f>SUM(G118:G123)</f>
        <v>53</v>
      </c>
    </row>
    <row r="118" spans="2:7" ht="18.75">
      <c r="B118" s="109"/>
      <c r="C118" s="127" t="s">
        <v>67</v>
      </c>
      <c r="D118" s="113" t="s">
        <v>128</v>
      </c>
      <c r="E118" s="110" t="s">
        <v>129</v>
      </c>
      <c r="F118" s="111" t="s">
        <v>130</v>
      </c>
      <c r="G118" s="112">
        <v>9</v>
      </c>
    </row>
    <row r="119" spans="2:7" ht="18.75">
      <c r="B119" s="109"/>
      <c r="C119" s="127" t="s">
        <v>67</v>
      </c>
      <c r="D119" s="113" t="s">
        <v>131</v>
      </c>
      <c r="E119" s="110" t="s">
        <v>132</v>
      </c>
      <c r="F119" s="111" t="s">
        <v>113</v>
      </c>
      <c r="G119" s="112">
        <v>6</v>
      </c>
    </row>
    <row r="120" spans="2:7" ht="18.75">
      <c r="B120" s="109"/>
      <c r="C120" s="127" t="s">
        <v>67</v>
      </c>
      <c r="D120" s="113" t="s">
        <v>133</v>
      </c>
      <c r="E120" s="110" t="s">
        <v>134</v>
      </c>
      <c r="F120" s="111" t="s">
        <v>118</v>
      </c>
      <c r="G120" s="112">
        <v>11</v>
      </c>
    </row>
    <row r="121" spans="2:7" ht="18.75">
      <c r="B121" s="109"/>
      <c r="C121" s="127" t="s">
        <v>67</v>
      </c>
      <c r="D121" s="113" t="s">
        <v>135</v>
      </c>
      <c r="E121" s="110" t="s">
        <v>136</v>
      </c>
      <c r="F121" s="111" t="s">
        <v>113</v>
      </c>
      <c r="G121" s="112">
        <v>7</v>
      </c>
    </row>
    <row r="122" spans="2:7" ht="18.75">
      <c r="B122" s="109"/>
      <c r="C122" s="127" t="s">
        <v>67</v>
      </c>
      <c r="D122" s="113" t="s">
        <v>137</v>
      </c>
      <c r="E122" s="110" t="s">
        <v>138</v>
      </c>
      <c r="F122" s="111" t="s">
        <v>139</v>
      </c>
      <c r="G122" s="112">
        <v>10</v>
      </c>
    </row>
    <row r="123" spans="2:7" ht="18.75">
      <c r="B123" s="109"/>
      <c r="C123" s="127" t="s">
        <v>65</v>
      </c>
      <c r="D123" s="113" t="s">
        <v>140</v>
      </c>
      <c r="E123" s="110" t="s">
        <v>141</v>
      </c>
      <c r="F123" s="111" t="s">
        <v>113</v>
      </c>
      <c r="G123" s="112">
        <v>10</v>
      </c>
    </row>
    <row r="124" spans="2:7" ht="15" customHeight="1">
      <c r="B124" s="117" t="s">
        <v>142</v>
      </c>
      <c r="C124" s="129"/>
      <c r="D124" s="118"/>
      <c r="E124" s="119"/>
      <c r="F124" s="120"/>
      <c r="G124" s="121">
        <f>SUM(G118:G123,G116,G115,G114,G113,G112,G111)</f>
        <v>102</v>
      </c>
    </row>
    <row r="125" spans="2:7" ht="65.25" customHeight="1">
      <c r="B125" s="130" t="s">
        <v>143</v>
      </c>
      <c r="C125" s="122" t="s">
        <v>144</v>
      </c>
      <c r="D125" s="123" t="s">
        <v>145</v>
      </c>
      <c r="E125" s="124" t="s">
        <v>146</v>
      </c>
      <c r="F125" s="125" t="s">
        <v>110</v>
      </c>
      <c r="G125" s="126"/>
    </row>
    <row r="126" spans="2:7" ht="26.25" customHeight="1">
      <c r="B126" s="130"/>
      <c r="C126" s="127" t="s">
        <v>69</v>
      </c>
      <c r="D126" s="113" t="s">
        <v>147</v>
      </c>
      <c r="E126" s="110" t="s">
        <v>148</v>
      </c>
      <c r="F126" s="111" t="s">
        <v>139</v>
      </c>
      <c r="G126" s="151">
        <v>3</v>
      </c>
    </row>
    <row r="127" spans="2:7" ht="18.75">
      <c r="B127" s="130"/>
      <c r="C127" s="127" t="s">
        <v>69</v>
      </c>
      <c r="D127" s="113" t="s">
        <v>149</v>
      </c>
      <c r="E127" s="110" t="s">
        <v>150</v>
      </c>
      <c r="F127" s="111" t="s">
        <v>130</v>
      </c>
      <c r="G127" s="152">
        <v>5</v>
      </c>
    </row>
    <row r="128" spans="2:7" ht="18.75">
      <c r="B128" s="130"/>
      <c r="C128" s="127" t="s">
        <v>69</v>
      </c>
      <c r="D128" s="113" t="s">
        <v>151</v>
      </c>
      <c r="E128" s="110" t="s">
        <v>152</v>
      </c>
      <c r="F128" s="111" t="s">
        <v>139</v>
      </c>
      <c r="G128" s="152">
        <v>4</v>
      </c>
    </row>
    <row r="129" spans="2:8" ht="18.75">
      <c r="B129" s="130"/>
      <c r="C129" s="127" t="s">
        <v>69</v>
      </c>
      <c r="D129" s="113" t="s">
        <v>153</v>
      </c>
      <c r="E129" s="110" t="s">
        <v>154</v>
      </c>
      <c r="F129" s="111" t="s">
        <v>130</v>
      </c>
      <c r="G129" s="152">
        <v>7</v>
      </c>
    </row>
    <row r="130" spans="2:8" ht="18.75">
      <c r="B130" s="130"/>
      <c r="C130" s="127" t="s">
        <v>69</v>
      </c>
      <c r="D130" s="116" t="s">
        <v>155</v>
      </c>
      <c r="E130" s="110" t="s">
        <v>156</v>
      </c>
      <c r="F130" s="111" t="s">
        <v>121</v>
      </c>
      <c r="G130" s="152">
        <v>0</v>
      </c>
    </row>
    <row r="131" spans="2:8" ht="18.75">
      <c r="B131" s="130"/>
      <c r="C131" s="127" t="s">
        <v>69</v>
      </c>
      <c r="D131" s="116" t="s">
        <v>157</v>
      </c>
      <c r="E131" s="110" t="s">
        <v>158</v>
      </c>
      <c r="F131" s="111" t="s">
        <v>139</v>
      </c>
      <c r="G131" s="152">
        <v>5</v>
      </c>
    </row>
    <row r="132" spans="2:8" ht="18.75">
      <c r="B132" s="130"/>
      <c r="C132" s="113" t="s">
        <v>69</v>
      </c>
      <c r="D132" s="113" t="s">
        <v>159</v>
      </c>
      <c r="E132" s="114" t="s">
        <v>160</v>
      </c>
      <c r="F132" s="115" t="s">
        <v>130</v>
      </c>
      <c r="G132" s="152">
        <v>4</v>
      </c>
    </row>
    <row r="133" spans="2:8" ht="20.25">
      <c r="B133" s="131" t="s">
        <v>142</v>
      </c>
      <c r="C133" s="132"/>
      <c r="D133" s="132"/>
      <c r="E133" s="133"/>
      <c r="F133" s="134"/>
      <c r="G133" s="135">
        <f>SUM(G126:G132)</f>
        <v>28</v>
      </c>
      <c r="H133" s="63"/>
    </row>
    <row r="134" spans="2:8" ht="15">
      <c r="B134" s="17" t="s">
        <v>161</v>
      </c>
    </row>
    <row r="136" spans="2:8" ht="15.75">
      <c r="B136" s="2"/>
      <c r="H136" s="2"/>
    </row>
    <row r="137" spans="2:8" ht="15.6">
      <c r="B137" s="2" t="s">
        <v>162</v>
      </c>
    </row>
    <row r="138" spans="2:8" ht="27" customHeight="1">
      <c r="H138" s="2"/>
    </row>
    <row r="139" spans="2:8" ht="27" customHeight="1">
      <c r="B139" s="53"/>
      <c r="C139" s="64" t="s">
        <v>163</v>
      </c>
      <c r="D139" s="64"/>
      <c r="H139" s="2"/>
    </row>
    <row r="140" spans="2:8" ht="36" customHeight="1" thickBot="1">
      <c r="B140" s="54"/>
      <c r="C140" s="55" t="s">
        <v>164</v>
      </c>
      <c r="D140" s="55" t="s">
        <v>165</v>
      </c>
      <c r="H140" s="2"/>
    </row>
    <row r="141" spans="2:8" ht="36" customHeight="1">
      <c r="B141" s="73" t="s">
        <v>2</v>
      </c>
      <c r="C141" s="90"/>
      <c r="D141" s="90"/>
      <c r="H141" s="2"/>
    </row>
    <row r="142" spans="2:8" ht="87" customHeight="1">
      <c r="B142" s="89" t="s">
        <v>3</v>
      </c>
      <c r="C142" s="65"/>
      <c r="D142" s="93"/>
      <c r="H142" s="2"/>
    </row>
    <row r="143" spans="2:8" ht="152.25">
      <c r="B143" s="56" t="s">
        <v>4</v>
      </c>
      <c r="C143" s="83" t="s">
        <v>166</v>
      </c>
      <c r="D143" s="69" t="s">
        <v>167</v>
      </c>
      <c r="H143" s="2"/>
    </row>
    <row r="144" spans="2:8" ht="28.5" customHeight="1">
      <c r="B144" s="57" t="s">
        <v>8</v>
      </c>
      <c r="C144" s="57"/>
      <c r="D144" s="57"/>
    </row>
    <row r="145" spans="2:11" ht="17.25" customHeight="1">
      <c r="B145" s="84"/>
      <c r="C145" s="84"/>
      <c r="D145" s="84"/>
    </row>
    <row r="146" spans="2:11" ht="17.25" customHeight="1">
      <c r="B146" s="84"/>
      <c r="C146" s="84"/>
      <c r="D146" s="84"/>
    </row>
    <row r="148" spans="2:11">
      <c r="B148" s="60" t="s">
        <v>168</v>
      </c>
      <c r="E148" s="60" t="s">
        <v>168</v>
      </c>
      <c r="H148" s="60" t="s">
        <v>168</v>
      </c>
      <c r="J148" s="95" t="s">
        <v>169</v>
      </c>
      <c r="K148" s="95">
        <v>47</v>
      </c>
    </row>
    <row r="149" spans="2:11">
      <c r="J149" s="95" t="s">
        <v>170</v>
      </c>
      <c r="K149" s="95">
        <v>36</v>
      </c>
    </row>
    <row r="150" spans="2:11" ht="18">
      <c r="B150" s="96" t="s">
        <v>171</v>
      </c>
      <c r="C150" s="97" t="s">
        <v>2</v>
      </c>
      <c r="D150" s="97" t="s">
        <v>3</v>
      </c>
      <c r="E150" s="98" t="s">
        <v>4</v>
      </c>
      <c r="H150" s="72" t="s">
        <v>171</v>
      </c>
      <c r="J150" s="95" t="s">
        <v>172</v>
      </c>
      <c r="K150" s="95">
        <v>20</v>
      </c>
    </row>
    <row r="151" spans="2:11" ht="18">
      <c r="B151" s="99" t="s">
        <v>173</v>
      </c>
      <c r="C151" s="100">
        <v>173</v>
      </c>
      <c r="D151" s="100">
        <v>91</v>
      </c>
      <c r="E151" s="101">
        <v>23</v>
      </c>
      <c r="H151" s="59" t="s">
        <v>173</v>
      </c>
      <c r="J151" s="95" t="s">
        <v>174</v>
      </c>
      <c r="K151" s="95">
        <v>6</v>
      </c>
    </row>
    <row r="152" spans="2:11" ht="18">
      <c r="B152" s="99" t="s">
        <v>175</v>
      </c>
      <c r="C152" s="100">
        <v>22</v>
      </c>
      <c r="D152" s="100">
        <v>2</v>
      </c>
      <c r="E152" s="101">
        <v>1</v>
      </c>
      <c r="H152" s="59" t="s">
        <v>175</v>
      </c>
      <c r="J152" s="95" t="s">
        <v>176</v>
      </c>
      <c r="K152" s="95">
        <v>3</v>
      </c>
    </row>
    <row r="153" spans="2:11" ht="18">
      <c r="B153" s="99" t="s">
        <v>177</v>
      </c>
      <c r="C153" s="100">
        <v>12</v>
      </c>
      <c r="D153" s="100">
        <v>7</v>
      </c>
      <c r="E153" s="101">
        <v>4</v>
      </c>
      <c r="H153" s="59" t="s">
        <v>177</v>
      </c>
    </row>
    <row r="154" spans="2:11" ht="18">
      <c r="B154" s="143" t="s">
        <v>178</v>
      </c>
      <c r="C154" s="144">
        <v>0</v>
      </c>
      <c r="D154" s="144">
        <v>2</v>
      </c>
      <c r="E154" s="145">
        <v>0</v>
      </c>
      <c r="H154" s="59"/>
    </row>
    <row r="155" spans="2:11" ht="18">
      <c r="B155" s="102" t="s">
        <v>179</v>
      </c>
      <c r="C155" s="103"/>
      <c r="D155" s="103">
        <f>SUBTOTAL(109,D151:D154)</f>
        <v>102</v>
      </c>
      <c r="E155" s="104">
        <f>SUM(E151:E154)</f>
        <v>28</v>
      </c>
      <c r="H155" s="59" t="s">
        <v>179</v>
      </c>
      <c r="J155" s="17" t="s">
        <v>16</v>
      </c>
    </row>
    <row r="156" spans="2:11" ht="18.75">
      <c r="B156" s="153"/>
      <c r="C156" s="154"/>
      <c r="D156" s="154"/>
      <c r="E156" s="154"/>
      <c r="H156" s="17" t="s">
        <v>180</v>
      </c>
    </row>
    <row r="157" spans="2:11" ht="15">
      <c r="E157" s="17" t="s">
        <v>181</v>
      </c>
    </row>
    <row r="158" spans="2:11" ht="15"/>
  </sheetData>
  <conditionalFormatting sqref="A60 A6 A14 A21 A30 A36 A44 A51 A56 A67 A73 A78">
    <cfRule type="iconSet" priority="5">
      <iconSet iconSet="3Symbols2" showValue="0">
        <cfvo type="percent" val="0"/>
        <cfvo type="num" val="0"/>
        <cfvo type="num" val="0"/>
      </iconSet>
    </cfRule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4" ma:contentTypeDescription="Crear nuevo documento." ma:contentTypeScope="" ma:versionID="ddec260070336827ee8c328f0227227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590a657cbc5fcb450edb0ba38c295f5b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B830D8-62A0-47CE-8C06-2E280D1114D9}"/>
</file>

<file path=customXml/itemProps2.xml><?xml version="1.0" encoding="utf-8"?>
<ds:datastoreItem xmlns:ds="http://schemas.openxmlformats.org/officeDocument/2006/customXml" ds:itemID="{9C8F7AD4-07B5-412B-8182-0197CBA7DF87}"/>
</file>

<file path=customXml/itemProps3.xml><?xml version="1.0" encoding="utf-8"?>
<ds:datastoreItem xmlns:ds="http://schemas.openxmlformats.org/officeDocument/2006/customXml" ds:itemID="{2A858AEC-F1AD-4D26-86F9-F9C1A74AAE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Gonzales Estrada Sara Stephany</dc:creator>
  <cp:keywords/>
  <dc:description/>
  <cp:lastModifiedBy>Gonzales Estrada Sara Stephany</cp:lastModifiedBy>
  <cp:revision/>
  <dcterms:created xsi:type="dcterms:W3CDTF">2024-01-03T15:06:50Z</dcterms:created>
  <dcterms:modified xsi:type="dcterms:W3CDTF">2024-12-05T14:25:51Z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