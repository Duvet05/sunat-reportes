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8_{D1EFD092-8FA3-48F3-B23A-675E6EFFCFB7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1" i="1" l="1"/>
  <c r="C37" i="1"/>
  <c r="C16" i="1"/>
</calcChain>
</file>

<file path=xl/sharedStrings.xml><?xml version="1.0" encoding="utf-8"?>
<sst xmlns="http://schemas.openxmlformats.org/spreadsheetml/2006/main" count="340" uniqueCount="210">
  <si>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</si>
  <si>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</si>
  <si>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</si>
  <si>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</si>
  <si>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</si>
  <si>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</si>
  <si>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</si>
  <si>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</si>
  <si>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ENERO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</si>
  <si>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</si>
  <si>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</si>
  <si>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</si>
  <si>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</si>
  <si>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</si>
  <si>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ENERO (LABORES ADICIONALES)</t>
  </si>
  <si>
    <t>PRODUCCIÓN</t>
  </si>
  <si>
    <t>UUOO</t>
  </si>
  <si>
    <t>DCCI</t>
  </si>
  <si>
    <t>DCP</t>
  </si>
  <si>
    <t>MATERIA</t>
  </si>
  <si>
    <t>MEJORA RD</t>
  </si>
  <si>
    <t>MEJORA (IAMC)</t>
  </si>
  <si>
    <t>ADMISIBILIDAD APELACIÓN</t>
  </si>
  <si>
    <t>PRODUCTO RESUELTO (EJEMPLO)</t>
  </si>
  <si>
    <t>Requerimiento
Memorándum
Consulta</t>
  </si>
  <si>
    <t>RESOLUTOR (EJEMPLO)</t>
  </si>
  <si>
    <t>PRODUCCIÓN PROMEDIO (EJEMPLO)</t>
  </si>
  <si>
    <t>PROGRAMACIÓN-FEBRERO 2024</t>
  </si>
  <si>
    <t>DCCII</t>
  </si>
  <si>
    <t>STOCK VENCIDOS</t>
  </si>
  <si>
    <t>VENCIDO +9 MESES</t>
  </si>
  <si>
    <t>9 MESES</t>
  </si>
  <si>
    <t>8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</si>
  <si>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</si>
  <si>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</si>
  <si>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</si>
  <si>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</si>
  <si>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</si>
  <si>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</si>
  <si>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</si>
  <si>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</si>
  <si>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7U7101</t>
  </si>
  <si>
    <t>Roberto Vera Tudela</t>
  </si>
  <si>
    <t>7U7102</t>
  </si>
  <si>
    <t>Vanesa Chávez</t>
  </si>
  <si>
    <t>7U7103</t>
  </si>
  <si>
    <t>Angelita Santillan</t>
  </si>
  <si>
    <t>Complejidad</t>
  </si>
  <si>
    <t>Producción promedio</t>
  </si>
  <si>
    <t>7U7201</t>
  </si>
  <si>
    <t>Yessenia Salcedo</t>
  </si>
  <si>
    <t>MEDIO/ALTO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</si>
  <si>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</si>
  <si>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</si>
  <si>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</si>
  <si>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</si>
  <si>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</si>
  <si>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</si>
  <si>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</si>
  <si>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</si>
  <si>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>No</t>
  </si>
  <si>
    <t xml:space="preserve">No </t>
  </si>
  <si>
    <t xml:space="preserve">      Motivo</t>
  </si>
  <si>
    <t>NO</t>
  </si>
  <si>
    <t>Devolución a Admisibilidad</t>
  </si>
  <si>
    <t>MEDIO/ALTA</t>
  </si>
  <si>
    <t>Allison Castro Lagos</t>
  </si>
  <si>
    <t>EQUIPO SIGERI</t>
  </si>
  <si>
    <t>PRODUCCIÓN POR RESOLUTOR-ENERO</t>
  </si>
  <si>
    <t>SUPERVISIONES</t>
  </si>
  <si>
    <t>REGISTRO</t>
  </si>
  <si>
    <t xml:space="preserve">FUNCIONARIO </t>
  </si>
  <si>
    <t>PRODUCCIÓN MENSUAL</t>
  </si>
  <si>
    <t>7U7100 DIVISION DE CONTROL CONCURRENTE I</t>
  </si>
  <si>
    <t>5877</t>
  </si>
  <si>
    <t>Roberto Vera Tudela Gallesi</t>
  </si>
  <si>
    <t>3284</t>
  </si>
  <si>
    <t>Ana Diaz Jurado</t>
  </si>
  <si>
    <t>2900</t>
  </si>
  <si>
    <t>Carolina Cavero Carrion</t>
  </si>
  <si>
    <t>5534</t>
  </si>
  <si>
    <t>Celso Sanchez Garrido</t>
  </si>
  <si>
    <t>4644</t>
  </si>
  <si>
    <t>Cesar Linares Alcantara</t>
  </si>
  <si>
    <t>8351</t>
  </si>
  <si>
    <t>Debra Araoz Laines</t>
  </si>
  <si>
    <t>3085</t>
  </si>
  <si>
    <t>Edgar Cosio Jara</t>
  </si>
  <si>
    <t>4469</t>
  </si>
  <si>
    <t>Maria Hurtado Custodio</t>
  </si>
  <si>
    <t>5565</t>
  </si>
  <si>
    <t>Victoria Santa Cruz Martinez</t>
  </si>
  <si>
    <t>7580</t>
  </si>
  <si>
    <t>Vanesa Chavez Silva</t>
  </si>
  <si>
    <t>8319</t>
  </si>
  <si>
    <t>Carla Vilcapaza Amaro</t>
  </si>
  <si>
    <t>4504</t>
  </si>
  <si>
    <t xml:space="preserve">Hugo Jimenez Suclla </t>
  </si>
  <si>
    <t>4949</t>
  </si>
  <si>
    <t>Javier Oyarse Cruz</t>
  </si>
  <si>
    <t>2968</t>
  </si>
  <si>
    <t>Maria Chire Tunque</t>
  </si>
  <si>
    <t>3977</t>
  </si>
  <si>
    <t>William Godoy Escalante</t>
  </si>
  <si>
    <t>7324</t>
  </si>
  <si>
    <t>Zaira Carbajal Jara</t>
  </si>
  <si>
    <t>5569</t>
  </si>
  <si>
    <t>Gladys Santillan Valdivia</t>
  </si>
  <si>
    <t>7674</t>
  </si>
  <si>
    <t>Andres Angulo Farfan</t>
  </si>
  <si>
    <t>7611</t>
  </si>
  <si>
    <t>Azhir Sandoval Guevara</t>
  </si>
  <si>
    <t>5556</t>
  </si>
  <si>
    <t>Jorge Sanchez Torres</t>
  </si>
  <si>
    <t>2858</t>
  </si>
  <si>
    <t>Julio Castañeda Calderon</t>
  </si>
  <si>
    <t>7661</t>
  </si>
  <si>
    <t>Luis Cordova Meza</t>
  </si>
  <si>
    <t>4770</t>
  </si>
  <si>
    <t>Maritza Mollinedo Catunta</t>
  </si>
  <si>
    <t>7330</t>
  </si>
  <si>
    <t>Tania Rosales Ochoa</t>
  </si>
  <si>
    <t>7625</t>
  </si>
  <si>
    <t>Teresita Quezada Villar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</si>
  <si>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</si>
  <si>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</si>
  <si>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</si>
  <si>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</si>
  <si>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</si>
  <si>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</si>
  <si>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</si>
  <si>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</si>
  <si>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</si>
  <si>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</si>
  <si>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</si>
  <si>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</si>
  <si>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</si>
  <si>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</si>
  <si>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</si>
  <si>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</si>
  <si>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</si>
  <si>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</si>
  <si>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</si>
  <si>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</si>
  <si>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</si>
  <si>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</si>
  <si>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</si>
  <si>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</si>
  <si>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</si>
  <si>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</si>
  <si>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</si>
  <si>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</si>
  <si>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</si>
  <si>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</si>
  <si>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</si>
  <si>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</si>
  <si>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</si>
  <si>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</si>
  <si>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</si>
  <si>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</si>
  <si>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</si>
  <si>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</si>
  <si>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</si>
  <si>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</si>
  <si>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</si>
  <si>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</si>
  <si>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</si>
  <si>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</si>
  <si>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</si>
  <si>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</si>
  <si>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</si>
  <si>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</si>
  <si>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</si>
  <si>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</si>
  <si>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</si>
  <si>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2023-2024</t>
  </si>
  <si>
    <t>DICIEMBRE</t>
  </si>
  <si>
    <t>OFICIO</t>
  </si>
  <si>
    <t>RD</t>
  </si>
  <si>
    <t>REQ.</t>
  </si>
  <si>
    <t>Evelyn Pacheco</t>
  </si>
  <si>
    <t>Richard Vela</t>
  </si>
  <si>
    <t>-</t>
  </si>
  <si>
    <t>Cecilia Pantoja</t>
  </si>
  <si>
    <t>Marco Fournier</t>
  </si>
  <si>
    <t>Jesús García</t>
  </si>
  <si>
    <t>Gustavo Bernuy</t>
  </si>
  <si>
    <t>Carlos López</t>
  </si>
  <si>
    <t>Carlos Mauro</t>
  </si>
  <si>
    <t>Magali Palomino</t>
  </si>
  <si>
    <t>Apoyo DAP evaluación de admisibilidad de recursos de reclamo</t>
  </si>
  <si>
    <t>Enero</t>
  </si>
  <si>
    <t>Expedientes evaluados</t>
  </si>
  <si>
    <t xml:space="preserve">Requerimientos </t>
  </si>
  <si>
    <t>ITOP REPORTADOS-DICIEMBRE 2023</t>
  </si>
  <si>
    <t>N° ITOP</t>
  </si>
  <si>
    <t> ASUNTO</t>
  </si>
  <si>
    <t xml:space="preserve"> </t>
  </si>
  <si>
    <t>I-825629 
I-825639</t>
  </si>
  <si>
    <t>RECTIFICAR fecha de emisión de RD del SIGERI EXP 8460340000007 (LC 046-2022-000586) // RECTIFICAR fecha de emisión de RD del SIGERI 4090340001031 (LC 046-2022-003031)</t>
  </si>
  <si>
    <t>I-820995 
I-821042
 I-821094 
 I-821134 
I-821235
I-821256
I-821277
I-821299
I-821313
I-821323
I-804315
I-821443</t>
  </si>
  <si>
    <t>I-817572 
I-818516 
I-804390 
I- 818698
I-818833
I-818988 
I-821476 
I-829466 
I-819558
I-821542
I-821513
I-819882
I-814484
I-821575</t>
  </si>
  <si>
    <t>Actualización de reclamo y resultado en reclamo en módulo SIGAD, liquidaciones de Cobranza</t>
  </si>
  <si>
    <t>RESULTADO DE RECLAMO ENERO 2024</t>
  </si>
  <si>
    <t>Infundado</t>
  </si>
  <si>
    <t>Fundado / F.P</t>
  </si>
  <si>
    <t>Nulidad</t>
  </si>
  <si>
    <t>Improcedente</t>
  </si>
  <si>
    <t xml:space="preserve">Desistimiento </t>
  </si>
  <si>
    <t xml:space="preserve">Otros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</si>
</sst>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1"/>
      <color rgb="FF000000"/>
      <name val="Calibri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4"/>
      <color rgb="FFFFFFFF"/>
      <name val="Calibri Light"/>
      <family val="2"/>
    </font>
    <font>
      <b/>
      <sz val="14"/>
      <color rgb="FF833C0C"/>
      <name val="Calibri Light"/>
      <family val="2"/>
    </font>
    <font>
      <sz val="8"/>
      <color rgb="FF000000"/>
      <name val="Calibri Light"/>
      <family val="2"/>
    </font>
    <font>
      <sz val="8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FF66FF"/>
      </top>
      <bottom style="thin">
        <color rgb="FFFF66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FF66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FF66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70AD47"/>
      </right>
      <top/>
      <bottom style="medium">
        <color rgb="FF70AD47"/>
      </bottom>
      <diagonal/>
    </border>
    <border>
      <left/>
      <right style="medium">
        <color rgb="FF70AD47"/>
      </right>
      <top/>
      <bottom/>
      <diagonal/>
    </border>
    <border>
      <left style="medium">
        <color rgb="FF70AD47"/>
      </left>
      <right/>
      <top/>
      <bottom/>
      <diagonal/>
    </border>
    <border>
      <left style="medium">
        <color rgb="FF70AD47"/>
      </left>
      <right/>
      <top/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/>
      <right style="medium">
        <color rgb="FF70AD47"/>
      </right>
      <top style="medium">
        <color rgb="FF70AD47"/>
      </top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0" xfId="0" applyFont="1"/>
    <xf numFmtId="0" fontId="2" fillId="6" borderId="20" xfId="0" applyFont="1" applyFill="1" applyBorder="1" applyAlignment="1">
      <alignment horizontal="center" vertical="center" wrapText="1" readingOrder="1"/>
    </xf>
    <xf numFmtId="0" fontId="2" fillId="7" borderId="12" xfId="0" applyFont="1" applyFill="1" applyBorder="1" applyAlignment="1">
      <alignment horizontal="center" vertical="center" wrapText="1" readingOrder="1"/>
    </xf>
    <xf numFmtId="0" fontId="2" fillId="9" borderId="12" xfId="0" applyFont="1" applyFill="1" applyBorder="1" applyAlignment="1">
      <alignment horizontal="center" vertical="center" wrapText="1" readingOrder="1"/>
    </xf>
    <xf numFmtId="0" fontId="2" fillId="9" borderId="22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16" fontId="3" fillId="9" borderId="22" xfId="0" applyNumberFormat="1" applyFont="1" applyFill="1" applyBorder="1" applyAlignment="1">
      <alignment horizontal="center" vertical="center" wrapText="1" readingOrder="1"/>
    </xf>
    <xf numFmtId="0" fontId="2" fillId="6" borderId="29" xfId="0" applyFont="1" applyFill="1" applyBorder="1" applyAlignment="1">
      <alignment horizontal="center" vertical="center" wrapText="1" readingOrder="1"/>
    </xf>
    <xf numFmtId="0" fontId="3" fillId="7" borderId="30" xfId="0" applyFont="1" applyFill="1" applyBorder="1" applyAlignment="1">
      <alignment horizontal="center" vertical="center" wrapText="1" readingOrder="1"/>
    </xf>
    <xf numFmtId="0" fontId="3" fillId="9" borderId="30" xfId="0" applyFont="1" applyFill="1" applyBorder="1" applyAlignment="1">
      <alignment horizontal="center" vertical="center" wrapText="1" readingOrder="1"/>
    </xf>
    <xf numFmtId="0" fontId="3" fillId="9" borderId="31" xfId="0" applyFont="1" applyFill="1" applyBorder="1" applyAlignment="1">
      <alignment horizontal="center" vertical="center" wrapText="1" readingOrder="1"/>
    </xf>
    <xf numFmtId="0" fontId="5" fillId="2" borderId="38" xfId="0" applyFont="1" applyFill="1" applyBorder="1" applyAlignment="1">
      <alignment horizontal="center" vertical="center" wrapText="1" readingOrder="1"/>
    </xf>
    <xf numFmtId="0" fontId="2" fillId="3" borderId="39" xfId="0" applyFont="1" applyFill="1" applyBorder="1" applyAlignment="1">
      <alignment horizontal="center" vertical="center" wrapText="1" readingOrder="1"/>
    </xf>
    <xf numFmtId="0" fontId="2" fillId="3" borderId="41" xfId="0" applyFont="1" applyFill="1" applyBorder="1" applyAlignment="1">
      <alignment horizontal="center" vertical="center" wrapText="1" readingOrder="1"/>
    </xf>
    <xf numFmtId="0" fontId="2" fillId="0" borderId="40" xfId="0" applyFont="1" applyBorder="1" applyAlignment="1">
      <alignment horizontal="center" vertical="center" wrapText="1" readingOrder="1"/>
    </xf>
    <xf numFmtId="49" fontId="6" fillId="19" borderId="48" xfId="0" applyNumberFormat="1" applyFont="1" applyFill="1" applyBorder="1" applyAlignment="1">
      <alignment vertical="center"/>
    </xf>
    <xf numFmtId="49" fontId="4" fillId="0" borderId="48" xfId="0" applyNumberFormat="1" applyFont="1" applyBorder="1" applyAlignment="1">
      <alignment vertical="center"/>
    </xf>
    <xf numFmtId="49" fontId="4" fillId="20" borderId="48" xfId="0" applyNumberFormat="1" applyFont="1" applyFill="1" applyBorder="1" applyAlignment="1">
      <alignment vertical="center"/>
    </xf>
    <xf numFmtId="49" fontId="4" fillId="21" borderId="48" xfId="0" applyNumberFormat="1" applyFont="1" applyFill="1" applyBorder="1" applyAlignment="1">
      <alignment vertic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3" fillId="3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 readingOrder="1"/>
    </xf>
    <xf numFmtId="0" fontId="2" fillId="0" borderId="6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 readingOrder="1"/>
    </xf>
    <xf numFmtId="2" fontId="2" fillId="3" borderId="8" xfId="0" applyNumberFormat="1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 readingOrder="1"/>
    </xf>
    <xf numFmtId="0" fontId="7" fillId="2" borderId="32" xfId="0" applyFont="1" applyFill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 readingOrder="1"/>
    </xf>
    <xf numFmtId="0" fontId="7" fillId="2" borderId="33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left" vertical="center" wrapText="1" readingOrder="1"/>
    </xf>
    <xf numFmtId="0" fontId="5" fillId="2" borderId="10" xfId="0" applyFont="1" applyFill="1" applyBorder="1" applyAlignment="1">
      <alignment horizontal="center" vertical="center" wrapText="1" readingOrder="1"/>
    </xf>
    <xf numFmtId="0" fontId="5" fillId="2" borderId="11" xfId="0" applyFont="1" applyFill="1" applyBorder="1" applyAlignment="1">
      <alignment horizontal="center" vertical="center" wrapText="1" readingOrder="1"/>
    </xf>
    <xf numFmtId="0" fontId="5" fillId="2" borderId="12" xfId="0" applyFont="1" applyFill="1" applyBorder="1" applyAlignment="1">
      <alignment horizontal="center" vertical="center" wrapText="1" readingOrder="1"/>
    </xf>
    <xf numFmtId="0" fontId="3" fillId="10" borderId="12" xfId="0" applyFont="1" applyFill="1" applyBorder="1" applyAlignment="1">
      <alignment horizontal="left" vertical="center" wrapText="1" readingOrder="1"/>
    </xf>
    <xf numFmtId="0" fontId="3" fillId="10" borderId="12" xfId="0" applyFont="1" applyFill="1" applyBorder="1" applyAlignment="1">
      <alignment horizontal="center" vertical="center" wrapText="1" readingOrder="1"/>
    </xf>
    <xf numFmtId="0" fontId="3" fillId="3" borderId="12" xfId="0" applyFont="1" applyFill="1" applyBorder="1" applyAlignment="1">
      <alignment horizontal="left" vertical="center" wrapText="1" readingOrder="1"/>
    </xf>
    <xf numFmtId="0" fontId="3" fillId="3" borderId="12" xfId="0" applyFont="1" applyFill="1" applyBorder="1" applyAlignment="1">
      <alignment horizontal="center" vertical="center" wrapText="1" readingOrder="1"/>
    </xf>
    <xf numFmtId="0" fontId="5" fillId="11" borderId="42" xfId="0" applyFont="1" applyFill="1" applyBorder="1" applyAlignment="1">
      <alignment horizontal="center" vertical="center" wrapText="1" readingOrder="1"/>
    </xf>
    <xf numFmtId="0" fontId="5" fillId="11" borderId="42" xfId="0" applyFont="1" applyFill="1" applyBorder="1" applyAlignment="1">
      <alignment horizontal="left" vertical="center" wrapText="1" readingOrder="1"/>
    </xf>
    <xf numFmtId="0" fontId="5" fillId="11" borderId="43" xfId="0" applyFont="1" applyFill="1" applyBorder="1" applyAlignment="1">
      <alignment horizontal="center" vertical="center" wrapText="1" readingOrder="1"/>
    </xf>
    <xf numFmtId="0" fontId="3" fillId="12" borderId="43" xfId="0" applyFont="1" applyFill="1" applyBorder="1" applyAlignment="1">
      <alignment horizontal="left" vertical="center" wrapText="1" readingOrder="1"/>
    </xf>
    <xf numFmtId="0" fontId="3" fillId="12" borderId="43" xfId="0" applyFont="1" applyFill="1" applyBorder="1" applyAlignment="1">
      <alignment horizontal="center" vertical="center" wrapText="1" readingOrder="1"/>
    </xf>
    <xf numFmtId="0" fontId="5" fillId="14" borderId="10" xfId="0" applyFont="1" applyFill="1" applyBorder="1" applyAlignment="1">
      <alignment horizontal="center" vertical="center" wrapText="1" readingOrder="1"/>
    </xf>
    <xf numFmtId="0" fontId="5" fillId="14" borderId="11" xfId="0" applyFont="1" applyFill="1" applyBorder="1" applyAlignment="1">
      <alignment horizontal="left" vertical="center" wrapText="1" readingOrder="1"/>
    </xf>
    <xf numFmtId="0" fontId="5" fillId="14" borderId="11" xfId="0" applyFont="1" applyFill="1" applyBorder="1" applyAlignment="1">
      <alignment horizontal="center" vertical="center" wrapText="1" readingOrder="1"/>
    </xf>
    <xf numFmtId="0" fontId="3" fillId="15" borderId="14" xfId="0" applyFont="1" applyFill="1" applyBorder="1" applyAlignment="1">
      <alignment horizontal="left" vertical="center" wrapText="1" readingOrder="1"/>
    </xf>
    <xf numFmtId="0" fontId="3" fillId="15" borderId="14" xfId="0" applyFont="1" applyFill="1" applyBorder="1" applyAlignment="1">
      <alignment horizontal="center" vertical="center" wrapText="1" readingOrder="1"/>
    </xf>
    <xf numFmtId="0" fontId="3" fillId="15" borderId="15" xfId="0" applyFont="1" applyFill="1" applyBorder="1" applyAlignment="1">
      <alignment horizontal="left" vertical="center" wrapText="1" readingOrder="1"/>
    </xf>
    <xf numFmtId="0" fontId="3" fillId="15" borderId="15" xfId="0" applyFont="1" applyFill="1" applyBorder="1" applyAlignment="1">
      <alignment horizontal="center" vertical="center" wrapText="1" readingOrder="1"/>
    </xf>
    <xf numFmtId="0" fontId="3" fillId="15" borderId="16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center" vertical="top" wrapText="1"/>
    </xf>
    <xf numFmtId="0" fontId="5" fillId="11" borderId="10" xfId="0" applyFont="1" applyFill="1" applyBorder="1" applyAlignment="1">
      <alignment horizontal="left" vertical="center" wrapText="1" readingOrder="1"/>
    </xf>
    <xf numFmtId="0" fontId="5" fillId="11" borderId="11" xfId="0" applyFont="1" applyFill="1" applyBorder="1" applyAlignment="1">
      <alignment horizontal="center" vertical="center" wrapText="1" readingOrder="1"/>
    </xf>
    <xf numFmtId="0" fontId="5" fillId="11" borderId="12" xfId="0" applyFont="1" applyFill="1" applyBorder="1" applyAlignment="1">
      <alignment horizontal="center" vertical="center" wrapText="1" readingOrder="1"/>
    </xf>
    <xf numFmtId="0" fontId="3" fillId="16" borderId="12" xfId="0" applyFont="1" applyFill="1" applyBorder="1" applyAlignment="1">
      <alignment horizontal="center" vertical="center" wrapText="1" readingOrder="1"/>
    </xf>
    <xf numFmtId="0" fontId="3" fillId="17" borderId="12" xfId="0" applyFont="1" applyFill="1" applyBorder="1" applyAlignment="1">
      <alignment horizontal="left" vertical="center" wrapText="1" readingOrder="1"/>
    </xf>
    <xf numFmtId="0" fontId="3" fillId="17" borderId="12" xfId="0" applyFont="1" applyFill="1" applyBorder="1" applyAlignment="1">
      <alignment horizontal="center" vertical="center" wrapText="1" readingOrder="1"/>
    </xf>
    <xf numFmtId="0" fontId="5" fillId="14" borderId="10" xfId="0" applyFont="1" applyFill="1" applyBorder="1" applyAlignment="1">
      <alignment horizontal="left" vertical="center" wrapText="1" readingOrder="1"/>
    </xf>
    <xf numFmtId="0" fontId="5" fillId="14" borderId="12" xfId="0" applyFont="1" applyFill="1" applyBorder="1" applyAlignment="1">
      <alignment horizontal="center" vertical="center" wrapText="1" readingOrder="1"/>
    </xf>
    <xf numFmtId="0" fontId="3" fillId="15" borderId="12" xfId="0" applyFont="1" applyFill="1" applyBorder="1" applyAlignment="1">
      <alignment horizontal="left" vertical="center" wrapText="1" readingOrder="1"/>
    </xf>
    <xf numFmtId="0" fontId="3" fillId="15" borderId="12" xfId="0" applyFont="1" applyFill="1" applyBorder="1" applyAlignment="1">
      <alignment horizontal="center" vertical="center" wrapText="1" readingOrder="1"/>
    </xf>
    <xf numFmtId="0" fontId="6" fillId="0" borderId="5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49" fontId="6" fillId="19" borderId="52" xfId="0" applyNumberFormat="1" applyFont="1" applyFill="1" applyBorder="1" applyAlignment="1">
      <alignment horizontal="center" vertical="center" wrapText="1"/>
    </xf>
    <xf numFmtId="49" fontId="6" fillId="19" borderId="48" xfId="0" applyNumberFormat="1" applyFont="1" applyFill="1" applyBorder="1" applyAlignment="1">
      <alignment horizontal="center" vertical="center" wrapText="1"/>
    </xf>
    <xf numFmtId="49" fontId="6" fillId="0" borderId="54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/>
    </xf>
    <xf numFmtId="49" fontId="6" fillId="0" borderId="48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center" vertical="center"/>
    </xf>
    <xf numFmtId="0" fontId="2" fillId="18" borderId="48" xfId="0" applyFont="1" applyFill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center" vertical="center" wrapText="1" readingOrder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2" fillId="18" borderId="44" xfId="0" applyFont="1" applyFill="1" applyBorder="1" applyAlignment="1">
      <alignment horizontal="left" vertical="center" wrapText="1" readingOrder="1"/>
    </xf>
    <xf numFmtId="0" fontId="2" fillId="18" borderId="44" xfId="0" applyFont="1" applyFill="1" applyBorder="1" applyAlignment="1">
      <alignment horizontal="center" vertical="center" wrapText="1" readingOrder="1"/>
    </xf>
    <xf numFmtId="0" fontId="2" fillId="0" borderId="44" xfId="0" applyFont="1" applyBorder="1" applyAlignment="1">
      <alignment horizontal="left" vertical="center" wrapText="1" readingOrder="1"/>
    </xf>
    <xf numFmtId="0" fontId="10" fillId="0" borderId="0" xfId="0" applyFont="1"/>
    <xf numFmtId="0" fontId="12" fillId="8" borderId="57" xfId="0" applyFont="1" applyFill="1" applyBorder="1" applyAlignment="1">
      <alignment horizontal="left" vertical="center" wrapText="1" readingOrder="1"/>
    </xf>
    <xf numFmtId="0" fontId="12" fillId="8" borderId="58" xfId="0" applyFont="1" applyFill="1" applyBorder="1" applyAlignment="1">
      <alignment horizontal="center" vertical="center" wrapText="1" readingOrder="1"/>
    </xf>
    <xf numFmtId="0" fontId="12" fillId="8" borderId="59" xfId="0" applyFont="1" applyFill="1" applyBorder="1" applyAlignment="1">
      <alignment horizontal="center" vertical="center" wrapText="1" readingOrder="1"/>
    </xf>
    <xf numFmtId="0" fontId="12" fillId="8" borderId="60" xfId="0" applyFont="1" applyFill="1" applyBorder="1" applyAlignment="1">
      <alignment horizontal="center" vertical="center" wrapText="1" readingOrder="1"/>
    </xf>
    <xf numFmtId="0" fontId="12" fillId="8" borderId="61" xfId="0" applyFont="1" applyFill="1" applyBorder="1" applyAlignment="1">
      <alignment horizontal="center" vertical="center" wrapText="1" readingOrder="1"/>
    </xf>
    <xf numFmtId="0" fontId="12" fillId="8" borderId="62" xfId="0" applyFont="1" applyFill="1" applyBorder="1" applyAlignment="1">
      <alignment horizontal="center" vertical="center" wrapText="1" readingOrder="1"/>
    </xf>
    <xf numFmtId="0" fontId="12" fillId="8" borderId="63" xfId="0" applyFont="1" applyFill="1" applyBorder="1" applyAlignment="1">
      <alignment horizontal="center" vertical="center" wrapText="1" readingOrder="1"/>
    </xf>
    <xf numFmtId="0" fontId="12" fillId="8" borderId="64" xfId="0" applyFont="1" applyFill="1" applyBorder="1" applyAlignment="1">
      <alignment horizontal="center" vertical="center" wrapText="1" readingOrder="1"/>
    </xf>
    <xf numFmtId="0" fontId="12" fillId="0" borderId="57" xfId="0" applyFont="1" applyBorder="1" applyAlignment="1">
      <alignment horizontal="left" vertical="center" wrapText="1" readingOrder="1"/>
    </xf>
    <xf numFmtId="0" fontId="13" fillId="0" borderId="58" xfId="0" applyFont="1" applyBorder="1" applyAlignment="1">
      <alignment horizontal="center" vertical="center" wrapText="1" readingOrder="1"/>
    </xf>
    <xf numFmtId="0" fontId="13" fillId="0" borderId="59" xfId="0" applyFont="1" applyBorder="1" applyAlignment="1">
      <alignment horizontal="center" vertical="center" wrapText="1" readingOrder="1"/>
    </xf>
    <xf numFmtId="0" fontId="13" fillId="0" borderId="60" xfId="0" applyFont="1" applyBorder="1" applyAlignment="1">
      <alignment horizontal="center" vertical="center" wrapText="1" readingOrder="1"/>
    </xf>
    <xf numFmtId="0" fontId="14" fillId="0" borderId="60" xfId="0" applyFont="1" applyBorder="1" applyAlignment="1">
      <alignment horizontal="center" vertical="center" wrapText="1" readingOrder="1"/>
    </xf>
    <xf numFmtId="0" fontId="14" fillId="0" borderId="58" xfId="0" applyFont="1" applyBorder="1" applyAlignment="1">
      <alignment horizontal="center" vertical="center" wrapText="1" readingOrder="1"/>
    </xf>
    <xf numFmtId="0" fontId="14" fillId="0" borderId="59" xfId="0" applyFont="1" applyBorder="1" applyAlignment="1">
      <alignment horizontal="center" vertical="center" wrapText="1" readingOrder="1"/>
    </xf>
    <xf numFmtId="0" fontId="14" fillId="0" borderId="64" xfId="0" applyFont="1" applyBorder="1" applyAlignment="1">
      <alignment horizontal="center" vertical="center" wrapText="1" readingOrder="1"/>
    </xf>
    <xf numFmtId="0" fontId="12" fillId="0" borderId="65" xfId="0" applyFont="1" applyBorder="1" applyAlignment="1">
      <alignment horizontal="left" vertical="center" wrapText="1" readingOrder="1"/>
    </xf>
    <xf numFmtId="0" fontId="14" fillId="0" borderId="68" xfId="0" applyFont="1" applyBorder="1" applyAlignment="1">
      <alignment horizontal="center" vertical="center" wrapText="1" readingOrder="1"/>
    </xf>
    <xf numFmtId="0" fontId="14" fillId="0" borderId="66" xfId="0" applyFont="1" applyBorder="1" applyAlignment="1">
      <alignment horizontal="center" vertical="center" wrapText="1" readingOrder="1"/>
    </xf>
    <xf numFmtId="0" fontId="14" fillId="0" borderId="67" xfId="0" applyFont="1" applyBorder="1" applyAlignment="1">
      <alignment horizontal="center" vertical="center" wrapText="1" readingOrder="1"/>
    </xf>
    <xf numFmtId="0" fontId="14" fillId="0" borderId="69" xfId="0" applyFont="1" applyBorder="1" applyAlignment="1">
      <alignment horizontal="center" vertical="center" wrapText="1" readingOrder="1"/>
    </xf>
    <xf numFmtId="0" fontId="12" fillId="0" borderId="38" xfId="0" applyFont="1" applyBorder="1" applyAlignment="1">
      <alignment horizontal="left" vertical="center" wrapText="1" readingOrder="1"/>
    </xf>
    <xf numFmtId="0" fontId="14" fillId="0" borderId="71" xfId="0" applyFont="1" applyBorder="1" applyAlignment="1">
      <alignment horizontal="center" vertical="center" wrapText="1" readingOrder="1"/>
    </xf>
    <xf numFmtId="0" fontId="14" fillId="0" borderId="72" xfId="0" applyFont="1" applyBorder="1" applyAlignment="1">
      <alignment horizontal="center" vertical="center" wrapText="1" readingOrder="1"/>
    </xf>
    <xf numFmtId="0" fontId="14" fillId="0" borderId="70" xfId="0" applyFont="1" applyBorder="1" applyAlignment="1">
      <alignment horizontal="center" vertical="center" wrapText="1" readingOrder="1"/>
    </xf>
    <xf numFmtId="0" fontId="14" fillId="0" borderId="38" xfId="0" applyFont="1" applyBorder="1" applyAlignment="1">
      <alignment horizontal="center" vertical="center" wrapText="1" readingOrder="1"/>
    </xf>
    <xf numFmtId="0" fontId="11" fillId="0" borderId="0" xfId="0" applyFont="1" applyAlignment="1">
      <alignment wrapText="1" readingOrder="1"/>
    </xf>
    <xf numFmtId="0" fontId="11" fillId="22" borderId="73" xfId="0" applyFont="1" applyFill="1" applyBorder="1" applyAlignment="1">
      <alignment horizontal="center" wrapText="1" readingOrder="1"/>
    </xf>
    <xf numFmtId="0" fontId="11" fillId="22" borderId="77" xfId="0" applyFont="1" applyFill="1" applyBorder="1" applyAlignment="1">
      <alignment horizontal="center" wrapText="1" readingOrder="1"/>
    </xf>
    <xf numFmtId="0" fontId="16" fillId="2" borderId="81" xfId="0" applyFont="1" applyFill="1" applyBorder="1" applyAlignment="1">
      <alignment horizontal="center" vertical="center" wrapText="1"/>
    </xf>
    <xf numFmtId="0" fontId="16" fillId="2" borderId="55" xfId="0" applyFont="1" applyFill="1" applyBorder="1" applyAlignment="1">
      <alignment horizontal="center" vertical="center" wrapText="1"/>
    </xf>
    <xf numFmtId="0" fontId="17" fillId="3" borderId="81" xfId="0" applyFont="1" applyFill="1" applyBorder="1" applyAlignment="1">
      <alignment horizontal="center" vertical="center" wrapText="1"/>
    </xf>
    <xf numFmtId="0" fontId="17" fillId="23" borderId="81" xfId="0" applyFont="1" applyFill="1" applyBorder="1" applyAlignment="1">
      <alignment horizontal="center" vertical="center" wrapText="1"/>
    </xf>
    <xf numFmtId="0" fontId="16" fillId="2" borderId="56" xfId="0" applyFont="1" applyFill="1" applyBorder="1" applyAlignment="1">
      <alignment horizontal="center" vertical="center" wrapText="1"/>
    </xf>
    <xf numFmtId="0" fontId="17" fillId="3" borderId="55" xfId="0" applyFont="1" applyFill="1" applyBorder="1" applyAlignment="1">
      <alignment horizontal="center" vertical="center" wrapText="1"/>
    </xf>
    <xf numFmtId="0" fontId="17" fillId="23" borderId="55" xfId="0" applyFont="1" applyFill="1" applyBorder="1" applyAlignment="1">
      <alignment horizontal="center" vertical="center" wrapText="1"/>
    </xf>
    <xf numFmtId="2" fontId="3" fillId="7" borderId="30" xfId="0" applyNumberFormat="1" applyFont="1" applyFill="1" applyBorder="1" applyAlignment="1">
      <alignment horizontal="center" vertical="center" wrapText="1" readingOrder="1"/>
    </xf>
    <xf numFmtId="49" fontId="6" fillId="0" borderId="48" xfId="0" applyNumberFormat="1" applyFont="1" applyBorder="1" applyAlignment="1">
      <alignment horizontal="center" vertical="center" wrapText="1"/>
    </xf>
    <xf numFmtId="0" fontId="1" fillId="24" borderId="0" xfId="0" applyFont="1" applyFill="1"/>
    <xf numFmtId="0" fontId="4" fillId="24" borderId="0" xfId="0" applyFont="1" applyFill="1"/>
    <xf numFmtId="0" fontId="2" fillId="18" borderId="47" xfId="0" applyFont="1" applyFill="1" applyBorder="1" applyAlignment="1">
      <alignment horizontal="left" vertical="center" wrapText="1" readingOrder="1"/>
    </xf>
    <xf numFmtId="0" fontId="12" fillId="0" borderId="0" xfId="0" applyFont="1" applyAlignment="1">
      <alignment horizontal="left" vertical="center" wrapText="1" readingOrder="1"/>
    </xf>
    <xf numFmtId="0" fontId="14" fillId="0" borderId="0" xfId="0" applyFont="1" applyAlignment="1">
      <alignment horizontal="center" vertical="center" wrapText="1" readingOrder="1"/>
    </xf>
    <xf numFmtId="0" fontId="3" fillId="13" borderId="14" xfId="0" applyFont="1" applyFill="1" applyBorder="1" applyAlignment="1">
      <alignment horizontal="center" vertical="center" wrapText="1" readingOrder="1"/>
    </xf>
    <xf numFmtId="0" fontId="3" fillId="13" borderId="16" xfId="0" applyFont="1" applyFill="1" applyBorder="1" applyAlignment="1">
      <alignment horizontal="center" vertical="center" wrapText="1" readingOrder="1"/>
    </xf>
    <xf numFmtId="0" fontId="2" fillId="25" borderId="41" xfId="0" applyFont="1" applyFill="1" applyBorder="1" applyAlignment="1">
      <alignment horizontal="center" vertical="center" wrapText="1" readingOrder="1"/>
    </xf>
    <xf numFmtId="0" fontId="2" fillId="25" borderId="4" xfId="0" applyFont="1" applyFill="1" applyBorder="1" applyAlignment="1">
      <alignment horizontal="center" vertical="center" wrapText="1" readingOrder="1"/>
    </xf>
    <xf numFmtId="0" fontId="5" fillId="11" borderId="13" xfId="0" applyFont="1" applyFill="1" applyBorder="1" applyAlignment="1">
      <alignment horizontal="center" vertical="center" wrapText="1" readingOrder="1"/>
    </xf>
    <xf numFmtId="0" fontId="6" fillId="0" borderId="48" xfId="0" applyFont="1" applyBorder="1" applyAlignment="1">
      <alignment horizontal="center" vertical="center" wrapText="1"/>
    </xf>
    <xf numFmtId="0" fontId="4" fillId="19" borderId="48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/>
    </xf>
    <xf numFmtId="0" fontId="11" fillId="22" borderId="74" xfId="0" applyFont="1" applyFill="1" applyBorder="1" applyAlignment="1">
      <alignment horizontal="center" wrapText="1" readingOrder="1"/>
    </xf>
    <xf numFmtId="0" fontId="11" fillId="22" borderId="75" xfId="0" applyFont="1" applyFill="1" applyBorder="1" applyAlignment="1">
      <alignment horizontal="center" wrapText="1" readingOrder="1"/>
    </xf>
    <xf numFmtId="0" fontId="11" fillId="22" borderId="76" xfId="0" applyFont="1" applyFill="1" applyBorder="1" applyAlignment="1">
      <alignment horizontal="center" wrapText="1" readingOrder="1"/>
    </xf>
    <xf numFmtId="0" fontId="11" fillId="22" borderId="78" xfId="0" applyFont="1" applyFill="1" applyBorder="1" applyAlignment="1">
      <alignment horizontal="center" wrapText="1" readingOrder="1"/>
    </xf>
    <xf numFmtId="0" fontId="11" fillId="22" borderId="79" xfId="0" applyFont="1" applyFill="1" applyBorder="1" applyAlignment="1">
      <alignment horizontal="center" wrapText="1" readingOrder="1"/>
    </xf>
    <xf numFmtId="0" fontId="11" fillId="22" borderId="80" xfId="0" applyFont="1" applyFill="1" applyBorder="1" applyAlignment="1">
      <alignment horizontal="center" wrapText="1" readingOrder="1"/>
    </xf>
    <xf numFmtId="0" fontId="6" fillId="19" borderId="0" xfId="0" applyFont="1" applyFill="1" applyAlignment="1">
      <alignment horizontal="center"/>
    </xf>
    <xf numFmtId="0" fontId="3" fillId="7" borderId="14" xfId="0" applyFont="1" applyFill="1" applyBorder="1" applyAlignment="1">
      <alignment horizontal="center" vertical="center" wrapText="1" readingOrder="1"/>
    </xf>
    <xf numFmtId="0" fontId="3" fillId="7" borderId="15" xfId="0" applyFont="1" applyFill="1" applyBorder="1" applyAlignment="1">
      <alignment horizontal="center" vertical="center" wrapText="1" readingOrder="1"/>
    </xf>
    <xf numFmtId="0" fontId="3" fillId="7" borderId="16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0" fontId="2" fillId="6" borderId="17" xfId="0" applyFont="1" applyFill="1" applyBorder="1" applyAlignment="1">
      <alignment horizontal="center" vertical="center" wrapText="1" readingOrder="1"/>
    </xf>
    <xf numFmtId="0" fontId="2" fillId="6" borderId="18" xfId="0" applyFont="1" applyFill="1" applyBorder="1" applyAlignment="1">
      <alignment horizontal="center" vertical="center" wrapText="1" readingOrder="1"/>
    </xf>
    <xf numFmtId="0" fontId="2" fillId="6" borderId="19" xfId="0" applyFont="1" applyFill="1" applyBorder="1" applyAlignment="1">
      <alignment horizontal="center" vertical="center" wrapText="1" readingOrder="1"/>
    </xf>
    <xf numFmtId="0" fontId="2" fillId="7" borderId="10" xfId="0" applyFont="1" applyFill="1" applyBorder="1" applyAlignment="1">
      <alignment horizontal="center" vertical="center" wrapText="1" readingOrder="1"/>
    </xf>
    <xf numFmtId="0" fontId="2" fillId="7" borderId="11" xfId="0" applyFont="1" applyFill="1" applyBorder="1" applyAlignment="1">
      <alignment horizontal="center" vertical="center" wrapText="1" readingOrder="1"/>
    </xf>
    <xf numFmtId="0" fontId="2" fillId="7" borderId="13" xfId="0" applyFont="1" applyFill="1" applyBorder="1" applyAlignment="1">
      <alignment horizontal="center" vertical="center" wrapText="1" readingOrder="1"/>
    </xf>
    <xf numFmtId="0" fontId="2" fillId="9" borderId="10" xfId="0" applyFont="1" applyFill="1" applyBorder="1" applyAlignment="1">
      <alignment horizontal="center" vertical="center" wrapText="1" readingOrder="1"/>
    </xf>
    <xf numFmtId="0" fontId="2" fillId="9" borderId="11" xfId="0" applyFont="1" applyFill="1" applyBorder="1" applyAlignment="1">
      <alignment horizontal="center" vertical="center" wrapText="1" readingOrder="1"/>
    </xf>
    <xf numFmtId="0" fontId="2" fillId="9" borderId="21" xfId="0" applyFont="1" applyFill="1" applyBorder="1" applyAlignment="1">
      <alignment horizontal="center" vertical="center" wrapText="1" readingOrder="1"/>
    </xf>
    <xf numFmtId="0" fontId="5" fillId="14" borderId="14" xfId="0" applyFont="1" applyFill="1" applyBorder="1" applyAlignment="1">
      <alignment horizontal="center" vertical="center" wrapText="1" readingOrder="1"/>
    </xf>
    <xf numFmtId="0" fontId="5" fillId="14" borderId="15" xfId="0" applyFont="1" applyFill="1" applyBorder="1" applyAlignment="1">
      <alignment horizontal="center" vertical="center" wrapText="1" readingOrder="1"/>
    </xf>
    <xf numFmtId="0" fontId="5" fillId="14" borderId="16" xfId="0" applyFont="1" applyFill="1" applyBorder="1" applyAlignment="1">
      <alignment horizontal="center" vertical="center" wrapText="1" readingOrder="1"/>
    </xf>
    <xf numFmtId="0" fontId="3" fillId="15" borderId="14" xfId="0" applyFont="1" applyFill="1" applyBorder="1" applyAlignment="1">
      <alignment horizontal="left" vertical="center" wrapText="1" readingOrder="1"/>
    </xf>
    <xf numFmtId="0" fontId="3" fillId="15" borderId="15" xfId="0" applyFont="1" applyFill="1" applyBorder="1" applyAlignment="1">
      <alignment horizontal="left" vertical="center" wrapText="1" readingOrder="1"/>
    </xf>
    <xf numFmtId="0" fontId="3" fillId="15" borderId="16" xfId="0" applyFont="1" applyFill="1" applyBorder="1" applyAlignment="1">
      <alignment horizontal="left" vertical="center" wrapText="1" readingOrder="1"/>
    </xf>
    <xf numFmtId="0" fontId="2" fillId="18" borderId="48" xfId="0" applyFont="1" applyFill="1" applyBorder="1" applyAlignment="1">
      <alignment horizontal="center" vertical="center" wrapText="1" readingOrder="1"/>
    </xf>
    <xf numFmtId="0" fontId="3" fillId="9" borderId="24" xfId="0" applyFont="1" applyFill="1" applyBorder="1" applyAlignment="1">
      <alignment horizontal="center" vertical="center" wrapText="1" readingOrder="1"/>
    </xf>
    <xf numFmtId="0" fontId="3" fillId="9" borderId="26" xfId="0" applyFont="1" applyFill="1" applyBorder="1" applyAlignment="1">
      <alignment horizontal="center" vertical="center" wrapText="1" readingOrder="1"/>
    </xf>
    <xf numFmtId="0" fontId="3" fillId="9" borderId="28" xfId="0" applyFont="1" applyFill="1" applyBorder="1" applyAlignment="1">
      <alignment horizontal="center" vertical="center" wrapText="1" readingOrder="1"/>
    </xf>
    <xf numFmtId="0" fontId="5" fillId="11" borderId="14" xfId="0" applyFont="1" applyFill="1" applyBorder="1" applyAlignment="1">
      <alignment horizontal="center" vertical="center" wrapText="1" readingOrder="1"/>
    </xf>
    <xf numFmtId="0" fontId="5" fillId="11" borderId="16" xfId="0" applyFont="1" applyFill="1" applyBorder="1" applyAlignment="1">
      <alignment horizontal="center" vertical="center" wrapText="1" readingOrder="1"/>
    </xf>
    <xf numFmtId="0" fontId="3" fillId="13" borderId="14" xfId="0" applyFont="1" applyFill="1" applyBorder="1" applyAlignment="1">
      <alignment horizontal="left" vertical="center" wrapText="1" readingOrder="1"/>
    </xf>
    <xf numFmtId="0" fontId="3" fillId="13" borderId="16" xfId="0" applyFont="1" applyFill="1" applyBorder="1" applyAlignment="1">
      <alignment horizontal="left" vertical="center" wrapText="1" readingOrder="1"/>
    </xf>
    <xf numFmtId="0" fontId="3" fillId="13" borderId="14" xfId="0" applyFont="1" applyFill="1" applyBorder="1" applyAlignment="1">
      <alignment horizontal="center" vertical="center" wrapText="1" readingOrder="1"/>
    </xf>
    <xf numFmtId="0" fontId="3" fillId="13" borderId="16" xfId="0" applyFont="1" applyFill="1" applyBorder="1" applyAlignment="1">
      <alignment horizontal="center" vertical="center" wrapText="1" readingOrder="1"/>
    </xf>
    <xf numFmtId="0" fontId="2" fillId="6" borderId="23" xfId="0" applyFont="1" applyFill="1" applyBorder="1" applyAlignment="1">
      <alignment horizontal="center" vertical="center" wrapText="1" readingOrder="1"/>
    </xf>
    <xf numFmtId="0" fontId="2" fillId="6" borderId="25" xfId="0" applyFont="1" applyFill="1" applyBorder="1" applyAlignment="1">
      <alignment horizontal="center" vertical="center" wrapText="1" readingOrder="1"/>
    </xf>
    <xf numFmtId="0" fontId="2" fillId="6" borderId="27" xfId="0" applyFont="1" applyFill="1" applyBorder="1" applyAlignment="1">
      <alignment horizontal="center" vertical="center" wrapText="1" readingOrder="1"/>
    </xf>
    <xf numFmtId="0" fontId="3" fillId="9" borderId="14" xfId="0" applyFont="1" applyFill="1" applyBorder="1" applyAlignment="1">
      <alignment horizontal="center" vertical="center" wrapText="1" readingOrder="1"/>
    </xf>
    <xf numFmtId="0" fontId="3" fillId="9" borderId="15" xfId="0" applyFont="1" applyFill="1" applyBorder="1" applyAlignment="1">
      <alignment horizontal="center" vertical="center" wrapText="1" readingOrder="1"/>
    </xf>
    <xf numFmtId="0" fontId="3" fillId="9" borderId="16" xfId="0" applyFont="1" applyFill="1" applyBorder="1" applyAlignment="1">
      <alignment horizontal="center" vertical="center" wrapText="1" readingOrder="1"/>
    </xf>
    <xf numFmtId="0" fontId="3" fillId="16" borderId="14" xfId="0" applyFont="1" applyFill="1" applyBorder="1" applyAlignment="1">
      <alignment horizontal="center" vertical="center" wrapText="1" readingOrder="1"/>
    </xf>
    <xf numFmtId="0" fontId="3" fillId="16" borderId="16" xfId="0" applyFont="1" applyFill="1" applyBorder="1" applyAlignment="1">
      <alignment horizontal="center" vertical="center" wrapText="1" readingOrder="1"/>
    </xf>
    <xf numFmtId="0" fontId="18" fillId="0" borderId="48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49" xfId="0" applyFont="1" applyBorder="1" applyAlignment="1">
      <alignment horizontal="center"/>
    </xf>
    <xf numFmtId="49" fontId="6" fillId="0" borderId="51" xfId="0" applyNumberFormat="1" applyFont="1" applyBorder="1" applyAlignment="1">
      <alignment horizontal="center" vertical="center" wrapText="1"/>
    </xf>
    <xf numFmtId="49" fontId="6" fillId="0" borderId="53" xfId="0" applyNumberFormat="1" applyFont="1" applyBorder="1" applyAlignment="1">
      <alignment horizontal="center" vertical="center" wrapText="1"/>
    </xf>
    <xf numFmtId="49" fontId="6" fillId="0" borderId="55" xfId="0" applyNumberFormat="1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center" vertical="center" wrapText="1"/>
    </xf>
    <xf numFmtId="0" fontId="2" fillId="18" borderId="45" xfId="0" applyFont="1" applyFill="1" applyBorder="1" applyAlignment="1">
      <alignment horizontal="left" vertical="center" wrapText="1" readingOrder="1"/>
    </xf>
    <xf numFmtId="0" fontId="2" fillId="18" borderId="46" xfId="0" applyFont="1" applyFill="1" applyBorder="1" applyAlignment="1">
      <alignment horizontal="left" vertical="center" wrapText="1" readingOrder="1"/>
    </xf>
    <xf numFmtId="0" fontId="2" fillId="18" borderId="47" xfId="0" applyFont="1" applyFill="1" applyBorder="1" applyAlignment="1">
      <alignment horizontal="left" vertical="center" wrapText="1" readingOrder="1"/>
    </xf>
    <xf numFmtId="0" fontId="3" fillId="18" borderId="45" xfId="0" applyFont="1" applyFill="1" applyBorder="1" applyAlignment="1">
      <alignment horizontal="center" vertical="center" wrapText="1" readingOrder="1"/>
    </xf>
    <xf numFmtId="0" fontId="3" fillId="18" borderId="46" xfId="0" applyFont="1" applyFill="1" applyBorder="1" applyAlignment="1">
      <alignment horizontal="center" vertical="center" wrapText="1" readingOrder="1"/>
    </xf>
    <xf numFmtId="0" fontId="3" fillId="18" borderId="47" xfId="0" applyFont="1" applyFill="1" applyBorder="1" applyAlignment="1">
      <alignment horizontal="center" vertical="center" wrapText="1" readingOrder="1"/>
    </xf>
    <xf numFmtId="0" fontId="2" fillId="0" borderId="45" xfId="0" applyFont="1" applyBorder="1" applyAlignment="1">
      <alignment horizontal="left" vertical="center" wrapText="1" readingOrder="1"/>
    </xf>
    <xf numFmtId="0" fontId="2" fillId="0" borderId="46" xfId="0" applyFont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left" vertical="center" wrapText="1" readingOrder="1"/>
    </xf>
    <xf numFmtId="0" fontId="19" fillId="0" borderId="48" xfId="0" applyFont="1" applyBorder="1" applyAlignment="1">
      <alignment horizontal="center" vertical="center" wrapText="1"/>
    </xf>
    <xf numFmtId="0" fontId="2" fillId="0" borderId="86" xfId="0" applyFont="1" applyBorder="1" applyAlignment="1">
      <alignment horizontal="center" vertical="center" wrapText="1" readingOrder="1"/>
    </xf>
    <xf numFmtId="0" fontId="2" fillId="0" borderId="83" xfId="0" applyFont="1" applyBorder="1" applyAlignment="1">
      <alignment horizontal="center" vertical="center" wrapText="1" readingOrder="1"/>
    </xf>
    <xf numFmtId="0" fontId="3" fillId="18" borderId="87" xfId="0" applyFont="1" applyFill="1" applyBorder="1" applyAlignment="1">
      <alignment horizontal="center" vertical="center" wrapText="1" readingOrder="1"/>
    </xf>
    <xf numFmtId="0" fontId="3" fillId="18" borderId="88" xfId="0" applyFont="1" applyFill="1" applyBorder="1" applyAlignment="1">
      <alignment horizontal="center" vertical="center" wrapText="1" readingOrder="1"/>
    </xf>
    <xf numFmtId="0" fontId="3" fillId="18" borderId="85" xfId="0" applyFont="1" applyFill="1" applyBorder="1" applyAlignment="1">
      <alignment horizontal="center" vertical="center" wrapText="1" readingOrder="1"/>
    </xf>
    <xf numFmtId="0" fontId="3" fillId="18" borderId="84" xfId="0" applyFont="1" applyFill="1" applyBorder="1" applyAlignment="1">
      <alignment horizontal="center" vertical="center" wrapText="1" readingOrder="1"/>
    </xf>
    <xf numFmtId="0" fontId="3" fillId="18" borderId="86" xfId="0" applyFont="1" applyFill="1" applyBorder="1" applyAlignment="1">
      <alignment horizontal="center" vertical="center" wrapText="1" readingOrder="1"/>
    </xf>
    <xf numFmtId="0" fontId="3" fillId="18" borderId="8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J201"/>
  <sheetViews>
    <sheetView tabSelected="1" topLeftCell="A52" workbookViewId="0">
      <selection activeCell="C58" sqref="C58"/>
    </sheetView>
  </sheetViews>
  <sheetFormatPr defaultColWidth="10.85546875" defaultRowHeight="12.95"/>
  <cols>
    <col min="1" max="1" width="10.85546875" style="21"/>
    <col min="2" max="2" width="16.140625" style="21" customWidth="1"/>
    <col min="3" max="3" width="12.85546875" style="21" customWidth="1"/>
    <col min="4" max="4" width="12.42578125" style="21" customWidth="1"/>
    <col min="5" max="5" width="24.140625" style="21" customWidth="1"/>
    <col min="6" max="6" width="10.85546875" style="21"/>
    <col min="7" max="7" width="13.28515625" style="21" customWidth="1"/>
    <col min="8" max="16384" width="10.85546875" style="21"/>
  </cols>
  <sheetData>
    <row r="2" spans="1:6">
      <c r="B2" s="158" t="s">
        <v>0</v>
      </c>
      <c r="C2" s="158"/>
      <c r="D2" s="158"/>
      <c r="E2" s="158"/>
      <c r="F2" s="158"/>
    </row>
    <row r="4" spans="1:6" ht="15.6">
      <c r="B4" s="164" t="s">
        <v>1</v>
      </c>
      <c r="C4" s="164"/>
    </row>
    <row r="5" spans="1:6" ht="13.5" thickBot="1"/>
    <row r="6" spans="1:6" ht="13.5" thickBot="1">
      <c r="A6" s="21">
        <v>1</v>
      </c>
      <c r="B6" s="162" t="s">
        <v>2</v>
      </c>
      <c r="C6" s="163"/>
    </row>
    <row r="7" spans="1:6" ht="13.5" thickBot="1">
      <c r="B7" s="23" t="s">
        <v>3</v>
      </c>
      <c r="C7" s="24">
        <v>528</v>
      </c>
    </row>
    <row r="8" spans="1:6" ht="13.5" thickBot="1">
      <c r="B8" s="25" t="s">
        <v>4</v>
      </c>
      <c r="C8" s="26"/>
    </row>
    <row r="9" spans="1:6" ht="13.5" thickBot="1">
      <c r="B9" s="27" t="s">
        <v>5</v>
      </c>
      <c r="C9" s="28"/>
    </row>
    <row r="11" spans="1:6" ht="15.6">
      <c r="B11" s="164" t="s">
        <v>6</v>
      </c>
      <c r="C11" s="164"/>
    </row>
    <row r="12" spans="1:6" ht="13.5" thickBot="1">
      <c r="B12" s="22"/>
      <c r="C12" s="22"/>
    </row>
    <row r="13" spans="1:6" ht="39.6" thickBot="1">
      <c r="A13" s="21">
        <v>2</v>
      </c>
      <c r="B13" s="29" t="s">
        <v>7</v>
      </c>
      <c r="C13" s="30" t="s">
        <v>8</v>
      </c>
    </row>
    <row r="14" spans="1:6" ht="26.45" thickBot="1">
      <c r="B14" s="31" t="s">
        <v>9</v>
      </c>
      <c r="C14" s="32">
        <v>285</v>
      </c>
    </row>
    <row r="15" spans="1:6" ht="13.5" thickBot="1">
      <c r="B15" s="33" t="s">
        <v>10</v>
      </c>
      <c r="C15" s="34">
        <v>16.7</v>
      </c>
    </row>
    <row r="16" spans="1:6" ht="26.45" thickBot="1">
      <c r="B16" s="31" t="s">
        <v>11</v>
      </c>
      <c r="C16" s="35">
        <f>C14/C15</f>
        <v>17.065868263473053</v>
      </c>
    </row>
    <row r="17" spans="1:8" ht="39.6" thickBot="1">
      <c r="B17" s="29" t="s">
        <v>12</v>
      </c>
      <c r="C17" s="30" t="s">
        <v>8</v>
      </c>
    </row>
    <row r="18" spans="1:8" ht="26.45" thickBot="1">
      <c r="B18" s="31" t="s">
        <v>9</v>
      </c>
      <c r="C18" s="36">
        <v>79</v>
      </c>
    </row>
    <row r="19" spans="1:8" ht="13.5" thickBot="1">
      <c r="B19" s="33" t="s">
        <v>10</v>
      </c>
      <c r="C19" s="37">
        <v>8.6999999999999993</v>
      </c>
    </row>
    <row r="20" spans="1:8" ht="26.45" thickBot="1">
      <c r="B20" s="31" t="s">
        <v>11</v>
      </c>
      <c r="C20" s="38">
        <v>9.08</v>
      </c>
    </row>
    <row r="21" spans="1:8" ht="39.6" thickBot="1">
      <c r="B21" s="29" t="s">
        <v>13</v>
      </c>
      <c r="C21" s="30" t="s">
        <v>8</v>
      </c>
    </row>
    <row r="22" spans="1:8" ht="26.45" thickBot="1">
      <c r="B22" s="31" t="s">
        <v>9</v>
      </c>
      <c r="C22" s="36"/>
    </row>
    <row r="23" spans="1:8" ht="13.5" thickBot="1">
      <c r="B23" s="33" t="s">
        <v>10</v>
      </c>
      <c r="C23" s="37"/>
    </row>
    <row r="24" spans="1:8" ht="26.45" thickBot="1">
      <c r="B24" s="31" t="s">
        <v>11</v>
      </c>
      <c r="C24" s="38"/>
    </row>
    <row r="26" spans="1:8" ht="15.6">
      <c r="B26" s="1" t="s">
        <v>14</v>
      </c>
      <c r="C26" s="96"/>
    </row>
    <row r="27" spans="1:8" ht="13.5" thickBot="1"/>
    <row r="28" spans="1:8" ht="13.5" thickBot="1">
      <c r="A28" s="21">
        <v>3</v>
      </c>
      <c r="B28" s="165" t="s">
        <v>15</v>
      </c>
      <c r="C28" s="166"/>
      <c r="D28" s="166"/>
      <c r="E28" s="166"/>
      <c r="F28" s="166"/>
      <c r="G28" s="166"/>
      <c r="H28" s="167"/>
    </row>
    <row r="29" spans="1:8" ht="13.5" thickBot="1">
      <c r="B29" s="2" t="s">
        <v>16</v>
      </c>
      <c r="C29" s="168" t="s">
        <v>17</v>
      </c>
      <c r="D29" s="169"/>
      <c r="E29" s="170"/>
      <c r="F29" s="171" t="s">
        <v>18</v>
      </c>
      <c r="G29" s="172"/>
      <c r="H29" s="173"/>
    </row>
    <row r="30" spans="1:8" ht="39.6" thickBot="1">
      <c r="B30" s="2" t="s">
        <v>19</v>
      </c>
      <c r="C30" s="3" t="s">
        <v>3</v>
      </c>
      <c r="D30" s="3" t="s">
        <v>20</v>
      </c>
      <c r="E30" s="3" t="s">
        <v>4</v>
      </c>
      <c r="F30" s="4" t="s">
        <v>3</v>
      </c>
      <c r="G30" s="4" t="s">
        <v>21</v>
      </c>
      <c r="H30" s="5" t="s">
        <v>22</v>
      </c>
    </row>
    <row r="31" spans="1:8" ht="12.95" customHeight="1">
      <c r="B31" s="190" t="s">
        <v>23</v>
      </c>
      <c r="C31" s="159">
        <v>285</v>
      </c>
      <c r="D31" s="159" t="s">
        <v>24</v>
      </c>
      <c r="E31" s="159"/>
      <c r="F31" s="193"/>
      <c r="G31" s="193"/>
      <c r="H31" s="181"/>
    </row>
    <row r="32" spans="1:8" ht="21.6" customHeight="1">
      <c r="B32" s="191"/>
      <c r="C32" s="160"/>
      <c r="D32" s="160"/>
      <c r="E32" s="160"/>
      <c r="F32" s="194"/>
      <c r="G32" s="194"/>
      <c r="H32" s="182"/>
    </row>
    <row r="33" spans="1:8" ht="14.45" customHeight="1">
      <c r="B33" s="191"/>
      <c r="C33" s="160"/>
      <c r="D33" s="160"/>
      <c r="E33" s="160"/>
      <c r="F33" s="194"/>
      <c r="G33" s="194"/>
      <c r="H33" s="182"/>
    </row>
    <row r="34" spans="1:8" ht="14.45" customHeight="1">
      <c r="B34" s="191"/>
      <c r="C34" s="160"/>
      <c r="D34" s="160"/>
      <c r="E34" s="160"/>
      <c r="F34" s="194"/>
      <c r="G34" s="194"/>
      <c r="H34" s="182"/>
    </row>
    <row r="35" spans="1:8" ht="117" customHeight="1" thickBot="1">
      <c r="B35" s="192"/>
      <c r="C35" s="161"/>
      <c r="D35" s="161"/>
      <c r="E35" s="161"/>
      <c r="F35" s="195"/>
      <c r="G35" s="195"/>
      <c r="H35" s="183"/>
    </row>
    <row r="36" spans="1:8" ht="26.45" thickBot="1">
      <c r="B36" s="2" t="s">
        <v>25</v>
      </c>
      <c r="C36" s="6">
        <v>16.7</v>
      </c>
      <c r="D36" s="6"/>
      <c r="E36" s="6"/>
      <c r="F36" s="7"/>
      <c r="G36" s="7"/>
      <c r="H36" s="8"/>
    </row>
    <row r="37" spans="1:8" ht="39.6" thickBot="1">
      <c r="B37" s="9" t="s">
        <v>26</v>
      </c>
      <c r="C37" s="133">
        <f>C31/C36</f>
        <v>17.065868263473053</v>
      </c>
      <c r="D37" s="10"/>
      <c r="E37" s="10"/>
      <c r="F37" s="11"/>
      <c r="G37" s="11"/>
      <c r="H37" s="12"/>
    </row>
    <row r="40" spans="1:8" ht="15.6">
      <c r="B40" s="1" t="s">
        <v>27</v>
      </c>
    </row>
    <row r="41" spans="1:8" ht="13.5" thickBot="1"/>
    <row r="42" spans="1:8" ht="13.5" thickBot="1">
      <c r="A42" s="21">
        <v>4</v>
      </c>
      <c r="B42" s="39" t="s">
        <v>17</v>
      </c>
      <c r="C42" s="40">
        <v>280</v>
      </c>
    </row>
    <row r="43" spans="1:8" ht="13.5" thickBot="1">
      <c r="B43" s="41" t="s">
        <v>28</v>
      </c>
      <c r="C43" s="42">
        <v>82</v>
      </c>
    </row>
    <row r="44" spans="1:8" ht="13.5" thickBot="1">
      <c r="B44" s="43" t="s">
        <v>18</v>
      </c>
      <c r="C44" s="44"/>
    </row>
    <row r="47" spans="1:8" ht="15.6">
      <c r="B47" s="1" t="s">
        <v>29</v>
      </c>
    </row>
    <row r="48" spans="1:8" ht="13.5" thickBot="1"/>
    <row r="49" spans="1:5" ht="26.45" thickBot="1">
      <c r="A49" s="21">
        <v>5</v>
      </c>
      <c r="B49" s="13" t="s">
        <v>16</v>
      </c>
      <c r="C49" s="13" t="s">
        <v>30</v>
      </c>
      <c r="D49" s="13" t="s">
        <v>31</v>
      </c>
      <c r="E49" s="13" t="s">
        <v>32</v>
      </c>
    </row>
    <row r="50" spans="1:5" ht="13.5" thickBot="1">
      <c r="B50" s="13" t="s">
        <v>17</v>
      </c>
      <c r="C50" s="14">
        <v>6</v>
      </c>
      <c r="D50" s="14">
        <v>1</v>
      </c>
      <c r="E50" s="14">
        <v>3</v>
      </c>
    </row>
    <row r="51" spans="1:5" ht="13.5" thickBot="1">
      <c r="B51" s="13" t="s">
        <v>28</v>
      </c>
      <c r="C51" s="142">
        <v>8</v>
      </c>
      <c r="D51" s="15">
        <v>1</v>
      </c>
      <c r="E51" s="15"/>
    </row>
    <row r="52" spans="1:5" ht="13.5" thickBot="1">
      <c r="B52" s="13" t="s">
        <v>18</v>
      </c>
      <c r="C52" s="16"/>
      <c r="D52" s="16"/>
      <c r="E52" s="16"/>
    </row>
    <row r="55" spans="1:5" ht="15.6">
      <c r="B55" s="1" t="s">
        <v>33</v>
      </c>
    </row>
    <row r="56" spans="1:5" ht="13.5" thickBot="1"/>
    <row r="57" spans="1:5" ht="13.5" thickBot="1">
      <c r="A57" s="21">
        <v>6</v>
      </c>
      <c r="B57" s="162" t="s">
        <v>2</v>
      </c>
      <c r="C57" s="163"/>
    </row>
    <row r="58" spans="1:5" ht="13.5" thickBot="1">
      <c r="B58" s="45" t="s">
        <v>34</v>
      </c>
      <c r="C58" s="24">
        <v>29</v>
      </c>
    </row>
    <row r="59" spans="1:5" ht="13.5" thickBot="1">
      <c r="B59" s="46" t="s">
        <v>4</v>
      </c>
      <c r="C59" s="26">
        <v>256</v>
      </c>
    </row>
    <row r="60" spans="1:5" ht="13.5" thickBot="1">
      <c r="B60" s="47" t="s">
        <v>35</v>
      </c>
      <c r="C60" s="143">
        <v>10</v>
      </c>
    </row>
    <row r="62" spans="1:5" ht="15.6">
      <c r="B62" s="1" t="s">
        <v>36</v>
      </c>
    </row>
    <row r="63" spans="1:5" ht="13.5" thickBot="1"/>
    <row r="64" spans="1:5" ht="26.45" thickBot="1">
      <c r="A64" s="21">
        <v>7</v>
      </c>
      <c r="B64" s="48" t="s">
        <v>37</v>
      </c>
      <c r="C64" s="49" t="s">
        <v>38</v>
      </c>
      <c r="D64" s="49" t="s">
        <v>39</v>
      </c>
      <c r="E64" s="49" t="s">
        <v>40</v>
      </c>
    </row>
    <row r="65" spans="1:7" ht="26.45" thickBot="1">
      <c r="B65" s="50" t="s">
        <v>41</v>
      </c>
      <c r="C65" s="51" t="s">
        <v>42</v>
      </c>
      <c r="D65" s="52">
        <v>111</v>
      </c>
      <c r="E65" s="52">
        <v>6.5</v>
      </c>
    </row>
    <row r="66" spans="1:7" ht="13.5" thickBot="1">
      <c r="B66" s="50" t="s">
        <v>43</v>
      </c>
      <c r="C66" s="53" t="s">
        <v>44</v>
      </c>
      <c r="D66" s="54">
        <v>85</v>
      </c>
      <c r="E66" s="54">
        <v>4.5999999999999996</v>
      </c>
    </row>
    <row r="67" spans="1:7" ht="26.45" thickBot="1">
      <c r="B67" s="50" t="s">
        <v>45</v>
      </c>
      <c r="C67" s="51" t="s">
        <v>46</v>
      </c>
      <c r="D67" s="52">
        <v>89</v>
      </c>
      <c r="E67" s="52">
        <v>5.6</v>
      </c>
    </row>
    <row r="68" spans="1:7" ht="13.5" thickBot="1"/>
    <row r="69" spans="1:7" ht="26.45" thickBot="1">
      <c r="A69" s="21">
        <v>8</v>
      </c>
      <c r="B69" s="55" t="s">
        <v>37</v>
      </c>
      <c r="C69" s="56" t="s">
        <v>38</v>
      </c>
      <c r="D69" s="56" t="s">
        <v>39</v>
      </c>
      <c r="E69" s="56" t="s">
        <v>40</v>
      </c>
      <c r="F69" s="55" t="s">
        <v>47</v>
      </c>
      <c r="G69" s="56" t="s">
        <v>48</v>
      </c>
    </row>
    <row r="70" spans="1:7" ht="27" thickTop="1" thickBot="1">
      <c r="B70" s="57" t="s">
        <v>49</v>
      </c>
      <c r="C70" s="58" t="s">
        <v>50</v>
      </c>
      <c r="D70" s="59">
        <v>34</v>
      </c>
      <c r="E70" s="59">
        <v>3.8</v>
      </c>
      <c r="F70" s="59" t="s">
        <v>51</v>
      </c>
      <c r="G70" s="59">
        <v>8.94</v>
      </c>
    </row>
    <row r="71" spans="1:7" ht="32.1" customHeight="1">
      <c r="B71" s="184" t="s">
        <v>52</v>
      </c>
      <c r="C71" s="186" t="s">
        <v>53</v>
      </c>
      <c r="D71" s="188">
        <v>46</v>
      </c>
      <c r="E71" s="188">
        <v>4.9000000000000004</v>
      </c>
      <c r="F71" s="140" t="s">
        <v>51</v>
      </c>
      <c r="G71" s="188">
        <v>9.3800000000000008</v>
      </c>
    </row>
    <row r="72" spans="1:7" ht="13.5" thickBot="1">
      <c r="B72" s="185"/>
      <c r="C72" s="187"/>
      <c r="D72" s="189"/>
      <c r="E72" s="189"/>
      <c r="F72" s="141"/>
      <c r="G72" s="189"/>
    </row>
    <row r="73" spans="1:7" ht="13.5" thickBot="1"/>
    <row r="74" spans="1:7" ht="26.45" thickBot="1">
      <c r="A74" s="21">
        <v>9</v>
      </c>
      <c r="B74" s="60" t="s">
        <v>37</v>
      </c>
      <c r="C74" s="61" t="s">
        <v>38</v>
      </c>
      <c r="D74" s="61" t="s">
        <v>39</v>
      </c>
      <c r="E74" s="61" t="s">
        <v>40</v>
      </c>
    </row>
    <row r="75" spans="1:7">
      <c r="B75" s="174" t="s">
        <v>54</v>
      </c>
      <c r="C75" s="177" t="s">
        <v>55</v>
      </c>
      <c r="D75" s="63"/>
      <c r="E75" s="64"/>
    </row>
    <row r="76" spans="1:7">
      <c r="B76" s="175"/>
      <c r="C76" s="178"/>
      <c r="D76" s="65"/>
      <c r="E76" s="66"/>
    </row>
    <row r="77" spans="1:7">
      <c r="B77" s="175"/>
      <c r="C77" s="178"/>
      <c r="D77" s="65"/>
      <c r="E77" s="66"/>
    </row>
    <row r="78" spans="1:7" ht="13.5" thickBot="1">
      <c r="B78" s="176"/>
      <c r="C78" s="179"/>
      <c r="D78" s="67" t="s">
        <v>56</v>
      </c>
      <c r="E78" s="68"/>
    </row>
    <row r="80" spans="1:7" ht="15.6">
      <c r="B80" s="1" t="s">
        <v>57</v>
      </c>
    </row>
    <row r="81" spans="1:7" ht="13.5" thickBot="1"/>
    <row r="82" spans="1:7" ht="26.45" thickBot="1">
      <c r="A82" s="21">
        <v>10</v>
      </c>
      <c r="B82" s="48" t="s">
        <v>37</v>
      </c>
      <c r="C82" s="49" t="s">
        <v>38</v>
      </c>
      <c r="D82" s="49" t="s">
        <v>58</v>
      </c>
      <c r="E82" s="49" t="s">
        <v>59</v>
      </c>
    </row>
    <row r="83" spans="1:7" ht="26.45" thickBot="1">
      <c r="B83" s="50" t="s">
        <v>41</v>
      </c>
      <c r="C83" s="51" t="s">
        <v>42</v>
      </c>
      <c r="D83" s="52">
        <v>2</v>
      </c>
      <c r="E83" s="52" t="s">
        <v>60</v>
      </c>
    </row>
    <row r="84" spans="1:7" ht="13.5" thickBot="1">
      <c r="B84" s="50" t="s">
        <v>43</v>
      </c>
      <c r="C84" s="53" t="s">
        <v>44</v>
      </c>
      <c r="D84" s="54">
        <v>1</v>
      </c>
      <c r="E84" s="54" t="s">
        <v>61</v>
      </c>
    </row>
    <row r="85" spans="1:7" ht="26.45" thickBot="1">
      <c r="B85" s="50" t="s">
        <v>45</v>
      </c>
      <c r="C85" s="51" t="s">
        <v>46</v>
      </c>
      <c r="D85" s="52">
        <v>0</v>
      </c>
      <c r="E85" s="52" t="s">
        <v>61</v>
      </c>
    </row>
    <row r="86" spans="1:7" ht="13.5" thickBot="1"/>
    <row r="87" spans="1:7" ht="26.45" thickBot="1">
      <c r="A87" s="21">
        <v>11</v>
      </c>
      <c r="B87" s="69" t="s">
        <v>37</v>
      </c>
      <c r="C87" s="70" t="s">
        <v>38</v>
      </c>
      <c r="D87" s="70" t="s">
        <v>58</v>
      </c>
      <c r="E87" s="70" t="s">
        <v>59</v>
      </c>
      <c r="F87" s="70" t="s">
        <v>62</v>
      </c>
      <c r="G87" s="144" t="s">
        <v>47</v>
      </c>
    </row>
    <row r="88" spans="1:7" ht="26.45" thickBot="1">
      <c r="B88" s="184" t="s">
        <v>49</v>
      </c>
      <c r="C88" s="196" t="s">
        <v>50</v>
      </c>
      <c r="D88" s="72">
        <v>3</v>
      </c>
      <c r="E88" s="72" t="s">
        <v>63</v>
      </c>
      <c r="F88" s="74" t="s">
        <v>64</v>
      </c>
      <c r="G88" s="74" t="s">
        <v>65</v>
      </c>
    </row>
    <row r="89" spans="1:7" ht="24.95" customHeight="1" thickBot="1">
      <c r="B89" s="185"/>
      <c r="C89" s="197"/>
      <c r="D89" s="72">
        <v>1</v>
      </c>
      <c r="E89" s="74" t="s">
        <v>60</v>
      </c>
      <c r="F89" s="74" t="s">
        <v>64</v>
      </c>
      <c r="G89" s="74" t="s">
        <v>65</v>
      </c>
    </row>
    <row r="90" spans="1:7" ht="26.45" thickBot="1">
      <c r="B90" s="71" t="s">
        <v>52</v>
      </c>
      <c r="C90" s="73" t="s">
        <v>66</v>
      </c>
      <c r="D90" s="74">
        <v>1</v>
      </c>
      <c r="E90" s="74" t="s">
        <v>60</v>
      </c>
      <c r="F90" s="74" t="s">
        <v>64</v>
      </c>
      <c r="G90" s="74" t="s">
        <v>65</v>
      </c>
    </row>
    <row r="91" spans="1:7" ht="13.5" thickBot="1"/>
    <row r="92" spans="1:7" ht="26.45" thickBot="1">
      <c r="A92" s="21">
        <v>12</v>
      </c>
      <c r="B92" s="75" t="s">
        <v>37</v>
      </c>
      <c r="C92" s="62" t="s">
        <v>38</v>
      </c>
      <c r="D92" s="62" t="s">
        <v>58</v>
      </c>
      <c r="E92" s="62" t="s">
        <v>59</v>
      </c>
    </row>
    <row r="93" spans="1:7" ht="13.5" thickBot="1">
      <c r="B93" s="76" t="s">
        <v>54</v>
      </c>
      <c r="C93" s="77"/>
      <c r="D93" s="78"/>
      <c r="E93" s="78"/>
    </row>
    <row r="96" spans="1:7">
      <c r="B96" s="199" t="s">
        <v>67</v>
      </c>
      <c r="C96" s="199"/>
      <c r="D96" s="199"/>
      <c r="E96" s="199"/>
    </row>
    <row r="97" spans="1:6" ht="15.6">
      <c r="B97" s="200" t="s">
        <v>68</v>
      </c>
      <c r="C97" s="200"/>
      <c r="D97" s="200"/>
      <c r="E97" s="200"/>
    </row>
    <row r="98" spans="1:6" ht="26.45" thickBot="1">
      <c r="A98" s="21">
        <v>12</v>
      </c>
      <c r="B98" s="79" t="s">
        <v>16</v>
      </c>
      <c r="C98" s="80" t="s">
        <v>69</v>
      </c>
      <c r="D98" s="80" t="s">
        <v>70</v>
      </c>
      <c r="E98" s="80" t="s">
        <v>71</v>
      </c>
      <c r="F98" s="145" t="s">
        <v>72</v>
      </c>
    </row>
    <row r="99" spans="1:6">
      <c r="B99" s="201" t="s">
        <v>73</v>
      </c>
      <c r="C99" s="81" t="s">
        <v>41</v>
      </c>
      <c r="D99" s="82" t="s">
        <v>74</v>
      </c>
      <c r="E99" s="17" t="s">
        <v>75</v>
      </c>
      <c r="F99" s="146"/>
    </row>
    <row r="100" spans="1:6">
      <c r="B100" s="202"/>
      <c r="C100" s="83" t="s">
        <v>41</v>
      </c>
      <c r="D100" s="84" t="s">
        <v>76</v>
      </c>
      <c r="E100" s="18" t="s">
        <v>77</v>
      </c>
      <c r="F100" s="147">
        <v>14</v>
      </c>
    </row>
    <row r="101" spans="1:6">
      <c r="B101" s="202"/>
      <c r="C101" s="83" t="s">
        <v>41</v>
      </c>
      <c r="D101" s="84" t="s">
        <v>78</v>
      </c>
      <c r="E101" s="18" t="s">
        <v>79</v>
      </c>
      <c r="F101" s="147">
        <v>18</v>
      </c>
    </row>
    <row r="102" spans="1:6">
      <c r="B102" s="202"/>
      <c r="C102" s="83" t="s">
        <v>41</v>
      </c>
      <c r="D102" s="84" t="s">
        <v>80</v>
      </c>
      <c r="E102" s="18" t="s">
        <v>81</v>
      </c>
      <c r="F102" s="147">
        <v>15</v>
      </c>
    </row>
    <row r="103" spans="1:6">
      <c r="B103" s="202"/>
      <c r="C103" s="83" t="s">
        <v>41</v>
      </c>
      <c r="D103" s="85" t="s">
        <v>82</v>
      </c>
      <c r="E103" s="19" t="s">
        <v>83</v>
      </c>
      <c r="F103" s="147">
        <v>15</v>
      </c>
    </row>
    <row r="104" spans="1:6">
      <c r="B104" s="202"/>
      <c r="C104" s="83" t="s">
        <v>41</v>
      </c>
      <c r="D104" s="84" t="s">
        <v>84</v>
      </c>
      <c r="E104" s="18" t="s">
        <v>85</v>
      </c>
      <c r="F104" s="147">
        <v>10</v>
      </c>
    </row>
    <row r="105" spans="1:6">
      <c r="B105" s="202"/>
      <c r="C105" s="83" t="s">
        <v>41</v>
      </c>
      <c r="D105" s="84" t="s">
        <v>86</v>
      </c>
      <c r="E105" s="18" t="s">
        <v>87</v>
      </c>
      <c r="F105" s="147">
        <v>16</v>
      </c>
    </row>
    <row r="106" spans="1:6">
      <c r="B106" s="202"/>
      <c r="C106" s="83" t="s">
        <v>41</v>
      </c>
      <c r="D106" s="84" t="s">
        <v>88</v>
      </c>
      <c r="E106" s="18" t="s">
        <v>89</v>
      </c>
      <c r="F106" s="147">
        <v>10</v>
      </c>
    </row>
    <row r="107" spans="1:6">
      <c r="B107" s="202"/>
      <c r="C107" s="83" t="s">
        <v>41</v>
      </c>
      <c r="D107" s="84" t="s">
        <v>90</v>
      </c>
      <c r="E107" s="18" t="s">
        <v>91</v>
      </c>
      <c r="F107" s="147">
        <v>14</v>
      </c>
    </row>
    <row r="108" spans="1:6">
      <c r="B108" s="202"/>
      <c r="C108" s="81" t="s">
        <v>43</v>
      </c>
      <c r="D108" s="82" t="s">
        <v>92</v>
      </c>
      <c r="E108" s="17" t="s">
        <v>93</v>
      </c>
      <c r="F108" s="146"/>
    </row>
    <row r="109" spans="1:6">
      <c r="B109" s="202"/>
      <c r="C109" s="83" t="s">
        <v>43</v>
      </c>
      <c r="D109" s="85" t="s">
        <v>94</v>
      </c>
      <c r="E109" s="19" t="s">
        <v>95</v>
      </c>
      <c r="F109" s="147">
        <v>18</v>
      </c>
    </row>
    <row r="110" spans="1:6">
      <c r="B110" s="202"/>
      <c r="C110" s="83" t="s">
        <v>43</v>
      </c>
      <c r="D110" s="85" t="s">
        <v>96</v>
      </c>
      <c r="E110" s="19" t="s">
        <v>97</v>
      </c>
      <c r="F110" s="147">
        <v>11</v>
      </c>
    </row>
    <row r="111" spans="1:6">
      <c r="B111" s="202"/>
      <c r="C111" s="83" t="s">
        <v>43</v>
      </c>
      <c r="D111" s="84" t="s">
        <v>98</v>
      </c>
      <c r="E111" s="18" t="s">
        <v>99</v>
      </c>
      <c r="F111" s="147">
        <v>19</v>
      </c>
    </row>
    <row r="112" spans="1:6">
      <c r="B112" s="202"/>
      <c r="C112" s="83" t="s">
        <v>43</v>
      </c>
      <c r="D112" s="84" t="s">
        <v>100</v>
      </c>
      <c r="E112" s="18" t="s">
        <v>101</v>
      </c>
      <c r="F112" s="147">
        <v>16</v>
      </c>
    </row>
    <row r="113" spans="2:6">
      <c r="B113" s="202"/>
      <c r="C113" s="83" t="s">
        <v>43</v>
      </c>
      <c r="D113" s="84" t="s">
        <v>102</v>
      </c>
      <c r="E113" s="18" t="s">
        <v>103</v>
      </c>
      <c r="F113" s="147">
        <v>4</v>
      </c>
    </row>
    <row r="114" spans="2:6">
      <c r="B114" s="202"/>
      <c r="C114" s="83" t="s">
        <v>43</v>
      </c>
      <c r="D114" s="84" t="s">
        <v>104</v>
      </c>
      <c r="E114" s="20" t="s">
        <v>105</v>
      </c>
      <c r="F114" s="147">
        <v>17</v>
      </c>
    </row>
    <row r="115" spans="2:6">
      <c r="B115" s="202"/>
      <c r="C115" s="81" t="s">
        <v>45</v>
      </c>
      <c r="D115" s="82" t="s">
        <v>106</v>
      </c>
      <c r="E115" s="17" t="s">
        <v>107</v>
      </c>
      <c r="F115" s="146"/>
    </row>
    <row r="116" spans="2:6">
      <c r="B116" s="202"/>
      <c r="C116" s="83" t="s">
        <v>45</v>
      </c>
      <c r="D116" s="84" t="s">
        <v>108</v>
      </c>
      <c r="E116" s="18" t="s">
        <v>109</v>
      </c>
      <c r="F116" s="147">
        <v>13</v>
      </c>
    </row>
    <row r="117" spans="2:6">
      <c r="B117" s="202"/>
      <c r="C117" s="83" t="s">
        <v>45</v>
      </c>
      <c r="D117" s="85" t="s">
        <v>110</v>
      </c>
      <c r="E117" s="19" t="s">
        <v>111</v>
      </c>
      <c r="F117" s="147">
        <v>9</v>
      </c>
    </row>
    <row r="118" spans="2:6">
      <c r="B118" s="202"/>
      <c r="C118" s="83" t="s">
        <v>45</v>
      </c>
      <c r="D118" s="85" t="s">
        <v>112</v>
      </c>
      <c r="E118" s="19" t="s">
        <v>113</v>
      </c>
      <c r="F118" s="147">
        <v>13</v>
      </c>
    </row>
    <row r="119" spans="2:6">
      <c r="B119" s="202"/>
      <c r="C119" s="83" t="s">
        <v>45</v>
      </c>
      <c r="D119" s="84" t="s">
        <v>114</v>
      </c>
      <c r="E119" s="18" t="s">
        <v>115</v>
      </c>
      <c r="F119" s="147">
        <v>13</v>
      </c>
    </row>
    <row r="120" spans="2:6">
      <c r="B120" s="202"/>
      <c r="C120" s="83" t="s">
        <v>45</v>
      </c>
      <c r="D120" s="86" t="s">
        <v>116</v>
      </c>
      <c r="E120" s="19" t="s">
        <v>117</v>
      </c>
      <c r="F120" s="147">
        <v>7</v>
      </c>
    </row>
    <row r="121" spans="2:6">
      <c r="B121" s="202"/>
      <c r="C121" s="83" t="s">
        <v>45</v>
      </c>
      <c r="D121" s="134" t="s">
        <v>118</v>
      </c>
      <c r="E121" s="18" t="s">
        <v>119</v>
      </c>
      <c r="F121" s="147">
        <v>7</v>
      </c>
    </row>
    <row r="122" spans="2:6">
      <c r="B122" s="202"/>
      <c r="C122" s="83" t="s">
        <v>45</v>
      </c>
      <c r="D122" s="84" t="s">
        <v>120</v>
      </c>
      <c r="E122" s="18" t="s">
        <v>121</v>
      </c>
      <c r="F122" s="147">
        <v>16</v>
      </c>
    </row>
    <row r="123" spans="2:6" ht="13.5" thickBot="1">
      <c r="B123" s="203"/>
      <c r="C123" s="83" t="s">
        <v>45</v>
      </c>
      <c r="D123" s="134" t="s">
        <v>122</v>
      </c>
      <c r="E123" s="18" t="s">
        <v>123</v>
      </c>
      <c r="F123" s="147">
        <v>11</v>
      </c>
    </row>
    <row r="124" spans="2:6">
      <c r="B124" s="201" t="s">
        <v>124</v>
      </c>
      <c r="C124" s="81" t="s">
        <v>125</v>
      </c>
      <c r="D124" s="82" t="s">
        <v>126</v>
      </c>
      <c r="E124" s="17" t="s">
        <v>127</v>
      </c>
      <c r="F124" s="146"/>
    </row>
    <row r="125" spans="2:6">
      <c r="B125" s="202"/>
      <c r="C125" s="87" t="s">
        <v>49</v>
      </c>
      <c r="D125" s="85" t="s">
        <v>128</v>
      </c>
      <c r="E125" s="18" t="s">
        <v>129</v>
      </c>
      <c r="F125" s="147">
        <v>5</v>
      </c>
    </row>
    <row r="126" spans="2:6">
      <c r="B126" s="202"/>
      <c r="C126" s="87" t="s">
        <v>49</v>
      </c>
      <c r="D126" s="85" t="s">
        <v>82</v>
      </c>
      <c r="E126" s="18" t="s">
        <v>130</v>
      </c>
      <c r="F126" s="147">
        <v>8</v>
      </c>
    </row>
    <row r="127" spans="2:6">
      <c r="B127" s="202"/>
      <c r="C127" s="87" t="s">
        <v>49</v>
      </c>
      <c r="D127" s="85" t="s">
        <v>131</v>
      </c>
      <c r="E127" s="18" t="s">
        <v>132</v>
      </c>
      <c r="F127" s="147">
        <v>9</v>
      </c>
    </row>
    <row r="128" spans="2:6">
      <c r="B128" s="202"/>
      <c r="C128" s="87" t="s">
        <v>49</v>
      </c>
      <c r="D128" s="85" t="s">
        <v>133</v>
      </c>
      <c r="E128" s="18" t="s">
        <v>134</v>
      </c>
      <c r="F128" s="147">
        <v>6</v>
      </c>
    </row>
    <row r="129" spans="2:6">
      <c r="B129" s="202"/>
      <c r="C129" s="87" t="s">
        <v>49</v>
      </c>
      <c r="D129" s="85" t="s">
        <v>135</v>
      </c>
      <c r="E129" s="18" t="s">
        <v>136</v>
      </c>
      <c r="F129" s="147">
        <v>4</v>
      </c>
    </row>
    <row r="130" spans="2:6">
      <c r="B130" s="202"/>
      <c r="C130" s="87" t="s">
        <v>49</v>
      </c>
      <c r="D130" s="85" t="s">
        <v>137</v>
      </c>
      <c r="E130" s="18" t="s">
        <v>138</v>
      </c>
      <c r="F130" s="147">
        <v>0</v>
      </c>
    </row>
    <row r="131" spans="2:6">
      <c r="B131" s="202"/>
      <c r="C131" s="87" t="s">
        <v>49</v>
      </c>
      <c r="D131" s="85" t="s">
        <v>139</v>
      </c>
      <c r="E131" s="18" t="s">
        <v>140</v>
      </c>
      <c r="F131" s="147">
        <v>2</v>
      </c>
    </row>
    <row r="132" spans="2:6">
      <c r="B132" s="202"/>
      <c r="C132" s="81" t="s">
        <v>52</v>
      </c>
      <c r="D132" s="82" t="s">
        <v>141</v>
      </c>
      <c r="E132" s="17" t="s">
        <v>142</v>
      </c>
      <c r="F132" s="146"/>
    </row>
    <row r="133" spans="2:6">
      <c r="B133" s="202"/>
      <c r="C133" s="87" t="s">
        <v>52</v>
      </c>
      <c r="D133" s="85" t="s">
        <v>143</v>
      </c>
      <c r="E133" s="18" t="s">
        <v>144</v>
      </c>
      <c r="F133" s="147">
        <v>6</v>
      </c>
    </row>
    <row r="134" spans="2:6">
      <c r="B134" s="202"/>
      <c r="C134" s="87" t="s">
        <v>52</v>
      </c>
      <c r="D134" s="85" t="s">
        <v>145</v>
      </c>
      <c r="E134" s="18" t="s">
        <v>146</v>
      </c>
      <c r="F134" s="147">
        <v>7</v>
      </c>
    </row>
    <row r="135" spans="2:6">
      <c r="B135" s="202"/>
      <c r="C135" s="87" t="s">
        <v>52</v>
      </c>
      <c r="D135" s="85" t="s">
        <v>147</v>
      </c>
      <c r="E135" s="18" t="s">
        <v>148</v>
      </c>
      <c r="F135" s="147">
        <v>10</v>
      </c>
    </row>
    <row r="136" spans="2:6">
      <c r="B136" s="202"/>
      <c r="C136" s="87" t="s">
        <v>52</v>
      </c>
      <c r="D136" s="85" t="s">
        <v>149</v>
      </c>
      <c r="E136" s="18" t="s">
        <v>150</v>
      </c>
      <c r="F136" s="147">
        <v>7</v>
      </c>
    </row>
    <row r="137" spans="2:6">
      <c r="B137" s="202"/>
      <c r="C137" s="87" t="s">
        <v>52</v>
      </c>
      <c r="D137" s="85" t="s">
        <v>151</v>
      </c>
      <c r="E137" s="18" t="s">
        <v>152</v>
      </c>
      <c r="F137" s="147">
        <v>6</v>
      </c>
    </row>
    <row r="138" spans="2:6" ht="13.5" thickBot="1">
      <c r="B138" s="203"/>
      <c r="C138" s="87" t="s">
        <v>52</v>
      </c>
      <c r="D138" s="85" t="s">
        <v>153</v>
      </c>
      <c r="E138" s="18" t="s">
        <v>154</v>
      </c>
      <c r="F138" s="147">
        <v>10</v>
      </c>
    </row>
    <row r="139" spans="2:6">
      <c r="B139" s="201" t="s">
        <v>155</v>
      </c>
      <c r="C139" s="81" t="s">
        <v>156</v>
      </c>
      <c r="D139" s="82" t="s">
        <v>157</v>
      </c>
      <c r="E139" s="17" t="s">
        <v>158</v>
      </c>
      <c r="F139" s="146"/>
    </row>
    <row r="140" spans="2:6">
      <c r="B140" s="202"/>
      <c r="C140" s="87" t="s">
        <v>54</v>
      </c>
      <c r="D140" s="85" t="s">
        <v>159</v>
      </c>
      <c r="E140" s="18" t="s">
        <v>160</v>
      </c>
      <c r="F140" s="147"/>
    </row>
    <row r="141" spans="2:6">
      <c r="B141" s="202"/>
      <c r="C141" s="87" t="s">
        <v>54</v>
      </c>
      <c r="D141" s="85" t="s">
        <v>161</v>
      </c>
      <c r="E141" s="18" t="s">
        <v>162</v>
      </c>
      <c r="F141" s="147"/>
    </row>
    <row r="142" spans="2:6">
      <c r="B142" s="202"/>
      <c r="C142" s="87" t="s">
        <v>54</v>
      </c>
      <c r="D142" s="85" t="s">
        <v>163</v>
      </c>
      <c r="E142" s="18" t="s">
        <v>164</v>
      </c>
      <c r="F142" s="147"/>
    </row>
    <row r="143" spans="2:6">
      <c r="B143" s="202"/>
      <c r="C143" s="87" t="s">
        <v>54</v>
      </c>
      <c r="D143" s="85" t="s">
        <v>165</v>
      </c>
      <c r="E143" s="18" t="s">
        <v>166</v>
      </c>
      <c r="F143" s="147"/>
    </row>
    <row r="144" spans="2:6">
      <c r="B144" s="202"/>
      <c r="C144" s="87" t="s">
        <v>54</v>
      </c>
      <c r="D144" s="85" t="s">
        <v>167</v>
      </c>
      <c r="E144" s="18" t="s">
        <v>168</v>
      </c>
      <c r="F144" s="147"/>
    </row>
    <row r="145" spans="1:10">
      <c r="B145" s="202"/>
      <c r="C145" s="87" t="s">
        <v>54</v>
      </c>
      <c r="D145" s="86" t="s">
        <v>169</v>
      </c>
      <c r="E145" s="18" t="s">
        <v>170</v>
      </c>
      <c r="F145" s="147"/>
    </row>
    <row r="146" spans="1:10">
      <c r="B146" s="202"/>
      <c r="C146" s="87" t="s">
        <v>54</v>
      </c>
      <c r="D146" s="86" t="s">
        <v>171</v>
      </c>
      <c r="E146" s="18" t="s">
        <v>172</v>
      </c>
      <c r="F146" s="147"/>
    </row>
    <row r="147" spans="1:10" ht="13.5" thickBot="1">
      <c r="B147" s="204"/>
      <c r="C147" s="86" t="s">
        <v>54</v>
      </c>
      <c r="D147" s="86" t="s">
        <v>173</v>
      </c>
      <c r="E147" s="18" t="s">
        <v>174</v>
      </c>
      <c r="F147" s="147"/>
    </row>
    <row r="148" spans="1:10" ht="13.5" thickBot="1"/>
    <row r="149" spans="1:10" ht="15" thickBot="1">
      <c r="A149" s="21">
        <v>12</v>
      </c>
      <c r="B149" s="155" t="s">
        <v>175</v>
      </c>
      <c r="C149" s="156"/>
      <c r="D149" s="156"/>
      <c r="E149" s="156"/>
      <c r="F149" s="157"/>
      <c r="G149" s="123"/>
      <c r="H149" s="123"/>
      <c r="I149" s="123"/>
      <c r="J149" s="123"/>
    </row>
    <row r="150" spans="1:10" ht="15" thickBot="1">
      <c r="B150" s="124"/>
      <c r="C150" s="152" t="s">
        <v>176</v>
      </c>
      <c r="D150" s="153"/>
      <c r="E150" s="154"/>
      <c r="F150" s="125" t="s">
        <v>5</v>
      </c>
    </row>
    <row r="151" spans="1:10" ht="43.5">
      <c r="B151" s="97" t="s">
        <v>7</v>
      </c>
      <c r="C151" s="101" t="s">
        <v>177</v>
      </c>
      <c r="D151" s="102" t="s">
        <v>178</v>
      </c>
      <c r="E151" s="103" t="s">
        <v>179</v>
      </c>
      <c r="F151" s="104"/>
    </row>
    <row r="152" spans="1:10" ht="14.45">
      <c r="B152" s="105" t="s">
        <v>180</v>
      </c>
      <c r="C152" s="110"/>
      <c r="D152" s="111"/>
      <c r="E152" s="109"/>
      <c r="F152" s="112"/>
    </row>
    <row r="153" spans="1:10" ht="43.5">
      <c r="B153" s="97" t="s">
        <v>12</v>
      </c>
      <c r="C153" s="98"/>
      <c r="D153" s="99"/>
      <c r="E153" s="100"/>
      <c r="F153" s="104"/>
    </row>
    <row r="154" spans="1:10" ht="14.45">
      <c r="B154" s="105" t="s">
        <v>181</v>
      </c>
      <c r="C154" s="110" t="s">
        <v>182</v>
      </c>
      <c r="D154" s="111" t="s">
        <v>182</v>
      </c>
      <c r="E154" s="109" t="s">
        <v>182</v>
      </c>
      <c r="F154" s="112"/>
    </row>
    <row r="155" spans="1:10" ht="43.5">
      <c r="B155" s="97" t="s">
        <v>13</v>
      </c>
      <c r="C155" s="98"/>
      <c r="D155" s="99"/>
      <c r="E155" s="100"/>
      <c r="F155" s="104"/>
    </row>
    <row r="156" spans="1:10" ht="14.45">
      <c r="B156" s="105" t="s">
        <v>183</v>
      </c>
      <c r="C156" s="106"/>
      <c r="D156" s="107"/>
      <c r="E156" s="108"/>
      <c r="F156" s="112"/>
    </row>
    <row r="157" spans="1:10" ht="14.45">
      <c r="B157" s="105" t="s">
        <v>184</v>
      </c>
      <c r="C157" s="106"/>
      <c r="D157" s="107"/>
      <c r="E157" s="108"/>
      <c r="F157" s="112"/>
    </row>
    <row r="158" spans="1:10" ht="14.45">
      <c r="B158" s="105" t="s">
        <v>185</v>
      </c>
      <c r="C158" s="106"/>
      <c r="D158" s="107"/>
      <c r="E158" s="108"/>
      <c r="F158" s="112"/>
    </row>
    <row r="159" spans="1:10" ht="14.45">
      <c r="B159" s="105" t="s">
        <v>186</v>
      </c>
      <c r="C159" s="110"/>
      <c r="D159" s="107"/>
      <c r="E159" s="108"/>
      <c r="F159" s="112"/>
    </row>
    <row r="160" spans="1:10" ht="14.45">
      <c r="B160" s="105" t="s">
        <v>187</v>
      </c>
      <c r="C160" s="110"/>
      <c r="D160" s="107"/>
      <c r="E160" s="108"/>
      <c r="F160" s="112"/>
    </row>
    <row r="161" spans="1:7" ht="14.45">
      <c r="B161" s="105" t="s">
        <v>188</v>
      </c>
      <c r="C161" s="106"/>
      <c r="D161" s="107"/>
      <c r="E161" s="108"/>
      <c r="F161" s="112"/>
    </row>
    <row r="162" spans="1:7" ht="14.45">
      <c r="B162" s="105" t="s">
        <v>55</v>
      </c>
      <c r="C162" s="106"/>
      <c r="D162" s="107"/>
      <c r="E162" s="108"/>
      <c r="F162" s="112"/>
    </row>
    <row r="163" spans="1:7" ht="15" thickBot="1">
      <c r="B163" s="113" t="s">
        <v>189</v>
      </c>
      <c r="C163" s="115"/>
      <c r="D163" s="116"/>
      <c r="E163" s="114"/>
      <c r="F163" s="117"/>
    </row>
    <row r="164" spans="1:7" ht="15" thickBot="1">
      <c r="B164" s="118" t="s">
        <v>5</v>
      </c>
      <c r="C164" s="121"/>
      <c r="D164" s="119"/>
      <c r="E164" s="120"/>
      <c r="F164" s="122"/>
    </row>
    <row r="165" spans="1:7" ht="15" thickBot="1">
      <c r="B165" s="138"/>
      <c r="C165" s="139"/>
      <c r="D165" s="139"/>
      <c r="E165" s="139"/>
      <c r="F165" s="139"/>
    </row>
    <row r="166" spans="1:7" ht="15" thickBot="1">
      <c r="B166" s="155" t="s">
        <v>190</v>
      </c>
      <c r="C166" s="156"/>
      <c r="D166" s="156"/>
      <c r="E166" s="156"/>
      <c r="F166" s="157"/>
    </row>
    <row r="167" spans="1:7" ht="15" thickBot="1">
      <c r="B167" s="124"/>
      <c r="C167" s="152" t="s">
        <v>191</v>
      </c>
      <c r="D167" s="153"/>
      <c r="E167" s="154"/>
      <c r="F167" s="125" t="s">
        <v>5</v>
      </c>
    </row>
    <row r="168" spans="1:7" ht="43.5">
      <c r="B168" s="97" t="s">
        <v>7</v>
      </c>
      <c r="C168" s="101" t="s">
        <v>192</v>
      </c>
      <c r="D168" s="102" t="s">
        <v>193</v>
      </c>
      <c r="E168" s="103" t="s">
        <v>178</v>
      </c>
      <c r="F168" s="104"/>
    </row>
    <row r="169" spans="1:7" ht="14.45">
      <c r="B169" s="105" t="s">
        <v>181</v>
      </c>
      <c r="C169" s="110">
        <v>5</v>
      </c>
      <c r="D169" s="111">
        <v>2</v>
      </c>
      <c r="E169" s="109">
        <v>0</v>
      </c>
      <c r="F169" s="112">
        <v>7</v>
      </c>
    </row>
    <row r="171" spans="1:7" ht="15.6">
      <c r="B171" s="135" t="s">
        <v>194</v>
      </c>
      <c r="C171" s="136"/>
      <c r="D171" s="136"/>
    </row>
    <row r="173" spans="1:7">
      <c r="A173" s="21">
        <v>14</v>
      </c>
      <c r="B173" s="88"/>
      <c r="C173" s="180" t="s">
        <v>8</v>
      </c>
      <c r="D173" s="180"/>
    </row>
    <row r="174" spans="1:7" ht="13.5" thickBot="1">
      <c r="B174" s="89"/>
      <c r="C174" s="90" t="s">
        <v>195</v>
      </c>
      <c r="D174" s="90" t="s">
        <v>196</v>
      </c>
      <c r="E174" s="215" t="s">
        <v>195</v>
      </c>
      <c r="F174" s="216"/>
      <c r="G174" s="90" t="s">
        <v>196</v>
      </c>
    </row>
    <row r="175" spans="1:7" ht="14.45" customHeight="1">
      <c r="B175" s="205" t="s">
        <v>17</v>
      </c>
      <c r="C175" s="208"/>
      <c r="D175" s="91"/>
      <c r="E175" s="217"/>
      <c r="F175" s="218"/>
      <c r="G175" s="208"/>
    </row>
    <row r="176" spans="1:7" ht="14.45" customHeight="1">
      <c r="B176" s="206"/>
      <c r="C176" s="209"/>
      <c r="D176" s="92"/>
      <c r="E176" s="219"/>
      <c r="F176" s="220"/>
      <c r="G176" s="209"/>
    </row>
    <row r="177" spans="2:9" ht="14.45" customHeight="1">
      <c r="B177" s="206"/>
      <c r="C177" s="209"/>
      <c r="D177" s="92"/>
      <c r="E177" s="219"/>
      <c r="F177" s="220"/>
      <c r="G177" s="209"/>
    </row>
    <row r="178" spans="2:9" ht="14.45" customHeight="1">
      <c r="B178" s="206"/>
      <c r="C178" s="209"/>
      <c r="D178" s="92"/>
      <c r="E178" s="219"/>
      <c r="F178" s="220"/>
      <c r="G178" s="209"/>
    </row>
    <row r="179" spans="2:9" ht="15" customHeight="1" thickBot="1">
      <c r="B179" s="207"/>
      <c r="C179" s="210"/>
      <c r="D179" s="92" t="s">
        <v>197</v>
      </c>
      <c r="E179" s="221"/>
      <c r="F179" s="222"/>
      <c r="G179" s="210"/>
    </row>
    <row r="180" spans="2:9" ht="33.6" customHeight="1">
      <c r="B180" s="211" t="s">
        <v>28</v>
      </c>
      <c r="C180" s="214" t="s">
        <v>198</v>
      </c>
      <c r="D180" s="198" t="s">
        <v>199</v>
      </c>
      <c r="E180" s="214" t="s">
        <v>200</v>
      </c>
      <c r="F180" s="214" t="s">
        <v>201</v>
      </c>
      <c r="G180" s="198" t="s">
        <v>202</v>
      </c>
      <c r="I180" s="21" t="s">
        <v>197</v>
      </c>
    </row>
    <row r="181" spans="2:9" ht="14.45" customHeight="1">
      <c r="B181" s="212"/>
      <c r="C181" s="214"/>
      <c r="D181" s="198"/>
      <c r="E181" s="214"/>
      <c r="F181" s="214"/>
      <c r="G181" s="198"/>
    </row>
    <row r="182" spans="2:9" ht="14.45" customHeight="1">
      <c r="B182" s="212"/>
      <c r="C182" s="214"/>
      <c r="D182" s="198"/>
      <c r="E182" s="214"/>
      <c r="F182" s="214"/>
      <c r="G182" s="198"/>
    </row>
    <row r="183" spans="2:9" ht="14.45" customHeight="1">
      <c r="B183" s="212"/>
      <c r="C183" s="214"/>
      <c r="D183" s="198"/>
      <c r="E183" s="214"/>
      <c r="F183" s="214"/>
      <c r="G183" s="198"/>
    </row>
    <row r="184" spans="2:9" ht="14.45" customHeight="1">
      <c r="B184" s="212"/>
      <c r="C184" s="214"/>
      <c r="D184" s="198"/>
      <c r="E184" s="214"/>
      <c r="F184" s="214"/>
      <c r="G184" s="198"/>
    </row>
    <row r="185" spans="2:9" ht="14.45" customHeight="1">
      <c r="B185" s="212"/>
      <c r="C185" s="214"/>
      <c r="D185" s="198"/>
      <c r="E185" s="214"/>
      <c r="F185" s="214"/>
      <c r="G185" s="198"/>
    </row>
    <row r="186" spans="2:9" ht="51" customHeight="1" thickBot="1">
      <c r="B186" s="213"/>
      <c r="C186" s="214"/>
      <c r="D186" s="198"/>
      <c r="E186" s="214"/>
      <c r="F186" s="214"/>
      <c r="G186" s="198"/>
    </row>
    <row r="187" spans="2:9" ht="13.5" thickBot="1">
      <c r="B187" s="93" t="s">
        <v>18</v>
      </c>
      <c r="C187" s="94"/>
      <c r="D187" s="137"/>
    </row>
    <row r="188" spans="2:9" ht="13.5" thickBot="1">
      <c r="B188" s="95" t="s">
        <v>5</v>
      </c>
      <c r="C188" s="95"/>
      <c r="D188" s="95"/>
    </row>
    <row r="191" spans="2:9" ht="15.6">
      <c r="B191" s="1" t="s">
        <v>203</v>
      </c>
    </row>
    <row r="192" spans="2:9" ht="13.5" thickBot="1"/>
    <row r="193" spans="1:5" ht="15" thickBot="1">
      <c r="A193" s="21">
        <v>14</v>
      </c>
      <c r="B193" s="151"/>
      <c r="C193" s="148" t="s">
        <v>8</v>
      </c>
      <c r="D193" s="149"/>
      <c r="E193" s="150"/>
    </row>
    <row r="194" spans="1:5" ht="18.95" thickBot="1">
      <c r="B194" s="151"/>
      <c r="C194" s="127" t="s">
        <v>17</v>
      </c>
      <c r="D194" s="126" t="s">
        <v>28</v>
      </c>
      <c r="E194" s="126" t="s">
        <v>18</v>
      </c>
    </row>
    <row r="195" spans="1:5" ht="18.95" thickBot="1">
      <c r="B195" s="130" t="s">
        <v>204</v>
      </c>
      <c r="C195" s="131">
        <v>255</v>
      </c>
      <c r="D195" s="128">
        <v>75</v>
      </c>
      <c r="E195" s="128"/>
    </row>
    <row r="196" spans="1:5" ht="37.5" thickBot="1">
      <c r="B196" s="130" t="s">
        <v>205</v>
      </c>
      <c r="C196" s="132">
        <v>5</v>
      </c>
      <c r="D196" s="129"/>
      <c r="E196" s="129"/>
    </row>
    <row r="197" spans="1:5" ht="18.95" thickBot="1">
      <c r="B197" s="130" t="s">
        <v>206</v>
      </c>
      <c r="C197" s="131">
        <v>16</v>
      </c>
      <c r="D197" s="128"/>
      <c r="E197" s="128"/>
    </row>
    <row r="198" spans="1:5" ht="37.5" thickBot="1">
      <c r="B198" s="130" t="s">
        <v>207</v>
      </c>
      <c r="C198" s="131"/>
      <c r="D198" s="128"/>
      <c r="E198" s="128"/>
    </row>
    <row r="199" spans="1:5" ht="37.5" thickBot="1">
      <c r="B199" s="130" t="s">
        <v>208</v>
      </c>
      <c r="C199" s="131"/>
      <c r="D199" s="128"/>
      <c r="E199" s="128"/>
    </row>
    <row r="200" spans="1:5" ht="18.95" thickBot="1">
      <c r="B200" s="130" t="s">
        <v>209</v>
      </c>
      <c r="C200" s="131">
        <v>9</v>
      </c>
      <c r="D200" s="128">
        <v>4</v>
      </c>
      <c r="E200" s="128"/>
    </row>
    <row r="201" spans="1:5" ht="18.95" thickBot="1">
      <c r="B201" s="130" t="s">
        <v>5</v>
      </c>
      <c r="C201" s="131">
        <f>SUM(C195:C200)</f>
        <v>285</v>
      </c>
      <c r="D201" s="128">
        <v>79</v>
      </c>
      <c r="E201" s="128"/>
    </row>
  </sheetData>
  <sortState xmlns:xlrd2="http://schemas.microsoft.com/office/spreadsheetml/2017/richdata2" ref="C116:E123">
    <sortCondition ref="E116:E123"/>
  </sortState>
  <mergeCells count="47">
    <mergeCell ref="G71:G72"/>
    <mergeCell ref="G180:G186"/>
    <mergeCell ref="E174:F174"/>
    <mergeCell ref="C180:C186"/>
    <mergeCell ref="G175:G179"/>
    <mergeCell ref="E175:F179"/>
    <mergeCell ref="B88:B89"/>
    <mergeCell ref="B166:F166"/>
    <mergeCell ref="C167:E167"/>
    <mergeCell ref="C88:C89"/>
    <mergeCell ref="D180:D186"/>
    <mergeCell ref="B96:E96"/>
    <mergeCell ref="B97:E97"/>
    <mergeCell ref="B99:B123"/>
    <mergeCell ref="B124:B138"/>
    <mergeCell ref="B139:B147"/>
    <mergeCell ref="B175:B179"/>
    <mergeCell ref="C175:C179"/>
    <mergeCell ref="B180:B186"/>
    <mergeCell ref="E180:E186"/>
    <mergeCell ref="F180:F186"/>
    <mergeCell ref="B31:B35"/>
    <mergeCell ref="C31:C35"/>
    <mergeCell ref="E31:E35"/>
    <mergeCell ref="F31:F35"/>
    <mergeCell ref="G31:G35"/>
    <mergeCell ref="B57:C57"/>
    <mergeCell ref="B71:B72"/>
    <mergeCell ref="C71:C72"/>
    <mergeCell ref="D71:D72"/>
    <mergeCell ref="E71:E72"/>
    <mergeCell ref="C193:E193"/>
    <mergeCell ref="B193:B194"/>
    <mergeCell ref="C150:E150"/>
    <mergeCell ref="B149:F149"/>
    <mergeCell ref="B2:F2"/>
    <mergeCell ref="D31:D35"/>
    <mergeCell ref="B6:C6"/>
    <mergeCell ref="B4:C4"/>
    <mergeCell ref="B11:C11"/>
    <mergeCell ref="B28:H28"/>
    <mergeCell ref="C29:E29"/>
    <mergeCell ref="F29:H29"/>
    <mergeCell ref="B75:B78"/>
    <mergeCell ref="C75:C78"/>
    <mergeCell ref="C173:D173"/>
    <mergeCell ref="H31:H35"/>
  </mergeCells>
  <conditionalFormatting sqref="A173 A6 A13 A28 A42 A49 A57 A64 A69 A74 A82 A87 A92">
    <cfRule type="iconSet" priority="4">
      <iconSet iconSet="3Symbols2" showValue="0">
        <cfvo type="percent" val="0"/>
        <cfvo type="num" val="0"/>
        <cfvo type="num" val="0"/>
      </iconSet>
    </cfRule>
  </conditionalFormatting>
  <conditionalFormatting sqref="A98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149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93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0F0426-268B-4B31-9988-4303111A8774}"/>
</file>

<file path=customXml/itemProps2.xml><?xml version="1.0" encoding="utf-8"?>
<ds:datastoreItem xmlns:ds="http://schemas.openxmlformats.org/officeDocument/2006/customXml" ds:itemID="{7E135D12-8274-4464-B774-69A3CD0D01E8}"/>
</file>

<file path=customXml/itemProps3.xml><?xml version="1.0" encoding="utf-8"?>
<ds:datastoreItem xmlns:ds="http://schemas.openxmlformats.org/officeDocument/2006/customXml" ds:itemID="{9AA77593-A55A-4943-AE2D-BDB10BCABC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Vera Tudela Gallesi Roberto Gabriel</cp:lastModifiedBy>
  <cp:revision/>
  <dcterms:created xsi:type="dcterms:W3CDTF">2024-01-03T15:06:50Z</dcterms:created>
  <dcterms:modified xsi:type="dcterms:W3CDTF">2025-10-06T16:16:50Z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