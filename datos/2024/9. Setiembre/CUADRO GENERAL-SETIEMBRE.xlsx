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\PROGRAMACION\PRODUCCION GENERAL\"/>
    </mc:Choice>
  </mc:AlternateContent>
  <xr:revisionPtr revIDLastSave="249" documentId="13_ncr:1_{D8772CA1-E718-4B3B-8125-68D73A4CEF31}" xr6:coauthVersionLast="47" xr6:coauthVersionMax="47" xr10:uidLastSave="{BA278268-3E0C-4C12-9571-8A7D497F6225}"/>
  <bookViews>
    <workbookView xWindow="-110" yWindow="-110" windowWidth="19420" windowHeight="10420" xr2:uid="{2EFA1358-0385-4213-83A5-14E931E4CB47}"/>
  </bookViews>
  <sheets>
    <sheet name="GAFA" sheetId="1" r:id="rId1"/>
  </sheets>
  <definedNames>
    <definedName name="_xlnm._FilterDatabase" localSheetId="0" hidden="1">GAFA!$B$85:$G$85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2" i="1" l="1"/>
  <c r="E155" i="1"/>
  <c r="G125" i="1"/>
  <c r="G110" i="1"/>
  <c r="D9" i="1" l="1"/>
  <c r="D155" i="1" l="1"/>
  <c r="E77" i="1"/>
  <c r="D77" i="1"/>
  <c r="G134" i="1"/>
  <c r="E59" i="1"/>
  <c r="D59" i="1"/>
  <c r="D54" i="1"/>
  <c r="G59" i="1"/>
  <c r="C155" i="1" l="1"/>
  <c r="C9" i="1" l="1"/>
</calcChain>
</file>

<file path=xl/sharedStrings.xml><?xml version="1.0" encoding="utf-8"?>
<sst xmlns="http://schemas.openxmlformats.org/spreadsheetml/2006/main" count="389" uniqueCount="225">
  <si>
    <t>COMITÉ INI</t>
  </si>
  <si>
    <t>STOCK DE DOCUMENTOS</t>
  </si>
  <si>
    <t>DCCI</t>
  </si>
  <si>
    <t>DCCII</t>
  </si>
  <si>
    <t>DCP</t>
  </si>
  <si>
    <t>FONDO</t>
  </si>
  <si>
    <t>(*)</t>
  </si>
  <si>
    <t>ADMISIBILIDAD</t>
  </si>
  <si>
    <t>TOTAL</t>
  </si>
  <si>
    <t>(*) Inlcuye 3 casos de DCCII</t>
  </si>
  <si>
    <t xml:space="preserve">PRODUCTIVIDAD RECLAMOS </t>
  </si>
  <si>
    <t>DIVISIÓN DE CONTROL CONCURRENTE-I</t>
  </si>
  <si>
    <t>DIVISIÓN DE CONTROL CONCURRENTE-II</t>
  </si>
  <si>
    <t>DIVISIÓN DE CONTROL POSTERIOR</t>
  </si>
  <si>
    <t>Reclamos resueltos</t>
  </si>
  <si>
    <t>Resolutor</t>
  </si>
  <si>
    <t>12.8</t>
  </si>
  <si>
    <t>10.5</t>
  </si>
  <si>
    <t>Producción Promedio</t>
  </si>
  <si>
    <t>15.23</t>
  </si>
  <si>
    <t>10.48</t>
  </si>
  <si>
    <t>4.88</t>
  </si>
  <si>
    <t xml:space="preserve">(*)(*) Incluye: 20 reclamos origen INCA por S/. 2.5 millones; y 10 reclamos origen DCCII.
</t>
  </si>
  <si>
    <t>PRODUCTIVIDAD (LABORES ADICIONALES)</t>
  </si>
  <si>
    <t>PRODUCCIÓN</t>
  </si>
  <si>
    <t>UUOO</t>
  </si>
  <si>
    <t>MATERIA</t>
  </si>
  <si>
    <t>MEJORA RD</t>
  </si>
  <si>
    <t>MEJORA LC</t>
  </si>
  <si>
    <t>MEJORA (IAMC)</t>
  </si>
  <si>
    <t>ADMISIBILIDAD APELACIÓN</t>
  </si>
  <si>
    <t xml:space="preserve">PRODUCTO RESUELTO </t>
  </si>
  <si>
    <t xml:space="preserve"> Apoyo a Divisón de  Admisibilidad y División de Cumplimiento, en verificación de reporte de liquidación de cobranz y tramite de RTFs</t>
  </si>
  <si>
    <t>RESOLUTOR (EJEMPLO)</t>
  </si>
  <si>
    <t>2 personas durante 3 días.</t>
  </si>
  <si>
    <t>PRODUCCIÓN PROMEDIO (EJEMPLO)</t>
  </si>
  <si>
    <t>PROGRAMACIÓN-OCTUBRE 2024</t>
  </si>
  <si>
    <t>Exp</t>
  </si>
  <si>
    <t>STOCK VENCIDOS</t>
  </si>
  <si>
    <t>VENCIDO +9 MESES</t>
  </si>
  <si>
    <t>9 MESES</t>
  </si>
  <si>
    <t>8 MESES</t>
  </si>
  <si>
    <t>7 MESES</t>
  </si>
  <si>
    <t>38 (**)</t>
  </si>
  <si>
    <t>1 (*)</t>
  </si>
  <si>
    <r>
      <rPr>
        <sz val="10"/>
        <color rgb="FF000000"/>
        <rFont val="Calibri Light"/>
      </rPr>
      <t>(</t>
    </r>
    <r>
      <rPr>
        <b/>
        <sz val="10"/>
        <color rgb="FF000000"/>
        <rFont val="Calibri Light"/>
      </rPr>
      <t>*) Caso derivado a la INI el 12.09.2024 y paso a fondo el 25.09.2024</t>
    </r>
  </si>
  <si>
    <t>(**) Reingresados</t>
  </si>
  <si>
    <t>NO GESTIONABLE Y REINGRESADOS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</si>
  <si>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</si>
  <si>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</si>
  <si>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</si>
  <si>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</si>
  <si>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</si>
  <si>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</si>
  <si>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efectivo</t>
  </si>
  <si>
    <t>Complejidad</t>
  </si>
  <si>
    <t>Producción promedio</t>
  </si>
  <si>
    <t>7U7101</t>
  </si>
  <si>
    <t>Allison Castro</t>
  </si>
  <si>
    <t>4.7</t>
  </si>
  <si>
    <t>14.89</t>
  </si>
  <si>
    <t>7U7102</t>
  </si>
  <si>
    <t>Teresita Quezada</t>
  </si>
  <si>
    <t>15.00</t>
  </si>
  <si>
    <t>7U7103</t>
  </si>
  <si>
    <t>Angelita Santillan</t>
  </si>
  <si>
    <t>4.2</t>
  </si>
  <si>
    <t>15.48</t>
  </si>
  <si>
    <t>7U7201</t>
  </si>
  <si>
    <t>Yessenia Salcedo</t>
  </si>
  <si>
    <t>5.7</t>
  </si>
  <si>
    <t>9.30</t>
  </si>
  <si>
    <t>7U7202</t>
  </si>
  <si>
    <t>Alberto Munive</t>
  </si>
  <si>
    <t>4.9</t>
  </si>
  <si>
    <t>11.63</t>
  </si>
  <si>
    <t>7U7301</t>
  </si>
  <si>
    <t xml:space="preserve">Cynthia Sánchez Ferrer </t>
  </si>
  <si>
    <t>30 Resoluciones(*)</t>
  </si>
  <si>
    <t>6.143 (*)</t>
  </si>
  <si>
    <t>Muy Alta 2
Alta 7
Mediana 21</t>
  </si>
  <si>
    <t>(*) Incluye: 20 casos orginen INCA, 10 casos origen DCC II.</t>
  </si>
  <si>
    <t>PROYECTADO Y NO APLICADO</t>
  </si>
  <si>
    <t xml:space="preserve">Resolución proyectada </t>
  </si>
  <si>
    <r>
      <rPr>
        <b/>
        <sz val="10"/>
        <color rgb="FFFFFFFF"/>
        <rFont val="Calibri Light"/>
      </rPr>
      <t>Resolución</t>
    </r>
    <r>
      <rPr>
        <b/>
        <u/>
        <sz val="10"/>
        <color rgb="FFFFFFFF"/>
        <rFont val="Calibri Light"/>
      </rPr>
      <t xml:space="preserve"> NO </t>
    </r>
    <r>
      <rPr>
        <b/>
        <sz val="10"/>
        <color rgb="FFFFFFFF"/>
        <rFont val="Calibri Light"/>
      </rPr>
      <t>aplicada</t>
    </r>
    <r>
      <rPr>
        <b/>
        <u/>
        <sz val="10"/>
        <color rgb="FFFFFFFF"/>
        <rFont val="Calibri Light"/>
      </rPr>
      <t xml:space="preserve"> </t>
    </r>
  </si>
  <si>
    <t xml:space="preserve">Motivo </t>
  </si>
  <si>
    <r>
      <t>Resolución</t>
    </r>
    <r>
      <rPr>
        <b/>
        <u/>
        <sz val="10"/>
        <color rgb="FFFFFFFF"/>
        <rFont val="Calibri Light"/>
        <family val="2"/>
        <scheme val="major"/>
      </rPr>
      <t xml:space="preserve"> </t>
    </r>
    <r>
      <rPr>
        <b/>
        <sz val="10"/>
        <color rgb="FFFFFFFF"/>
        <rFont val="Calibri Light"/>
        <family val="2"/>
        <scheme val="major"/>
      </rPr>
      <t>aplicada</t>
    </r>
    <r>
      <rPr>
        <b/>
        <u/>
        <sz val="10"/>
        <color rgb="FFFFFFFF"/>
        <rFont val="Calibri Light"/>
        <family val="2"/>
        <scheme val="major"/>
      </rPr>
      <t xml:space="preserve"> </t>
    </r>
  </si>
  <si>
    <t xml:space="preserve">      Motivo</t>
  </si>
  <si>
    <t>AlbertoMunive</t>
  </si>
  <si>
    <t>Pérdida de Beneficio Selva</t>
  </si>
  <si>
    <t>Motivo</t>
  </si>
  <si>
    <t>Cynthia Sánchez Ferrer</t>
  </si>
  <si>
    <t>Producción por especialista:</t>
  </si>
  <si>
    <t>SUPERVISIONES</t>
  </si>
  <si>
    <t>REGISTRO</t>
  </si>
  <si>
    <t xml:space="preserve">FUNCIONARIO </t>
  </si>
  <si>
    <t>CARGO</t>
  </si>
  <si>
    <t>PRODUCCIÓN  MENSUAL</t>
  </si>
  <si>
    <t>7U7100 DIVISION DE CONTROL CONCURRENTE I</t>
  </si>
  <si>
    <t>5877</t>
  </si>
  <si>
    <t>Allison, Castro Lagos</t>
  </si>
  <si>
    <t>Supervisor 1</t>
  </si>
  <si>
    <t>2900</t>
  </si>
  <si>
    <t>Carolina Cavero Carrion</t>
  </si>
  <si>
    <t>Especialista 4</t>
  </si>
  <si>
    <t>3085</t>
  </si>
  <si>
    <t>Edgar Cosio Jara</t>
  </si>
  <si>
    <t>Especialista 5</t>
  </si>
  <si>
    <t>3284</t>
  </si>
  <si>
    <t>Ana Diaz Jurado</t>
  </si>
  <si>
    <t>Especialista 2</t>
  </si>
  <si>
    <t>4469</t>
  </si>
  <si>
    <t>Maria Hurtado Custodio</t>
  </si>
  <si>
    <t>4644</t>
  </si>
  <si>
    <t>Cesar Linares Alcantara</t>
  </si>
  <si>
    <t>Especialista 3</t>
  </si>
  <si>
    <t>5534</t>
  </si>
  <si>
    <t>Celso Sanchez Garrido</t>
  </si>
  <si>
    <t>5565</t>
  </si>
  <si>
    <t>Victoria Santa Cruz Martinez</t>
  </si>
  <si>
    <t>8351</t>
  </si>
  <si>
    <t>Debra Araoz Laines</t>
  </si>
  <si>
    <t>7580</t>
  </si>
  <si>
    <t>Teresita Quezada Villar</t>
  </si>
  <si>
    <t>Supervisor 2</t>
  </si>
  <si>
    <t>2968</t>
  </si>
  <si>
    <t>Maria Chire Tunque</t>
  </si>
  <si>
    <t>3977</t>
  </si>
  <si>
    <t>William Godoy Escalante</t>
  </si>
  <si>
    <t>4504</t>
  </si>
  <si>
    <t xml:space="preserve">Hugo Jimenez Suclla </t>
  </si>
  <si>
    <t>4949</t>
  </si>
  <si>
    <t>Javier Oyarse Cruz</t>
  </si>
  <si>
    <t>7324</t>
  </si>
  <si>
    <t>Zaira Carbajal Jara</t>
  </si>
  <si>
    <t>8319</t>
  </si>
  <si>
    <t>Carla Vilcapaza Amaro</t>
  </si>
  <si>
    <t>Especialista 1</t>
  </si>
  <si>
    <t>5569</t>
  </si>
  <si>
    <t>Gladys Santillan Valdivia</t>
  </si>
  <si>
    <t>Supervisor 3</t>
  </si>
  <si>
    <t>2858</t>
  </si>
  <si>
    <t>Julio Castañeda Calderon</t>
  </si>
  <si>
    <t>4770</t>
  </si>
  <si>
    <t>Maritza Mollinedo Catunta</t>
  </si>
  <si>
    <t>5556</t>
  </si>
  <si>
    <t>Jorge Sanchez Torres</t>
  </si>
  <si>
    <t>7330</t>
  </si>
  <si>
    <t>Tania Rosales Ochoa</t>
  </si>
  <si>
    <t>7611</t>
  </si>
  <si>
    <t>Azhir Sandoval Guevara</t>
  </si>
  <si>
    <t>7661</t>
  </si>
  <si>
    <t>Luis Cordova Meza</t>
  </si>
  <si>
    <t>7674</t>
  </si>
  <si>
    <t>Andres Angulo Farfan</t>
  </si>
  <si>
    <t>TOTAL DCCI</t>
  </si>
  <si>
    <t>7U7200 DIVISION DE CONTROL CONCURRENTE II</t>
  </si>
  <si>
    <t xml:space="preserve">7U7201 </t>
  </si>
  <si>
    <t>7587</t>
  </si>
  <si>
    <t>Yessenia Salcedo Diaz</t>
  </si>
  <si>
    <t>7342</t>
  </si>
  <si>
    <t>Juan Cuya Velarde</t>
  </si>
  <si>
    <t>Carlos Malaga Portocarrero</t>
  </si>
  <si>
    <t>AO21</t>
  </si>
  <si>
    <t>Renierd Rios Gomez</t>
  </si>
  <si>
    <t>CAS</t>
  </si>
  <si>
    <t>7211</t>
  </si>
  <si>
    <t>Roberto Rivarola Hidalgo</t>
  </si>
  <si>
    <t>7624</t>
  </si>
  <si>
    <t>Poul Valdivia Charca</t>
  </si>
  <si>
    <t>5844</t>
  </si>
  <si>
    <t>Richard Vela Nuñez</t>
  </si>
  <si>
    <t>4840</t>
  </si>
  <si>
    <t>Alberto Munive Bisetti</t>
  </si>
  <si>
    <t>2423</t>
  </si>
  <si>
    <t>Cecilia Acosta Salazar</t>
  </si>
  <si>
    <t>7326</t>
  </si>
  <si>
    <t>Lydia Arestegui Pereyra</t>
  </si>
  <si>
    <t>AT75</t>
  </si>
  <si>
    <t>Victoria Flores Alvitez</t>
  </si>
  <si>
    <t>7151</t>
  </si>
  <si>
    <t>Lourdes Pretel Noblecilla</t>
  </si>
  <si>
    <t>5749</t>
  </si>
  <si>
    <t>Wilder Ulloa Ascencio</t>
  </si>
  <si>
    <t>4569</t>
  </si>
  <si>
    <t xml:space="preserve">Jose Linarez Amacifuen </t>
  </si>
  <si>
    <t>TOTAL DCCII</t>
  </si>
  <si>
    <t>7U7300 DIVISION DE CONTROL POSTERIOR</t>
  </si>
  <si>
    <t xml:space="preserve">7U7301 </t>
  </si>
  <si>
    <t>2834</t>
  </si>
  <si>
    <t xml:space="preserve">Cynthia Sanchez Ferrer  </t>
  </si>
  <si>
    <t>2694</t>
  </si>
  <si>
    <t>Gustavo Bernuy Nuñez</t>
  </si>
  <si>
    <t>4700</t>
  </si>
  <si>
    <t>Carlos Mauro Sampen</t>
  </si>
  <si>
    <t>5730</t>
  </si>
  <si>
    <t>Marco Tregear Jimenez</t>
  </si>
  <si>
    <t>7660</t>
  </si>
  <si>
    <t>Marco Fournier Castillo</t>
  </si>
  <si>
    <t>7148</t>
  </si>
  <si>
    <t>Jesus Garcia Rodriguez</t>
  </si>
  <si>
    <t>4594</t>
  </si>
  <si>
    <t>Carlos Lopez Cornelio</t>
  </si>
  <si>
    <t>4990</t>
  </si>
  <si>
    <t xml:space="preserve">Cecilia Pantoja Urizar Garfias </t>
  </si>
  <si>
    <t>(*) Incluye 10 casos de la DCP.</t>
  </si>
  <si>
    <t>ITOP REPORTADOS-SETIEMBRE 2024</t>
  </si>
  <si>
    <t>Julio</t>
  </si>
  <si>
    <t>N° ITOP</t>
  </si>
  <si>
    <t> ASUNTO</t>
  </si>
  <si>
    <t>-</t>
  </si>
  <si>
    <t>-R-1037120 solicita PDF para notificar SCAD
- I-1035870 RD no genera pedido SINE
- I-1037390 RD no genera pedido SINE</t>
  </si>
  <si>
    <t xml:space="preserve">Itop I-1001875 : Se generó ticket en virtud a que valor reclamado no figuraba en el SIGERI
 ticket I-1017451:
No pasó Resoluciones a SINE para su notificación (04 Resoluciones proyectadas para Concurrente II).
</t>
  </si>
  <si>
    <t>RESULTADOS DE RECLAMO</t>
  </si>
  <si>
    <t>INFUNDADO</t>
  </si>
  <si>
    <t>ReclamoInfundada</t>
  </si>
  <si>
    <t>ESTADO</t>
  </si>
  <si>
    <t>Infundada</t>
  </si>
  <si>
    <t>Infundado</t>
  </si>
  <si>
    <t>Resolucion de Nulidad Sigeri</t>
  </si>
  <si>
    <t>Fundado/F.P</t>
  </si>
  <si>
    <t>NULIDAD</t>
  </si>
  <si>
    <t>Nulidad</t>
  </si>
  <si>
    <t>Total</t>
  </si>
  <si>
    <t>(*) Incluye 20 casos origen INCA y 10 origen DCCII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</si>
</sst>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u/>
      <sz val="10"/>
      <color rgb="FFFFFFFF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0"/>
      <name val="Calibri Light"/>
      <family val="2"/>
    </font>
    <font>
      <b/>
      <sz val="14"/>
      <name val="Calibri Light"/>
      <family val="2"/>
    </font>
    <font>
      <b/>
      <sz val="11"/>
      <color theme="1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8"/>
      <color rgb="FF000000"/>
      <name val="Calibri Light"/>
      <family val="2"/>
      <scheme val="major"/>
    </font>
    <font>
      <b/>
      <sz val="10"/>
      <color rgb="FF000000"/>
      <name val="Calibri Light"/>
      <family val="2"/>
    </font>
    <font>
      <sz val="10"/>
      <color rgb="FF000000"/>
      <name val="Calibri Light"/>
      <family val="2"/>
    </font>
    <font>
      <b/>
      <sz val="11"/>
      <color rgb="FF000000"/>
      <name val="Calibri"/>
      <family val="2"/>
    </font>
    <font>
      <sz val="10"/>
      <color rgb="FF000000"/>
      <name val="Calibri Light"/>
    </font>
    <font>
      <b/>
      <sz val="10"/>
      <color rgb="FF000000"/>
      <name val="Calibri Light"/>
    </font>
    <font>
      <sz val="8"/>
      <color rgb="FF000000"/>
      <name val="Calibri Light"/>
      <scheme val="major"/>
    </font>
    <font>
      <b/>
      <sz val="10"/>
      <color rgb="FFFFFFFF"/>
      <name val="Calibri Light"/>
    </font>
    <font>
      <b/>
      <u/>
      <sz val="10"/>
      <color rgb="FFFFFFFF"/>
      <name val="Calibri Light"/>
    </font>
    <font>
      <b/>
      <sz val="11"/>
      <color rgb="FF3F3F3F"/>
      <name val="Calibri"/>
      <scheme val="minor"/>
    </font>
    <font>
      <sz val="8"/>
      <color rgb="FF000000"/>
      <name val="Arial Nova"/>
      <family val="2"/>
    </font>
    <font>
      <b/>
      <sz val="14"/>
      <color rgb="FF3F3F3F"/>
      <name val="Calibri"/>
      <scheme val="minor"/>
    </font>
    <font>
      <b/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14"/>
      <name val="Calibri Light"/>
      <family val="2"/>
      <scheme val="major"/>
    </font>
    <font>
      <sz val="14"/>
      <color rgb="FF000000"/>
      <name val="Calibri Light"/>
      <family val="2"/>
    </font>
    <font>
      <b/>
      <sz val="14"/>
      <color rgb="FF000000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4"/>
      <color rgb="FF833C0C"/>
      <name val="Calibri Light"/>
      <family val="2"/>
      <scheme val="major"/>
    </font>
  </fonts>
  <fills count="24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EAF6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F2F2F2"/>
      </patternFill>
    </fill>
    <fill>
      <patternFill patternType="solid">
        <fgColor theme="2"/>
        <bgColor indexed="64"/>
      </patternFill>
    </fill>
  </fills>
  <borders count="77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/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9CC2E5"/>
      </left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indexed="64"/>
      </right>
      <top style="medium">
        <color indexed="64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9CC2E5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9CC2E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/>
      <bottom style="thin">
        <color rgb="FF000000"/>
      </bottom>
      <diagonal/>
    </border>
    <border>
      <left style="thin">
        <color rgb="FF3F3F3F"/>
      </left>
      <right style="thin">
        <color rgb="FF3F3F3F"/>
      </right>
      <top/>
      <bottom style="thin">
        <color rgb="FF000000"/>
      </bottom>
      <diagonal/>
    </border>
    <border>
      <left style="thin">
        <color rgb="FF3F3F3F"/>
      </left>
      <right/>
      <top/>
      <bottom style="thin">
        <color rgb="FF000000"/>
      </bottom>
      <diagonal/>
    </border>
    <border>
      <left/>
      <right style="thin">
        <color rgb="FF3F3F3F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3F3F3F"/>
      </right>
      <top style="thin">
        <color rgb="FF000000"/>
      </top>
      <bottom/>
      <diagonal/>
    </border>
    <border>
      <left style="thin">
        <color rgb="FF3F3F3F"/>
      </left>
      <right style="thin">
        <color rgb="FF3F3F3F"/>
      </right>
      <top style="thin">
        <color rgb="FF000000"/>
      </top>
      <bottom/>
      <diagonal/>
    </border>
    <border>
      <left style="thin">
        <color rgb="FF3F3F3F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/>
      <diagonal/>
    </border>
  </borders>
  <cellStyleXfs count="2">
    <xf numFmtId="0" fontId="0" fillId="0" borderId="0"/>
    <xf numFmtId="0" fontId="25" fillId="22" borderId="65" applyNumberFormat="0" applyAlignment="0" applyProtection="0"/>
  </cellStyleXfs>
  <cellXfs count="209">
    <xf numFmtId="0" fontId="0" fillId="0" borderId="0" xfId="0"/>
    <xf numFmtId="0" fontId="1" fillId="0" borderId="0" xfId="0" applyFont="1"/>
    <xf numFmtId="0" fontId="2" fillId="0" borderId="0" xfId="0" applyFont="1"/>
    <xf numFmtId="0" fontId="3" fillId="6" borderId="18" xfId="0" applyFont="1" applyFill="1" applyBorder="1" applyAlignment="1">
      <alignment horizontal="center" vertical="center" wrapText="1" readingOrder="1"/>
    </xf>
    <xf numFmtId="0" fontId="3" fillId="7" borderId="11" xfId="0" applyFont="1" applyFill="1" applyBorder="1" applyAlignment="1">
      <alignment horizontal="center" vertical="center" wrapText="1" readingOrder="1"/>
    </xf>
    <xf numFmtId="0" fontId="3" fillId="8" borderId="11" xfId="0" applyFont="1" applyFill="1" applyBorder="1" applyAlignment="1">
      <alignment horizontal="center" vertical="center" wrapText="1" readingOrder="1"/>
    </xf>
    <xf numFmtId="0" fontId="3" fillId="9" borderId="11" xfId="0" applyFont="1" applyFill="1" applyBorder="1" applyAlignment="1">
      <alignment horizontal="center" vertical="center" wrapText="1" readingOrder="1"/>
    </xf>
    <xf numFmtId="0" fontId="3" fillId="9" borderId="20" xfId="0" applyFont="1" applyFill="1" applyBorder="1" applyAlignment="1">
      <alignment horizontal="center" vertical="center" wrapText="1" readingOrder="1"/>
    </xf>
    <xf numFmtId="0" fontId="4" fillId="7" borderId="11" xfId="0" applyFont="1" applyFill="1" applyBorder="1" applyAlignment="1">
      <alignment horizontal="center" vertical="center" wrapText="1" readingOrder="1"/>
    </xf>
    <xf numFmtId="0" fontId="4" fillId="8" borderId="11" xfId="0" applyFont="1" applyFill="1" applyBorder="1" applyAlignment="1">
      <alignment horizontal="center" vertical="center" wrapText="1" readingOrder="1"/>
    </xf>
    <xf numFmtId="0" fontId="4" fillId="9" borderId="11" xfId="0" applyFont="1" applyFill="1" applyBorder="1" applyAlignment="1">
      <alignment horizontal="center" vertical="center" wrapText="1" readingOrder="1"/>
    </xf>
    <xf numFmtId="16" fontId="4" fillId="9" borderId="20" xfId="0" applyNumberFormat="1" applyFont="1" applyFill="1" applyBorder="1" applyAlignment="1">
      <alignment horizontal="center" vertical="center" wrapText="1" readingOrder="1"/>
    </xf>
    <xf numFmtId="0" fontId="4" fillId="7" borderId="24" xfId="0" applyFont="1" applyFill="1" applyBorder="1" applyAlignment="1">
      <alignment horizontal="center" vertical="center" wrapText="1" readingOrder="1"/>
    </xf>
    <xf numFmtId="0" fontId="4" fillId="8" borderId="24" xfId="0" applyFont="1" applyFill="1" applyBorder="1" applyAlignment="1">
      <alignment horizontal="center" vertical="center" wrapText="1" readingOrder="1"/>
    </xf>
    <xf numFmtId="0" fontId="4" fillId="9" borderId="24" xfId="0" applyFont="1" applyFill="1" applyBorder="1" applyAlignment="1">
      <alignment horizontal="center" vertical="center" wrapText="1" readingOrder="1"/>
    </xf>
    <xf numFmtId="0" fontId="4" fillId="9" borderId="25" xfId="0" applyFont="1" applyFill="1" applyBorder="1" applyAlignment="1">
      <alignment horizontal="center" vertical="center" wrapText="1" readingOrder="1"/>
    </xf>
    <xf numFmtId="0" fontId="6" fillId="2" borderId="30" xfId="0" applyFont="1" applyFill="1" applyBorder="1" applyAlignment="1">
      <alignment horizontal="center" vertical="center" wrapText="1" readingOrder="1"/>
    </xf>
    <xf numFmtId="0" fontId="3" fillId="3" borderId="31" xfId="0" applyFont="1" applyFill="1" applyBorder="1" applyAlignment="1">
      <alignment horizontal="center" vertical="center" wrapText="1" readingOrder="1"/>
    </xf>
    <xf numFmtId="0" fontId="3" fillId="3" borderId="33" xfId="0" applyFont="1" applyFill="1" applyBorder="1" applyAlignment="1">
      <alignment horizontal="center" vertical="center" wrapText="1" readingOrder="1"/>
    </xf>
    <xf numFmtId="0" fontId="3" fillId="0" borderId="32" xfId="0" applyFont="1" applyBorder="1" applyAlignment="1">
      <alignment horizontal="center" vertical="center" wrapText="1" readingOrder="1"/>
    </xf>
    <xf numFmtId="0" fontId="5" fillId="0" borderId="0" xfId="0" applyFont="1"/>
    <xf numFmtId="0" fontId="7" fillId="0" borderId="0" xfId="0" applyFont="1" applyAlignment="1">
      <alignment horizontal="center"/>
    </xf>
    <xf numFmtId="0" fontId="4" fillId="3" borderId="2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left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3" fillId="4" borderId="5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horizontal="center" vertical="center" wrapText="1" readingOrder="1"/>
    </xf>
    <xf numFmtId="0" fontId="3" fillId="0" borderId="5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 readingOrder="1"/>
    </xf>
    <xf numFmtId="2" fontId="3" fillId="3" borderId="8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readingOrder="1"/>
    </xf>
    <xf numFmtId="0" fontId="3" fillId="0" borderId="3" xfId="0" applyFont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6" fillId="2" borderId="9" xfId="0" applyFont="1" applyFill="1" applyBorder="1" applyAlignment="1">
      <alignment horizontal="center" vertical="center" wrapText="1" readingOrder="1"/>
    </xf>
    <xf numFmtId="0" fontId="6" fillId="2" borderId="10" xfId="0" applyFont="1" applyFill="1" applyBorder="1" applyAlignment="1">
      <alignment horizontal="center" vertical="center" wrapText="1" readingOrder="1"/>
    </xf>
    <xf numFmtId="0" fontId="6" fillId="2" borderId="12" xfId="0" applyFont="1" applyFill="1" applyBorder="1" applyAlignment="1">
      <alignment horizontal="center" vertical="center" wrapText="1" readingOrder="1"/>
    </xf>
    <xf numFmtId="0" fontId="6" fillId="2" borderId="11" xfId="0" applyFont="1" applyFill="1" applyBorder="1" applyAlignment="1">
      <alignment horizontal="center" vertical="center" wrapText="1" readingOrder="1"/>
    </xf>
    <xf numFmtId="0" fontId="4" fillId="10" borderId="11" xfId="0" applyFont="1" applyFill="1" applyBorder="1" applyAlignment="1">
      <alignment horizontal="left" vertical="center" wrapText="1" readingOrder="1"/>
    </xf>
    <xf numFmtId="0" fontId="4" fillId="10" borderId="11" xfId="0" applyFont="1" applyFill="1" applyBorder="1" applyAlignment="1">
      <alignment horizontal="center" vertical="center" wrapText="1" readingOrder="1"/>
    </xf>
    <xf numFmtId="0" fontId="4" fillId="3" borderId="11" xfId="0" applyFont="1" applyFill="1" applyBorder="1" applyAlignment="1">
      <alignment horizontal="left" vertical="center" wrapText="1" readingOrder="1"/>
    </xf>
    <xf numFmtId="0" fontId="4" fillId="3" borderId="11" xfId="0" applyFont="1" applyFill="1" applyBorder="1" applyAlignment="1">
      <alignment horizontal="center" vertical="center" wrapText="1" readingOrder="1"/>
    </xf>
    <xf numFmtId="0" fontId="6" fillId="11" borderId="34" xfId="0" applyFont="1" applyFill="1" applyBorder="1" applyAlignment="1">
      <alignment horizontal="center" vertical="center" wrapText="1" readingOrder="1"/>
    </xf>
    <xf numFmtId="0" fontId="6" fillId="11" borderId="34" xfId="0" applyFont="1" applyFill="1" applyBorder="1" applyAlignment="1">
      <alignment horizontal="left" vertical="center" wrapText="1" readingOrder="1"/>
    </xf>
    <xf numFmtId="0" fontId="6" fillId="11" borderId="35" xfId="0" applyFont="1" applyFill="1" applyBorder="1" applyAlignment="1">
      <alignment horizontal="center" vertical="center" wrapText="1" readingOrder="1"/>
    </xf>
    <xf numFmtId="0" fontId="4" fillId="12" borderId="35" xfId="0" applyFont="1" applyFill="1" applyBorder="1" applyAlignment="1">
      <alignment horizontal="left" vertical="center" wrapText="1" readingOrder="1"/>
    </xf>
    <xf numFmtId="0" fontId="4" fillId="12" borderId="35" xfId="0" applyFont="1" applyFill="1" applyBorder="1" applyAlignment="1">
      <alignment horizontal="center" vertical="center" wrapText="1" readingOrder="1"/>
    </xf>
    <xf numFmtId="0" fontId="4" fillId="13" borderId="13" xfId="0" applyFont="1" applyFill="1" applyBorder="1" applyAlignment="1">
      <alignment horizontal="center" vertical="center" wrapText="1" readingOrder="1"/>
    </xf>
    <xf numFmtId="0" fontId="6" fillId="14" borderId="9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left" vertical="center" wrapText="1" readingOrder="1"/>
    </xf>
    <xf numFmtId="0" fontId="6" fillId="14" borderId="10" xfId="0" applyFont="1" applyFill="1" applyBorder="1" applyAlignment="1">
      <alignment horizontal="center" vertical="center" wrapText="1" readingOrder="1"/>
    </xf>
    <xf numFmtId="0" fontId="6" fillId="14" borderId="12" xfId="0" applyFont="1" applyFill="1" applyBorder="1" applyAlignment="1">
      <alignment horizontal="left" vertical="center" wrapText="1" readingOrder="1"/>
    </xf>
    <xf numFmtId="0" fontId="6" fillId="11" borderId="9" xfId="0" applyFont="1" applyFill="1" applyBorder="1" applyAlignment="1">
      <alignment horizontal="left" vertical="center" wrapText="1" readingOrder="1"/>
    </xf>
    <xf numFmtId="0" fontId="6" fillId="11" borderId="10" xfId="0" applyFont="1" applyFill="1" applyBorder="1" applyAlignment="1">
      <alignment horizontal="center" vertical="center" wrapText="1" readingOrder="1"/>
    </xf>
    <xf numFmtId="0" fontId="6" fillId="11" borderId="12" xfId="0" applyFont="1" applyFill="1" applyBorder="1" applyAlignment="1">
      <alignment horizontal="center" vertical="center" wrapText="1" readingOrder="1"/>
    </xf>
    <xf numFmtId="0" fontId="6" fillId="11" borderId="11" xfId="0" applyFont="1" applyFill="1" applyBorder="1" applyAlignment="1">
      <alignment horizontal="center" vertical="center" wrapText="1" readingOrder="1"/>
    </xf>
    <xf numFmtId="0" fontId="4" fillId="16" borderId="11" xfId="0" applyFont="1" applyFill="1" applyBorder="1" applyAlignment="1">
      <alignment horizontal="left" vertical="center" wrapText="1" readingOrder="1"/>
    </xf>
    <xf numFmtId="0" fontId="4" fillId="16" borderId="11" xfId="0" applyFont="1" applyFill="1" applyBorder="1" applyAlignment="1">
      <alignment horizontal="center" vertical="center" wrapText="1" readingOrder="1"/>
    </xf>
    <xf numFmtId="0" fontId="4" fillId="17" borderId="11" xfId="0" applyFont="1" applyFill="1" applyBorder="1" applyAlignment="1">
      <alignment horizontal="left" vertical="center" wrapText="1" readingOrder="1"/>
    </xf>
    <xf numFmtId="0" fontId="4" fillId="17" borderId="11" xfId="0" applyFont="1" applyFill="1" applyBorder="1" applyAlignment="1">
      <alignment horizontal="center" vertical="center" wrapText="1" readingOrder="1"/>
    </xf>
    <xf numFmtId="0" fontId="6" fillId="14" borderId="9" xfId="0" applyFont="1" applyFill="1" applyBorder="1" applyAlignment="1">
      <alignment horizontal="left" vertical="center" wrapText="1" readingOrder="1"/>
    </xf>
    <xf numFmtId="0" fontId="6" fillId="14" borderId="12" xfId="0" applyFont="1" applyFill="1" applyBorder="1" applyAlignment="1">
      <alignment horizontal="center" vertical="center" wrapText="1" readingOrder="1"/>
    </xf>
    <xf numFmtId="0" fontId="6" fillId="14" borderId="11" xfId="0" applyFont="1" applyFill="1" applyBorder="1" applyAlignment="1">
      <alignment horizontal="center" vertical="center" wrapText="1" readingOrder="1"/>
    </xf>
    <xf numFmtId="0" fontId="4" fillId="15" borderId="11" xfId="0" applyFont="1" applyFill="1" applyBorder="1" applyAlignment="1">
      <alignment horizontal="left" vertical="center" wrapText="1" readingOrder="1"/>
    </xf>
    <xf numFmtId="0" fontId="4" fillId="15" borderId="11" xfId="0" applyFont="1" applyFill="1" applyBorder="1" applyAlignment="1">
      <alignment horizontal="center" vertical="center" wrapText="1" readingOrder="1"/>
    </xf>
    <xf numFmtId="0" fontId="8" fillId="15" borderId="11" xfId="0" applyFont="1" applyFill="1" applyBorder="1" applyAlignment="1">
      <alignment horizontal="center" vertical="top" wrapText="1"/>
    </xf>
    <xf numFmtId="0" fontId="3" fillId="18" borderId="39" xfId="0" applyFont="1" applyFill="1" applyBorder="1" applyAlignment="1">
      <alignment horizontal="left" vertical="center" wrapText="1" readingOrder="1"/>
    </xf>
    <xf numFmtId="0" fontId="3" fillId="0" borderId="38" xfId="0" applyFont="1" applyBorder="1" applyAlignment="1">
      <alignment horizontal="left" vertical="center" wrapText="1" readingOrder="1"/>
    </xf>
    <xf numFmtId="0" fontId="3" fillId="0" borderId="38" xfId="0" applyFont="1" applyBorder="1" applyAlignment="1">
      <alignment horizontal="center" vertical="center" wrapText="1" readingOrder="1"/>
    </xf>
    <xf numFmtId="0" fontId="3" fillId="18" borderId="36" xfId="0" applyFont="1" applyFill="1" applyBorder="1" applyAlignment="1">
      <alignment horizontal="left" vertical="center" wrapText="1" readingOrder="1"/>
    </xf>
    <xf numFmtId="0" fontId="3" fillId="0" borderId="36" xfId="0" applyFont="1" applyBorder="1" applyAlignment="1">
      <alignment horizontal="left" vertical="center" wrapText="1" readingOrder="1"/>
    </xf>
    <xf numFmtId="0" fontId="10" fillId="0" borderId="0" xfId="0" applyFont="1"/>
    <xf numFmtId="0" fontId="12" fillId="3" borderId="41" xfId="0" applyFont="1" applyFill="1" applyBorder="1" applyAlignment="1">
      <alignment horizontal="left" vertical="center"/>
    </xf>
    <xf numFmtId="0" fontId="13" fillId="0" borderId="0" xfId="0" applyFont="1"/>
    <xf numFmtId="17" fontId="6" fillId="5" borderId="6" xfId="0" applyNumberFormat="1" applyFont="1" applyFill="1" applyBorder="1" applyAlignment="1">
      <alignment horizontal="center" vertical="center" wrapText="1"/>
    </xf>
    <xf numFmtId="2" fontId="5" fillId="0" borderId="0" xfId="0" applyNumberFormat="1" applyFont="1"/>
    <xf numFmtId="0" fontId="3" fillId="2" borderId="1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3" fillId="18" borderId="39" xfId="0" applyFont="1" applyFill="1" applyBorder="1" applyAlignment="1">
      <alignment horizontal="center" vertical="center" wrapText="1" readingOrder="1"/>
    </xf>
    <xf numFmtId="0" fontId="3" fillId="0" borderId="37" xfId="0" applyFont="1" applyBorder="1" applyAlignment="1">
      <alignment horizontal="center" vertical="center" wrapText="1" readingOrder="1"/>
    </xf>
    <xf numFmtId="0" fontId="6" fillId="11" borderId="13" xfId="0" applyFont="1" applyFill="1" applyBorder="1" applyAlignment="1">
      <alignment horizontal="center" vertical="center" wrapText="1" readingOrder="1"/>
    </xf>
    <xf numFmtId="164" fontId="4" fillId="12" borderId="35" xfId="0" applyNumberFormat="1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vertical="center" wrapText="1" readingOrder="1"/>
    </xf>
    <xf numFmtId="0" fontId="14" fillId="0" borderId="0" xfId="0" applyFont="1"/>
    <xf numFmtId="0" fontId="15" fillId="0" borderId="0" xfId="0" applyFont="1"/>
    <xf numFmtId="0" fontId="16" fillId="18" borderId="36" xfId="0" applyFont="1" applyFill="1" applyBorder="1" applyAlignment="1">
      <alignment horizontal="left" vertical="top" wrapText="1" readingOrder="1"/>
    </xf>
    <xf numFmtId="0" fontId="2" fillId="0" borderId="42" xfId="0" applyFont="1" applyBorder="1" applyAlignment="1">
      <alignment horizontal="center"/>
    </xf>
    <xf numFmtId="0" fontId="3" fillId="2" borderId="1" xfId="0" applyFont="1" applyFill="1" applyBorder="1" applyAlignment="1">
      <alignment vertical="center" readingOrder="1"/>
    </xf>
    <xf numFmtId="0" fontId="11" fillId="2" borderId="39" xfId="0" applyFont="1" applyFill="1" applyBorder="1" applyAlignment="1">
      <alignment vertical="center" wrapText="1"/>
    </xf>
    <xf numFmtId="0" fontId="3" fillId="18" borderId="37" xfId="0" applyFont="1" applyFill="1" applyBorder="1" applyAlignment="1">
      <alignment vertical="center" wrapText="1" readingOrder="1"/>
    </xf>
    <xf numFmtId="0" fontId="4" fillId="7" borderId="13" xfId="0" applyFont="1" applyFill="1" applyBorder="1" applyAlignment="1">
      <alignment vertical="center" wrapText="1" readingOrder="1"/>
    </xf>
    <xf numFmtId="0" fontId="4" fillId="8" borderId="13" xfId="0" applyFont="1" applyFill="1" applyBorder="1" applyAlignment="1">
      <alignment vertical="center" wrapText="1" readingOrder="1"/>
    </xf>
    <xf numFmtId="0" fontId="4" fillId="9" borderId="13" xfId="0" applyFont="1" applyFill="1" applyBorder="1" applyAlignment="1">
      <alignment vertical="center" wrapText="1" readingOrder="1"/>
    </xf>
    <xf numFmtId="0" fontId="4" fillId="9" borderId="22" xfId="0" applyFont="1" applyFill="1" applyBorder="1" applyAlignment="1">
      <alignment vertical="center" wrapText="1" readingOrder="1"/>
    </xf>
    <xf numFmtId="0" fontId="6" fillId="2" borderId="4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left" vertical="center" wrapText="1" readingOrder="1"/>
    </xf>
    <xf numFmtId="0" fontId="3" fillId="6" borderId="18" xfId="0" applyFont="1" applyFill="1" applyBorder="1" applyAlignment="1">
      <alignment horizontal="left" vertical="center" wrapText="1" readingOrder="1"/>
    </xf>
    <xf numFmtId="0" fontId="3" fillId="6" borderId="23" xfId="0" applyFont="1" applyFill="1" applyBorder="1" applyAlignment="1">
      <alignment horizontal="left" vertical="center" wrapText="1" readingOrder="1"/>
    </xf>
    <xf numFmtId="0" fontId="6" fillId="2" borderId="0" xfId="0" applyFont="1" applyFill="1" applyAlignment="1">
      <alignment horizontal="center" vertical="center" wrapText="1" readingOrder="1"/>
    </xf>
    <xf numFmtId="0" fontId="4" fillId="10" borderId="0" xfId="0" applyFont="1" applyFill="1" applyAlignment="1">
      <alignment horizontal="left" vertical="center" wrapText="1" readingOrder="1"/>
    </xf>
    <xf numFmtId="0" fontId="4" fillId="10" borderId="0" xfId="0" applyFont="1" applyFill="1" applyAlignment="1">
      <alignment horizontal="center" vertical="center" wrapText="1" readingOrder="1"/>
    </xf>
    <xf numFmtId="0" fontId="6" fillId="11" borderId="0" xfId="0" applyFont="1" applyFill="1" applyAlignment="1">
      <alignment horizontal="center" vertical="center" wrapText="1" readingOrder="1"/>
    </xf>
    <xf numFmtId="0" fontId="4" fillId="13" borderId="0" xfId="0" applyFont="1" applyFill="1" applyAlignment="1">
      <alignment horizontal="left" vertical="center" wrapText="1" readingOrder="1"/>
    </xf>
    <xf numFmtId="0" fontId="4" fillId="13" borderId="0" xfId="0" applyFont="1" applyFill="1" applyAlignment="1">
      <alignment horizontal="center" vertical="center" wrapText="1" readingOrder="1"/>
    </xf>
    <xf numFmtId="0" fontId="4" fillId="13" borderId="13" xfId="0" applyFont="1" applyFill="1" applyBorder="1" applyAlignment="1">
      <alignment vertical="center" wrapText="1" readingOrder="1"/>
    </xf>
    <xf numFmtId="2" fontId="4" fillId="13" borderId="0" xfId="0" applyNumberFormat="1" applyFont="1" applyFill="1" applyAlignment="1">
      <alignment horizontal="center" vertical="center" wrapText="1" readingOrder="1"/>
    </xf>
    <xf numFmtId="0" fontId="5" fillId="0" borderId="0" xfId="0" applyFont="1" applyAlignment="1">
      <alignment horizontal="center" vertical="center"/>
    </xf>
    <xf numFmtId="0" fontId="6" fillId="14" borderId="13" xfId="0" applyFont="1" applyFill="1" applyBorder="1" applyAlignment="1">
      <alignment vertical="center" wrapText="1" readingOrder="1"/>
    </xf>
    <xf numFmtId="0" fontId="4" fillId="15" borderId="14" xfId="0" applyFont="1" applyFill="1" applyBorder="1" applyAlignment="1">
      <alignment vertical="center" wrapText="1" readingOrder="1"/>
    </xf>
    <xf numFmtId="0" fontId="3" fillId="15" borderId="14" xfId="0" applyFont="1" applyFill="1" applyBorder="1" applyAlignment="1">
      <alignment vertical="center" wrapText="1" readingOrder="1"/>
    </xf>
    <xf numFmtId="0" fontId="8" fillId="15" borderId="11" xfId="0" applyFont="1" applyFill="1" applyBorder="1" applyAlignment="1">
      <alignment horizontal="center" vertical="center" wrapText="1"/>
    </xf>
    <xf numFmtId="0" fontId="4" fillId="18" borderId="36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left" vertical="center" wrapText="1" readingOrder="1"/>
    </xf>
    <xf numFmtId="164" fontId="4" fillId="10" borderId="0" xfId="0" applyNumberFormat="1" applyFont="1" applyFill="1" applyAlignment="1">
      <alignment horizontal="center" vertical="center" wrapText="1" readingOrder="1"/>
    </xf>
    <xf numFmtId="0" fontId="5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7" fillId="19" borderId="0" xfId="0" applyFont="1" applyFill="1" applyAlignment="1">
      <alignment horizontal="centerContinuous"/>
    </xf>
    <xf numFmtId="0" fontId="7" fillId="0" borderId="0" xfId="0" applyFont="1"/>
    <xf numFmtId="164" fontId="4" fillId="13" borderId="13" xfId="0" applyNumberFormat="1" applyFont="1" applyFill="1" applyBorder="1" applyAlignment="1">
      <alignment horizontal="center" vertical="center" wrapText="1" readingOrder="1"/>
    </xf>
    <xf numFmtId="0" fontId="3" fillId="0" borderId="37" xfId="0" applyFont="1" applyBorder="1" applyAlignment="1">
      <alignment vertical="center" wrapText="1" readingOrder="1"/>
    </xf>
    <xf numFmtId="0" fontId="4" fillId="18" borderId="37" xfId="0" applyFont="1" applyFill="1" applyBorder="1" applyAlignment="1">
      <alignment horizontal="center" vertical="center" wrapText="1" readingOrder="1"/>
    </xf>
    <xf numFmtId="0" fontId="17" fillId="20" borderId="2" xfId="0" applyFont="1" applyFill="1" applyBorder="1" applyAlignment="1">
      <alignment wrapText="1" readingOrder="1"/>
    </xf>
    <xf numFmtId="0" fontId="17" fillId="0" borderId="41" xfId="0" applyFont="1" applyBorder="1" applyAlignment="1">
      <alignment wrapText="1" readingOrder="1"/>
    </xf>
    <xf numFmtId="0" fontId="17" fillId="20" borderId="41" xfId="0" applyFont="1" applyFill="1" applyBorder="1" applyAlignment="1">
      <alignment wrapText="1" readingOrder="1"/>
    </xf>
    <xf numFmtId="0" fontId="14" fillId="0" borderId="0" xfId="0" applyFont="1" applyAlignment="1">
      <alignment wrapText="1"/>
    </xf>
    <xf numFmtId="0" fontId="18" fillId="20" borderId="63" xfId="0" applyFont="1" applyFill="1" applyBorder="1" applyAlignment="1">
      <alignment horizontal="right" wrapText="1"/>
    </xf>
    <xf numFmtId="0" fontId="17" fillId="20" borderId="63" xfId="0" applyFont="1" applyFill="1" applyBorder="1" applyAlignment="1">
      <alignment horizontal="right" wrapText="1"/>
    </xf>
    <xf numFmtId="0" fontId="20" fillId="0" borderId="0" xfId="0" applyFont="1" applyAlignment="1">
      <alignment wrapText="1"/>
    </xf>
    <xf numFmtId="1" fontId="4" fillId="3" borderId="8" xfId="0" applyNumberFormat="1" applyFont="1" applyFill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3" fontId="19" fillId="0" borderId="39" xfId="0" applyNumberFormat="1" applyFont="1" applyBorder="1" applyAlignment="1">
      <alignment horizontal="right"/>
    </xf>
    <xf numFmtId="0" fontId="22" fillId="18" borderId="36" xfId="0" applyFont="1" applyFill="1" applyBorder="1" applyAlignment="1">
      <alignment horizontal="left" vertical="top" wrapText="1" readingOrder="1"/>
    </xf>
    <xf numFmtId="0" fontId="18" fillId="21" borderId="11" xfId="0" applyFont="1" applyFill="1" applyBorder="1" applyAlignment="1">
      <alignment wrapText="1" readingOrder="1"/>
    </xf>
    <xf numFmtId="0" fontId="18" fillId="21" borderId="64" xfId="0" applyFont="1" applyFill="1" applyBorder="1" applyAlignment="1">
      <alignment wrapText="1" readingOrder="1"/>
    </xf>
    <xf numFmtId="0" fontId="23" fillId="2" borderId="10" xfId="0" applyFont="1" applyFill="1" applyBorder="1" applyAlignment="1">
      <alignment horizontal="center" vertical="center" wrapText="1" readingOrder="1"/>
    </xf>
    <xf numFmtId="0" fontId="26" fillId="0" borderId="0" xfId="0" applyFont="1"/>
    <xf numFmtId="0" fontId="27" fillId="0" borderId="66" xfId="1" applyFont="1" applyFill="1" applyBorder="1" applyAlignment="1">
      <alignment vertical="center" wrapText="1"/>
    </xf>
    <xf numFmtId="0" fontId="27" fillId="0" borderId="67" xfId="1" applyFont="1" applyFill="1" applyBorder="1" applyAlignment="1">
      <alignment horizontal="center" vertical="center" wrapText="1"/>
    </xf>
    <xf numFmtId="0" fontId="27" fillId="0" borderId="68" xfId="1" applyFont="1" applyFill="1" applyBorder="1" applyAlignment="1">
      <alignment horizontal="center" vertical="center" wrapText="1"/>
    </xf>
    <xf numFmtId="0" fontId="27" fillId="23" borderId="69" xfId="1" applyFont="1" applyFill="1" applyBorder="1" applyAlignment="1">
      <alignment horizontal="left" vertical="center"/>
    </xf>
    <xf numFmtId="0" fontId="27" fillId="0" borderId="70" xfId="1" applyFont="1" applyFill="1" applyBorder="1" applyAlignment="1">
      <alignment horizontal="center" vertical="center"/>
    </xf>
    <xf numFmtId="0" fontId="27" fillId="0" borderId="71" xfId="1" applyFont="1" applyFill="1" applyBorder="1" applyAlignment="1">
      <alignment horizontal="center" vertical="center"/>
    </xf>
    <xf numFmtId="0" fontId="27" fillId="23" borderId="72" xfId="1" applyFont="1" applyFill="1" applyBorder="1" applyAlignment="1">
      <alignment horizontal="left" vertical="center"/>
    </xf>
    <xf numFmtId="0" fontId="27" fillId="0" borderId="73" xfId="1" applyFont="1" applyFill="1" applyBorder="1" applyAlignment="1">
      <alignment horizontal="center" vertical="center"/>
    </xf>
    <xf numFmtId="0" fontId="27" fillId="0" borderId="74" xfId="1" applyFont="1" applyFill="1" applyBorder="1" applyAlignment="1">
      <alignment horizontal="center" vertical="center"/>
    </xf>
    <xf numFmtId="49" fontId="28" fillId="0" borderId="43" xfId="0" applyNumberFormat="1" applyFont="1" applyBorder="1" applyAlignment="1">
      <alignment horizontal="center" vertical="center" wrapText="1"/>
    </xf>
    <xf numFmtId="49" fontId="28" fillId="19" borderId="44" xfId="0" applyNumberFormat="1" applyFont="1" applyFill="1" applyBorder="1" applyAlignment="1">
      <alignment horizontal="center" vertical="center" wrapText="1"/>
    </xf>
    <xf numFmtId="49" fontId="28" fillId="19" borderId="39" xfId="0" applyNumberFormat="1" applyFont="1" applyFill="1" applyBorder="1" applyAlignment="1">
      <alignment horizontal="center" vertical="center" wrapText="1"/>
    </xf>
    <xf numFmtId="49" fontId="28" fillId="19" borderId="39" xfId="0" applyNumberFormat="1" applyFont="1" applyFill="1" applyBorder="1" applyAlignment="1">
      <alignment vertical="center"/>
    </xf>
    <xf numFmtId="49" fontId="28" fillId="19" borderId="39" xfId="0" applyNumberFormat="1" applyFont="1" applyFill="1" applyBorder="1" applyAlignment="1">
      <alignment horizontal="left" vertical="center"/>
    </xf>
    <xf numFmtId="0" fontId="29" fillId="19" borderId="60" xfId="0" applyFont="1" applyFill="1" applyBorder="1" applyAlignment="1">
      <alignment horizontal="center" vertical="center"/>
    </xf>
    <xf numFmtId="49" fontId="28" fillId="0" borderId="45" xfId="0" applyNumberFormat="1" applyFont="1" applyBorder="1" applyAlignment="1">
      <alignment horizontal="center" vertical="center" wrapText="1"/>
    </xf>
    <xf numFmtId="49" fontId="28" fillId="0" borderId="46" xfId="0" applyNumberFormat="1" applyFont="1" applyBorder="1" applyAlignment="1">
      <alignment horizontal="center" vertical="center" wrapText="1"/>
    </xf>
    <xf numFmtId="49" fontId="28" fillId="0" borderId="40" xfId="0" applyNumberFormat="1" applyFont="1" applyBorder="1" applyAlignment="1">
      <alignment horizontal="center" vertical="center" wrapText="1"/>
    </xf>
    <xf numFmtId="49" fontId="29" fillId="0" borderId="39" xfId="0" applyNumberFormat="1" applyFont="1" applyBorder="1" applyAlignment="1">
      <alignment vertical="center"/>
    </xf>
    <xf numFmtId="49" fontId="29" fillId="0" borderId="39" xfId="0" applyNumberFormat="1" applyFont="1" applyBorder="1" applyAlignment="1">
      <alignment horizontal="left" vertical="center"/>
    </xf>
    <xf numFmtId="0" fontId="29" fillId="0" borderId="60" xfId="0" applyFont="1" applyBorder="1" applyAlignment="1">
      <alignment horizontal="center" vertical="center"/>
    </xf>
    <xf numFmtId="49" fontId="28" fillId="0" borderId="40" xfId="0" applyNumberFormat="1" applyFont="1" applyBorder="1" applyAlignment="1">
      <alignment horizontal="center" vertical="center"/>
    </xf>
    <xf numFmtId="49" fontId="29" fillId="0" borderId="40" xfId="0" applyNumberFormat="1" applyFont="1" applyBorder="1" applyAlignment="1">
      <alignment vertical="center"/>
    </xf>
    <xf numFmtId="49" fontId="29" fillId="0" borderId="40" xfId="0" applyNumberFormat="1" applyFont="1" applyBorder="1" applyAlignment="1">
      <alignment horizontal="left" vertical="center"/>
    </xf>
    <xf numFmtId="0" fontId="29" fillId="0" borderId="61" xfId="0" applyFont="1" applyBorder="1" applyAlignment="1">
      <alignment horizontal="center" vertical="center"/>
    </xf>
    <xf numFmtId="49" fontId="28" fillId="0" borderId="39" xfId="0" applyNumberFormat="1" applyFont="1" applyBorder="1" applyAlignment="1">
      <alignment horizontal="center" vertical="center"/>
    </xf>
    <xf numFmtId="49" fontId="28" fillId="0" borderId="48" xfId="0" applyNumberFormat="1" applyFont="1" applyBorder="1" applyAlignment="1">
      <alignment horizontal="center" vertical="center" wrapText="1"/>
    </xf>
    <xf numFmtId="49" fontId="28" fillId="0" borderId="51" xfId="0" applyNumberFormat="1" applyFont="1" applyBorder="1" applyAlignment="1">
      <alignment horizontal="center" vertical="center" wrapText="1"/>
    </xf>
    <xf numFmtId="49" fontId="28" fillId="0" borderId="52" xfId="0" applyNumberFormat="1" applyFont="1" applyBorder="1" applyAlignment="1">
      <alignment horizontal="center" vertical="center"/>
    </xf>
    <xf numFmtId="49" fontId="29" fillId="0" borderId="52" xfId="0" applyNumberFormat="1" applyFont="1" applyBorder="1" applyAlignment="1">
      <alignment vertical="center"/>
    </xf>
    <xf numFmtId="49" fontId="29" fillId="0" borderId="52" xfId="0" applyNumberFormat="1" applyFont="1" applyBorder="1" applyAlignment="1">
      <alignment horizontal="left" vertical="center"/>
    </xf>
    <xf numFmtId="0" fontId="28" fillId="0" borderId="53" xfId="0" applyFont="1" applyBorder="1" applyAlignment="1">
      <alignment horizontal="center" vertical="center"/>
    </xf>
    <xf numFmtId="49" fontId="28" fillId="19" borderId="49" xfId="0" applyNumberFormat="1" applyFont="1" applyFill="1" applyBorder="1" applyAlignment="1">
      <alignment horizontal="center" vertical="center" wrapText="1"/>
    </xf>
    <xf numFmtId="49" fontId="28" fillId="19" borderId="50" xfId="0" applyNumberFormat="1" applyFont="1" applyFill="1" applyBorder="1" applyAlignment="1">
      <alignment horizontal="center" vertical="center" wrapText="1"/>
    </xf>
    <xf numFmtId="49" fontId="28" fillId="19" borderId="50" xfId="0" applyNumberFormat="1" applyFont="1" applyFill="1" applyBorder="1" applyAlignment="1">
      <alignment vertical="center"/>
    </xf>
    <xf numFmtId="49" fontId="28" fillId="19" borderId="50" xfId="0" applyNumberFormat="1" applyFont="1" applyFill="1" applyBorder="1" applyAlignment="1">
      <alignment horizontal="left" vertical="center"/>
    </xf>
    <xf numFmtId="0" fontId="29" fillId="19" borderId="62" xfId="0" applyFont="1" applyFill="1" applyBorder="1" applyAlignment="1">
      <alignment horizontal="center" vertical="center"/>
    </xf>
    <xf numFmtId="49" fontId="28" fillId="0" borderId="46" xfId="0" applyNumberFormat="1" applyFont="1" applyBorder="1" applyAlignment="1">
      <alignment horizontal="center" vertical="center"/>
    </xf>
    <xf numFmtId="0" fontId="30" fillId="0" borderId="60" xfId="0" applyFont="1" applyBorder="1" applyAlignment="1">
      <alignment horizontal="center" vertical="center"/>
    </xf>
    <xf numFmtId="49" fontId="28" fillId="0" borderId="51" xfId="0" applyNumberFormat="1" applyFont="1" applyBorder="1" applyAlignment="1">
      <alignment horizontal="center" vertical="center"/>
    </xf>
    <xf numFmtId="49" fontId="28" fillId="0" borderId="47" xfId="0" applyNumberFormat="1" applyFont="1" applyBorder="1" applyAlignment="1">
      <alignment vertical="center" wrapText="1"/>
    </xf>
    <xf numFmtId="0" fontId="31" fillId="0" borderId="39" xfId="0" applyFont="1" applyBorder="1"/>
    <xf numFmtId="0" fontId="31" fillId="0" borderId="50" xfId="0" applyFont="1" applyBorder="1"/>
    <xf numFmtId="49" fontId="28" fillId="0" borderId="54" xfId="0" applyNumberFormat="1" applyFont="1" applyBorder="1" applyAlignment="1">
      <alignment horizontal="center" vertical="center" wrapText="1"/>
    </xf>
    <xf numFmtId="49" fontId="28" fillId="0" borderId="55" xfId="0" applyNumberFormat="1" applyFont="1" applyBorder="1" applyAlignment="1">
      <alignment horizontal="center" vertical="center"/>
    </xf>
    <xf numFmtId="49" fontId="29" fillId="0" borderId="55" xfId="0" applyNumberFormat="1" applyFont="1" applyBorder="1" applyAlignment="1">
      <alignment vertical="center"/>
    </xf>
    <xf numFmtId="49" fontId="29" fillId="0" borderId="55" xfId="0" applyNumberFormat="1" applyFont="1" applyBorder="1" applyAlignment="1">
      <alignment horizontal="left" vertical="center"/>
    </xf>
    <xf numFmtId="0" fontId="28" fillId="0" borderId="56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 wrapText="1"/>
    </xf>
    <xf numFmtId="0" fontId="28" fillId="0" borderId="0" xfId="0" applyFont="1"/>
    <xf numFmtId="0" fontId="32" fillId="0" borderId="27" xfId="0" applyFont="1" applyBorder="1" applyAlignment="1">
      <alignment horizontal="center" vertical="center" wrapText="1"/>
    </xf>
    <xf numFmtId="0" fontId="33" fillId="0" borderId="28" xfId="0" applyFont="1" applyBorder="1" applyAlignment="1">
      <alignment horizontal="center" vertical="center" wrapText="1" readingOrder="1"/>
    </xf>
    <xf numFmtId="0" fontId="32" fillId="0" borderId="26" xfId="0" applyFont="1" applyBorder="1" applyAlignment="1">
      <alignment horizontal="center" vertical="center" wrapText="1"/>
    </xf>
    <xf numFmtId="0" fontId="34" fillId="0" borderId="29" xfId="0" applyFont="1" applyBorder="1" applyAlignment="1">
      <alignment horizontal="center" vertical="center" wrapText="1" readingOrder="1"/>
    </xf>
    <xf numFmtId="0" fontId="32" fillId="0" borderId="75" xfId="0" applyFont="1" applyBorder="1" applyAlignment="1">
      <alignment horizontal="center" vertical="center" wrapText="1"/>
    </xf>
    <xf numFmtId="0" fontId="34" fillId="0" borderId="76" xfId="0" applyFont="1" applyBorder="1" applyAlignment="1">
      <alignment horizontal="center" vertical="center" wrapText="1" readingOrder="1"/>
    </xf>
    <xf numFmtId="0" fontId="29" fillId="0" borderId="0" xfId="0" applyFont="1" applyAlignment="1">
      <alignment horizontal="center" vertical="center"/>
    </xf>
    <xf numFmtId="0" fontId="3" fillId="6" borderId="15" xfId="0" applyFont="1" applyFill="1" applyBorder="1" applyAlignment="1">
      <alignment horizontal="center" vertical="center" wrapText="1" readingOrder="1"/>
    </xf>
    <xf numFmtId="0" fontId="3" fillId="6" borderId="16" xfId="0" applyFont="1" applyFill="1" applyBorder="1" applyAlignment="1">
      <alignment horizontal="center" vertical="center" wrapText="1" readingOrder="1"/>
    </xf>
    <xf numFmtId="0" fontId="3" fillId="6" borderId="17" xfId="0" applyFont="1" applyFill="1" applyBorder="1" applyAlignment="1">
      <alignment horizontal="center" vertical="center" wrapText="1" readingOrder="1"/>
    </xf>
    <xf numFmtId="0" fontId="3" fillId="7" borderId="9" xfId="0" applyFont="1" applyFill="1" applyBorder="1" applyAlignment="1">
      <alignment horizontal="center" vertical="center" wrapText="1" readingOrder="1"/>
    </xf>
    <xf numFmtId="0" fontId="3" fillId="7" borderId="10" xfId="0" applyFont="1" applyFill="1" applyBorder="1" applyAlignment="1">
      <alignment horizontal="center" vertical="center" wrapText="1" readingOrder="1"/>
    </xf>
    <xf numFmtId="0" fontId="3" fillId="7" borderId="12" xfId="0" applyFont="1" applyFill="1" applyBorder="1" applyAlignment="1">
      <alignment horizontal="center" vertical="center" wrapText="1" readingOrder="1"/>
    </xf>
    <xf numFmtId="0" fontId="3" fillId="8" borderId="9" xfId="0" applyFont="1" applyFill="1" applyBorder="1" applyAlignment="1">
      <alignment horizontal="center" vertical="center" wrapText="1" readingOrder="1"/>
    </xf>
    <xf numFmtId="0" fontId="3" fillId="8" borderId="10" xfId="0" applyFont="1" applyFill="1" applyBorder="1" applyAlignment="1">
      <alignment horizontal="center" vertical="center" wrapText="1" readingOrder="1"/>
    </xf>
    <xf numFmtId="0" fontId="3" fillId="8" borderId="12" xfId="0" applyFont="1" applyFill="1" applyBorder="1" applyAlignment="1">
      <alignment horizontal="center" vertical="center" wrapText="1" readingOrder="1"/>
    </xf>
    <xf numFmtId="0" fontId="3" fillId="9" borderId="9" xfId="0" applyFont="1" applyFill="1" applyBorder="1" applyAlignment="1">
      <alignment horizontal="center" vertical="center" wrapText="1" readingOrder="1"/>
    </xf>
    <xf numFmtId="0" fontId="3" fillId="9" borderId="10" xfId="0" applyFont="1" applyFill="1" applyBorder="1" applyAlignment="1">
      <alignment horizontal="center" vertical="center" wrapText="1" readingOrder="1"/>
    </xf>
    <xf numFmtId="0" fontId="3" fillId="9" borderId="19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Salida" xfId="1" builtinId="21"/>
  </cellStyles>
  <dxfs count="13">
    <dxf>
      <font>
        <sz val="14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family val="2"/>
        <scheme val="maj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font>
        <sz val="14"/>
      </font>
      <fill>
        <patternFill patternType="none"/>
      </fill>
    </dxf>
    <dxf>
      <font>
        <sz val="14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"DCCI", "DCCII", "DCP" por "ESTADO"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GAFA!C151</c:f>
              <c:strCache>
                <c:ptCount val="1"/>
                <c:pt idx="0">
                  <c:v>DCCI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GAFA!$B$152:$B$154</c:f>
              <c:strCache>
                <c:ptCount val="3"/>
                <c:pt idx="0">
                  <c:v>Infundado</c:v>
                </c:pt>
                <c:pt idx="1">
                  <c:v>Fundado/F.P</c:v>
                </c:pt>
                <c:pt idx="2">
                  <c:v>Nulidad</c:v>
                </c:pt>
              </c:strCache>
            </c:strRef>
          </c:cat>
          <c:val>
            <c:numRef>
              <c:f>GAFA!$C$152:$C$154</c:f>
              <c:numCache>
                <c:formatCode>General</c:formatCode>
                <c:ptCount val="3"/>
                <c:pt idx="0">
                  <c:v>170</c:v>
                </c:pt>
                <c:pt idx="1">
                  <c:v>12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C729BBB7-223C-4309-B498-F4FFF78B8EE4}"/>
            </c:ext>
          </c:extLst>
        </c:ser>
        <c:ser>
          <c:idx val="1"/>
          <c:order val="1"/>
          <c:tx>
            <c:strRef>
              <c:f>GAFA!D151</c:f>
              <c:strCache>
                <c:ptCount val="1"/>
                <c:pt idx="0">
                  <c:v>DCCII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GAFA!$B$152:$B$154</c:f>
              <c:strCache>
                <c:ptCount val="3"/>
                <c:pt idx="0">
                  <c:v>Infundado</c:v>
                </c:pt>
                <c:pt idx="1">
                  <c:v>Fundado/F.P</c:v>
                </c:pt>
                <c:pt idx="2">
                  <c:v>Nulidad</c:v>
                </c:pt>
              </c:strCache>
            </c:strRef>
          </c:cat>
          <c:val>
            <c:numRef>
              <c:f>GAFA!$D$152:$D$154</c:f>
              <c:numCache>
                <c:formatCode>General</c:formatCode>
                <c:ptCount val="3"/>
                <c:pt idx="0">
                  <c:v>103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E7CCBCB7-4352-401B-97FF-2DF0AD9B90DD}"/>
            </c:ext>
          </c:extLst>
        </c:ser>
        <c:ser>
          <c:idx val="2"/>
          <c:order val="2"/>
          <c:tx>
            <c:strRef>
              <c:f>GAFA!E151</c:f>
              <c:strCache>
                <c:ptCount val="1"/>
                <c:pt idx="0">
                  <c:v>DCP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GAFA!$B$152:$B$154</c:f>
              <c:strCache>
                <c:ptCount val="3"/>
                <c:pt idx="0">
                  <c:v>Infundado</c:v>
                </c:pt>
                <c:pt idx="1">
                  <c:v>Fundado/F.P</c:v>
                </c:pt>
                <c:pt idx="2">
                  <c:v>Nulidad</c:v>
                </c:pt>
              </c:strCache>
            </c:strRef>
          </c:cat>
          <c:val>
            <c:numRef>
              <c:f>GAFA!$E$152:$E$154</c:f>
              <c:numCache>
                <c:formatCode>General</c:formatCode>
                <c:ptCount val="3"/>
                <c:pt idx="0">
                  <c:v>29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33B346FC-F1CA-4C7F-B962-983B79F64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0"/>
        <c:axId val="1634546696"/>
        <c:axId val="1634548744"/>
      </c:barChart>
      <c:catAx>
        <c:axId val="1634546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548744"/>
        <c:crosses val="autoZero"/>
        <c:auto val="1"/>
        <c:lblAlgn val="ctr"/>
        <c:lblOffset val="100"/>
        <c:noMultiLvlLbl val="0"/>
      </c:catAx>
      <c:valAx>
        <c:axId val="1634548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546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866775</xdr:colOff>
      <xdr:row>14</xdr:row>
      <xdr:rowOff>171450</xdr:rowOff>
    </xdr:from>
    <xdr:to>
      <xdr:col>5</xdr:col>
      <xdr:colOff>1685925</xdr:colOff>
      <xdr:row>22</xdr:row>
      <xdr:rowOff>476250</xdr:rowOff>
    </xdr:to>
    <xdr:graphicFrame macro="">
      <xdr:nvGraphicFramePr>
        <xdr:cNvPr id="2" name="Gráfico 1" descr="Tipo de gráfico: Columnas agrupadas. &quot;DCCI&quot;, &quot;DCCII&quot;, &quot;DCP&quot; por &quot;ESTADO&quot;&#10;&#10;Descripción generada automáticamente">
          <a:extLst>
            <a:ext uri="{FF2B5EF4-FFF2-40B4-BE49-F238E27FC236}">
              <a16:creationId xmlns:a16="http://schemas.microsoft.com/office/drawing/2014/main" id="{AE5F38EB-6316-5269-537B-6A63DE194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F610EF-6817-4B2E-B656-E8D570C0908B}" name="Tabla1" displayName="Tabla1" ref="B151:E155" totalsRowShown="0" headerRowDxfId="12" dataDxfId="11" headerRowBorderDxfId="10" totalsRowBorderDxfId="9">
  <autoFilter ref="B151:E155" xr:uid="{C0F610EF-6817-4B2E-B656-E8D570C0908B}"/>
  <tableColumns count="4">
    <tableColumn id="1" xr3:uid="{BB7A4C98-26BC-45B1-AA9E-174EB71BBBE8}" name="ESTADO" dataDxfId="8"/>
    <tableColumn id="2" xr3:uid="{9831EEBE-394E-4024-8502-36803BEFC3A9}" name="DCCI" dataDxfId="7"/>
    <tableColumn id="3" xr3:uid="{F9C66D03-3D51-49C0-BA34-E9515E02A369}" name="DCCII" dataDxfId="6"/>
    <tableColumn id="4" xr3:uid="{C65AA2B4-6378-4E31-B4C1-5E60BAEAFB5F}" name="DCP" dataDxfId="5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29EFC3-58A2-4431-8B0F-60680F58676D}" name="Tabla2" displayName="Tabla2" ref="B28:C31" totalsRowShown="0" headerRowDxfId="4" dataDxfId="3" tableBorderDxfId="2">
  <autoFilter ref="B28:C31" xr:uid="{4A29EFC3-58A2-4431-8B0F-60680F58676D}"/>
  <tableColumns count="2">
    <tableColumn id="1" xr3:uid="{3999BB60-4785-4A8A-8BB8-25B1BCAE28BC}" name="PROGRAMACIÓN-OCTUBRE 2024" dataDxfId="1"/>
    <tableColumn id="2" xr3:uid="{F732DAB3-91EE-4831-A922-809480FA0AA3}" name="Exp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N160"/>
  <sheetViews>
    <sheetView tabSelected="1" topLeftCell="A144" zoomScale="85" zoomScaleNormal="85" workbookViewId="0">
      <pane xSplit="2" topLeftCell="C1" activePane="topRight" state="frozen"/>
      <selection pane="topRight" activeCell="F15" sqref="F15"/>
    </sheetView>
  </sheetViews>
  <sheetFormatPr defaultColWidth="10.85546875" defaultRowHeight="14.45"/>
  <cols>
    <col min="1" max="1" width="10.85546875" style="1"/>
    <col min="2" max="2" width="40.140625" style="20" customWidth="1"/>
    <col min="3" max="3" width="15" style="20" customWidth="1"/>
    <col min="4" max="4" width="11.85546875" style="20" customWidth="1"/>
    <col min="5" max="5" width="28" style="20" customWidth="1"/>
    <col min="6" max="6" width="18.42578125" style="20" customWidth="1"/>
    <col min="7" max="7" width="12.140625" style="20" customWidth="1"/>
    <col min="8" max="8" width="17.85546875" style="20" customWidth="1"/>
    <col min="9" max="9" width="17.7109375" style="20" customWidth="1"/>
    <col min="10" max="10" width="24" style="20" customWidth="1"/>
    <col min="11" max="11" width="17.140625" style="20" customWidth="1"/>
    <col min="12" max="13" width="10.85546875" style="20"/>
    <col min="14" max="14" width="38.5703125" style="20" customWidth="1"/>
    <col min="15" max="17" width="10.85546875" style="20"/>
    <col min="18" max="18" width="33.28515625" style="20" customWidth="1"/>
    <col min="19" max="16384" width="10.85546875" style="20"/>
  </cols>
  <sheetData>
    <row r="2" spans="1:9">
      <c r="B2" s="118" t="s">
        <v>0</v>
      </c>
      <c r="C2" s="118"/>
      <c r="D2" s="118"/>
      <c r="E2" s="118"/>
      <c r="F2" s="119"/>
      <c r="G2" s="119"/>
      <c r="H2" s="119"/>
      <c r="I2" s="119"/>
    </row>
    <row r="4" spans="1:9" ht="15.6">
      <c r="B4" s="117" t="s">
        <v>1</v>
      </c>
      <c r="C4" s="117"/>
      <c r="D4" s="116"/>
      <c r="E4" s="116"/>
    </row>
    <row r="6" spans="1:9" ht="15">
      <c r="A6" s="1">
        <v>1</v>
      </c>
      <c r="B6" s="84"/>
      <c r="C6" s="78" t="s">
        <v>2</v>
      </c>
      <c r="D6" s="78" t="s">
        <v>3</v>
      </c>
      <c r="E6" s="78" t="s">
        <v>4</v>
      </c>
    </row>
    <row r="7" spans="1:9" ht="14.25">
      <c r="B7" s="22" t="s">
        <v>5</v>
      </c>
      <c r="C7" s="23">
        <v>378</v>
      </c>
      <c r="D7" s="23">
        <v>224</v>
      </c>
      <c r="E7" s="123">
        <v>23</v>
      </c>
      <c r="F7" s="20" t="s">
        <v>6</v>
      </c>
    </row>
    <row r="8" spans="1:9" ht="14.25">
      <c r="B8" s="24" t="s">
        <v>7</v>
      </c>
      <c r="C8" s="25">
        <v>173</v>
      </c>
      <c r="D8" s="25">
        <v>168</v>
      </c>
      <c r="E8" s="124">
        <v>10</v>
      </c>
    </row>
    <row r="9" spans="1:9" ht="14.25">
      <c r="B9" s="26" t="s">
        <v>8</v>
      </c>
      <c r="C9" s="27">
        <f>SUM(C7:C8)</f>
        <v>551</v>
      </c>
      <c r="D9" s="27">
        <f>SUM(D7:D8)</f>
        <v>392</v>
      </c>
      <c r="E9" s="125">
        <v>33</v>
      </c>
    </row>
    <row r="10" spans="1:9" ht="15">
      <c r="B10" s="20" t="s">
        <v>9</v>
      </c>
    </row>
    <row r="11" spans="1:9" ht="15.75">
      <c r="B11" s="117" t="s">
        <v>10</v>
      </c>
      <c r="C11" s="117"/>
      <c r="D11" s="116"/>
      <c r="E11" s="116"/>
    </row>
    <row r="12" spans="1:9">
      <c r="B12" s="21"/>
      <c r="C12" s="21"/>
    </row>
    <row r="13" spans="1:9" ht="47.25" customHeight="1">
      <c r="A13" s="1">
        <v>2</v>
      </c>
      <c r="B13" s="76">
        <v>45536</v>
      </c>
      <c r="C13" s="96" t="s">
        <v>11</v>
      </c>
      <c r="D13" s="96" t="s">
        <v>12</v>
      </c>
      <c r="E13" s="96" t="s">
        <v>13</v>
      </c>
    </row>
    <row r="14" spans="1:9" ht="14.25">
      <c r="B14" s="28" t="s">
        <v>14</v>
      </c>
      <c r="C14" s="29">
        <v>195</v>
      </c>
      <c r="D14" s="130">
        <v>110</v>
      </c>
      <c r="E14" s="127">
        <v>30</v>
      </c>
      <c r="F14" s="20" t="s">
        <v>6</v>
      </c>
    </row>
    <row r="15" spans="1:9" ht="15">
      <c r="B15" s="30" t="s">
        <v>15</v>
      </c>
      <c r="C15" s="31" t="s">
        <v>16</v>
      </c>
      <c r="D15" s="131" t="s">
        <v>17</v>
      </c>
      <c r="E15" s="132">
        <v>6143</v>
      </c>
    </row>
    <row r="16" spans="1:9" ht="15">
      <c r="B16" s="28" t="s">
        <v>18</v>
      </c>
      <c r="C16" s="32" t="s">
        <v>19</v>
      </c>
      <c r="D16" s="32" t="s">
        <v>20</v>
      </c>
      <c r="E16" s="128" t="s">
        <v>21</v>
      </c>
    </row>
    <row r="17" spans="1:14" ht="72.75">
      <c r="B17" s="126" t="s">
        <v>22</v>
      </c>
      <c r="I17" s="86"/>
    </row>
    <row r="18" spans="1:14" ht="15">
      <c r="B18" s="85"/>
      <c r="I18" s="86"/>
    </row>
    <row r="19" spans="1:14" ht="15.6">
      <c r="B19" s="2" t="s">
        <v>23</v>
      </c>
      <c r="C19" s="73"/>
    </row>
    <row r="20" spans="1:14" ht="15" customHeight="1">
      <c r="A20" s="1">
        <v>3</v>
      </c>
      <c r="B20" s="197" t="s">
        <v>24</v>
      </c>
      <c r="C20" s="198"/>
      <c r="D20" s="198"/>
      <c r="E20" s="198"/>
      <c r="F20" s="198"/>
      <c r="G20" s="198"/>
      <c r="H20" s="198"/>
      <c r="I20" s="198"/>
      <c r="J20" s="198"/>
      <c r="K20" s="199"/>
    </row>
    <row r="21" spans="1:14">
      <c r="B21" s="3" t="s">
        <v>25</v>
      </c>
      <c r="C21" s="200" t="s">
        <v>2</v>
      </c>
      <c r="D21" s="201"/>
      <c r="E21" s="202"/>
      <c r="F21" s="203" t="s">
        <v>3</v>
      </c>
      <c r="G21" s="204"/>
      <c r="H21" s="205"/>
      <c r="I21" s="206" t="s">
        <v>4</v>
      </c>
      <c r="J21" s="207"/>
      <c r="K21" s="208"/>
    </row>
    <row r="22" spans="1:14" ht="30" customHeight="1">
      <c r="B22" s="3" t="s">
        <v>26</v>
      </c>
      <c r="C22" s="4" t="s">
        <v>5</v>
      </c>
      <c r="D22" s="4" t="s">
        <v>27</v>
      </c>
      <c r="E22" s="4" t="s">
        <v>7</v>
      </c>
      <c r="F22" s="5" t="s">
        <v>5</v>
      </c>
      <c r="G22" s="5" t="s">
        <v>28</v>
      </c>
      <c r="H22" s="5" t="s">
        <v>7</v>
      </c>
      <c r="I22" s="6" t="s">
        <v>5</v>
      </c>
      <c r="J22" s="6" t="s">
        <v>29</v>
      </c>
      <c r="K22" s="7" t="s">
        <v>30</v>
      </c>
    </row>
    <row r="23" spans="1:14" ht="88.5">
      <c r="B23" s="97" t="s">
        <v>31</v>
      </c>
      <c r="C23" s="92"/>
      <c r="D23" s="92"/>
      <c r="E23" s="92"/>
      <c r="F23" s="93"/>
      <c r="G23" s="93"/>
      <c r="H23" s="93"/>
      <c r="I23" s="94"/>
      <c r="J23" s="94" t="s">
        <v>32</v>
      </c>
      <c r="K23" s="95"/>
    </row>
    <row r="24" spans="1:14" ht="15.75">
      <c r="B24" s="98" t="s">
        <v>33</v>
      </c>
      <c r="C24" s="8"/>
      <c r="D24" s="8"/>
      <c r="E24" s="8"/>
      <c r="F24" s="9"/>
      <c r="G24" s="9"/>
      <c r="H24" s="9"/>
      <c r="I24" s="10"/>
      <c r="J24" s="10" t="s">
        <v>34</v>
      </c>
      <c r="K24" s="11"/>
      <c r="M24" s="2"/>
      <c r="N24" s="73"/>
    </row>
    <row r="25" spans="1:14" ht="30">
      <c r="B25" s="99" t="s">
        <v>35</v>
      </c>
      <c r="C25" s="12"/>
      <c r="D25" s="12"/>
      <c r="E25" s="12"/>
      <c r="F25" s="13"/>
      <c r="G25" s="13"/>
      <c r="H25" s="13"/>
      <c r="I25" s="14"/>
      <c r="J25" s="14"/>
      <c r="K25" s="15"/>
    </row>
    <row r="28" spans="1:14" ht="18.75">
      <c r="B28" s="189" t="s">
        <v>36</v>
      </c>
      <c r="C28" s="196" t="s">
        <v>37</v>
      </c>
    </row>
    <row r="29" spans="1:14" ht="20.25">
      <c r="A29" s="1">
        <v>4</v>
      </c>
      <c r="B29" s="190" t="s">
        <v>2</v>
      </c>
      <c r="C29" s="191">
        <v>240</v>
      </c>
    </row>
    <row r="30" spans="1:14" ht="20.25">
      <c r="B30" s="192" t="s">
        <v>3</v>
      </c>
      <c r="C30" s="193">
        <v>104</v>
      </c>
    </row>
    <row r="31" spans="1:14" ht="20.25">
      <c r="B31" s="194" t="s">
        <v>4</v>
      </c>
      <c r="C31" s="195">
        <v>21</v>
      </c>
    </row>
    <row r="32" spans="1:14" ht="15"/>
    <row r="34" spans="1:9" ht="15.6">
      <c r="B34" s="2" t="s">
        <v>38</v>
      </c>
    </row>
    <row r="35" spans="1:9" ht="26.1">
      <c r="A35" s="1">
        <v>5</v>
      </c>
      <c r="B35" s="16" t="s">
        <v>25</v>
      </c>
      <c r="C35" s="16" t="s">
        <v>39</v>
      </c>
      <c r="D35" s="16" t="s">
        <v>40</v>
      </c>
      <c r="E35" s="16" t="s">
        <v>41</v>
      </c>
      <c r="F35" s="16" t="s">
        <v>42</v>
      </c>
    </row>
    <row r="36" spans="1:9" ht="15">
      <c r="B36" s="16" t="s">
        <v>2</v>
      </c>
      <c r="C36" s="17" t="s">
        <v>43</v>
      </c>
      <c r="D36" s="17"/>
      <c r="E36" s="17"/>
      <c r="F36" s="17"/>
    </row>
    <row r="37" spans="1:9">
      <c r="B37" s="16" t="s">
        <v>3</v>
      </c>
      <c r="C37" s="18"/>
      <c r="D37" s="18"/>
      <c r="E37" s="18"/>
      <c r="F37" s="18"/>
    </row>
    <row r="38" spans="1:9" ht="14.25">
      <c r="B38" s="16" t="s">
        <v>4</v>
      </c>
      <c r="C38" s="19" t="s">
        <v>44</v>
      </c>
      <c r="D38" s="19">
        <v>0</v>
      </c>
      <c r="E38" s="19">
        <v>0</v>
      </c>
      <c r="F38" s="19">
        <v>0</v>
      </c>
    </row>
    <row r="39" spans="1:9" ht="44.25">
      <c r="B39" s="129" t="s">
        <v>45</v>
      </c>
    </row>
    <row r="40" spans="1:9" ht="15">
      <c r="B40" s="119" t="s">
        <v>46</v>
      </c>
    </row>
    <row r="42" spans="1:9" ht="15.6">
      <c r="B42" s="2" t="s">
        <v>47</v>
      </c>
    </row>
    <row r="43" spans="1:9">
      <c r="A43" s="1">
        <v>6</v>
      </c>
      <c r="C43" s="89" t="s">
        <v>2</v>
      </c>
      <c r="F43" s="84" t="s">
        <v>3</v>
      </c>
      <c r="I43" s="89" t="s">
        <v>4</v>
      </c>
    </row>
    <row r="44" spans="1:9" ht="19.5" customHeight="1">
      <c r="B44" s="33" t="s">
        <v>48</v>
      </c>
      <c r="C44" s="23">
        <v>1</v>
      </c>
      <c r="E44" s="33" t="s">
        <v>48</v>
      </c>
      <c r="F44" s="23">
        <v>21</v>
      </c>
      <c r="H44" s="33" t="s">
        <v>48</v>
      </c>
      <c r="I44" s="23">
        <v>0</v>
      </c>
    </row>
    <row r="45" spans="1:9" ht="19.5" customHeight="1">
      <c r="B45" s="34" t="s">
        <v>7</v>
      </c>
      <c r="C45" s="25">
        <v>173</v>
      </c>
      <c r="E45" s="34" t="s">
        <v>7</v>
      </c>
      <c r="F45" s="25"/>
      <c r="H45" s="34" t="s">
        <v>7</v>
      </c>
      <c r="I45" s="25"/>
    </row>
    <row r="46" spans="1:9" ht="19.5" customHeight="1">
      <c r="B46" s="35" t="s">
        <v>49</v>
      </c>
      <c r="C46" s="27">
        <v>38</v>
      </c>
      <c r="E46" s="35" t="s">
        <v>49</v>
      </c>
      <c r="F46" s="27">
        <v>4</v>
      </c>
      <c r="H46" s="35" t="s">
        <v>49</v>
      </c>
      <c r="I46" s="27">
        <v>1</v>
      </c>
    </row>
    <row r="49" spans="1:7" ht="15.6">
      <c r="B49" s="2" t="s">
        <v>50</v>
      </c>
    </row>
    <row r="50" spans="1:7" ht="30">
      <c r="A50" s="1">
        <v>7</v>
      </c>
      <c r="B50" s="36" t="s">
        <v>51</v>
      </c>
      <c r="C50" s="37" t="s">
        <v>52</v>
      </c>
      <c r="D50" s="37" t="s">
        <v>53</v>
      </c>
      <c r="E50" s="37" t="s">
        <v>54</v>
      </c>
      <c r="F50" s="37" t="s">
        <v>55</v>
      </c>
      <c r="G50" s="38" t="s">
        <v>56</v>
      </c>
    </row>
    <row r="51" spans="1:7" ht="14.25">
      <c r="B51" s="39" t="s">
        <v>57</v>
      </c>
      <c r="C51" s="40" t="s">
        <v>58</v>
      </c>
      <c r="D51" s="41">
        <v>70</v>
      </c>
      <c r="E51" s="41" t="s">
        <v>59</v>
      </c>
      <c r="F51" s="41"/>
      <c r="G51" s="134" t="s">
        <v>60</v>
      </c>
    </row>
    <row r="52" spans="1:7" ht="14.25">
      <c r="B52" s="39" t="s">
        <v>61</v>
      </c>
      <c r="C52" s="42" t="s">
        <v>62</v>
      </c>
      <c r="D52" s="43">
        <v>60</v>
      </c>
      <c r="E52" s="43">
        <v>4</v>
      </c>
      <c r="F52" s="43"/>
      <c r="G52" s="135" t="s">
        <v>63</v>
      </c>
    </row>
    <row r="53" spans="1:7" ht="14.25">
      <c r="B53" s="39" t="s">
        <v>64</v>
      </c>
      <c r="C53" s="40" t="s">
        <v>65</v>
      </c>
      <c r="D53" s="41">
        <v>65</v>
      </c>
      <c r="E53" s="41" t="s">
        <v>66</v>
      </c>
      <c r="F53" s="41"/>
      <c r="G53" s="135" t="s">
        <v>67</v>
      </c>
    </row>
    <row r="54" spans="1:7" ht="14.25">
      <c r="B54" s="100"/>
      <c r="C54" s="101"/>
      <c r="D54" s="102">
        <f>SUM(D51:D53)</f>
        <v>195</v>
      </c>
      <c r="E54" s="102" t="s">
        <v>16</v>
      </c>
      <c r="F54" s="115"/>
      <c r="G54" s="102"/>
    </row>
    <row r="55" spans="1:7" ht="15">
      <c r="G55" s="77"/>
    </row>
    <row r="56" spans="1:7" ht="26.1">
      <c r="A56" s="1">
        <v>8</v>
      </c>
      <c r="B56" s="44" t="s">
        <v>51</v>
      </c>
      <c r="C56" s="44" t="s">
        <v>52</v>
      </c>
      <c r="D56" s="44" t="s">
        <v>53</v>
      </c>
      <c r="E56" s="44" t="s">
        <v>54</v>
      </c>
      <c r="F56" s="44" t="s">
        <v>55</v>
      </c>
      <c r="G56" s="45" t="s">
        <v>56</v>
      </c>
    </row>
    <row r="57" spans="1:7" ht="14.25">
      <c r="B57" s="46" t="s">
        <v>68</v>
      </c>
      <c r="C57" s="47" t="s">
        <v>69</v>
      </c>
      <c r="D57" s="48">
        <v>53</v>
      </c>
      <c r="E57" s="48" t="s">
        <v>70</v>
      </c>
      <c r="F57" s="48"/>
      <c r="G57" s="83" t="s">
        <v>71</v>
      </c>
    </row>
    <row r="58" spans="1:7" ht="32.1" customHeight="1">
      <c r="B58" s="82" t="s">
        <v>72</v>
      </c>
      <c r="C58" s="106" t="s">
        <v>73</v>
      </c>
      <c r="D58" s="49">
        <v>57</v>
      </c>
      <c r="E58" s="49" t="s">
        <v>74</v>
      </c>
      <c r="F58" s="49"/>
      <c r="G58" s="120" t="s">
        <v>75</v>
      </c>
    </row>
    <row r="59" spans="1:7">
      <c r="B59" s="103"/>
      <c r="C59" s="104"/>
      <c r="D59" s="105">
        <f>SUM(D57:D58)</f>
        <v>110</v>
      </c>
      <c r="E59" s="105">
        <f>SUM(E57:E58)</f>
        <v>0</v>
      </c>
      <c r="F59" s="105"/>
      <c r="G59" s="107">
        <f>SUM(G57:G58)</f>
        <v>0</v>
      </c>
    </row>
    <row r="60" spans="1:7">
      <c r="D60" s="108"/>
      <c r="E60" s="108"/>
      <c r="F60" s="108"/>
      <c r="G60" s="108"/>
    </row>
    <row r="61" spans="1:7" ht="37.5" customHeight="1">
      <c r="A61" s="1">
        <v>9</v>
      </c>
      <c r="B61" s="50" t="s">
        <v>51</v>
      </c>
      <c r="C61" s="51" t="s">
        <v>52</v>
      </c>
      <c r="D61" s="51" t="s">
        <v>53</v>
      </c>
      <c r="E61" s="51" t="s">
        <v>54</v>
      </c>
      <c r="F61" s="52" t="s">
        <v>55</v>
      </c>
      <c r="G61" s="53" t="s">
        <v>56</v>
      </c>
    </row>
    <row r="62" spans="1:7" ht="37.5" customHeight="1">
      <c r="B62" s="109" t="s">
        <v>76</v>
      </c>
      <c r="C62" s="110" t="s">
        <v>77</v>
      </c>
      <c r="D62" s="110" t="s">
        <v>78</v>
      </c>
      <c r="E62" s="110" t="s">
        <v>79</v>
      </c>
      <c r="F62" s="110" t="s">
        <v>80</v>
      </c>
      <c r="G62" s="111" t="s">
        <v>21</v>
      </c>
    </row>
    <row r="63" spans="1:7" ht="14.45" customHeight="1">
      <c r="B63" s="20" t="s">
        <v>81</v>
      </c>
    </row>
    <row r="64" spans="1:7" ht="15"/>
    <row r="66" spans="1:7" ht="15.6">
      <c r="B66" s="2" t="s">
        <v>82</v>
      </c>
    </row>
    <row r="68" spans="1:7" ht="30">
      <c r="A68" s="1">
        <v>10</v>
      </c>
      <c r="B68" s="36" t="s">
        <v>51</v>
      </c>
      <c r="C68" s="37" t="s">
        <v>52</v>
      </c>
      <c r="D68" s="37" t="s">
        <v>83</v>
      </c>
      <c r="E68" s="136" t="s">
        <v>84</v>
      </c>
      <c r="F68" s="37" t="s">
        <v>85</v>
      </c>
      <c r="G68" s="38" t="s">
        <v>55</v>
      </c>
    </row>
    <row r="69" spans="1:7" ht="14.25">
      <c r="B69" s="39" t="s">
        <v>57</v>
      </c>
      <c r="C69" s="40" t="s">
        <v>58</v>
      </c>
      <c r="D69" s="41">
        <v>70</v>
      </c>
      <c r="E69" s="41"/>
      <c r="F69" s="41"/>
      <c r="G69" s="41"/>
    </row>
    <row r="70" spans="1:7" ht="14.25">
      <c r="B70" s="39" t="s">
        <v>61</v>
      </c>
      <c r="C70" s="42" t="s">
        <v>62</v>
      </c>
      <c r="D70" s="43">
        <v>60</v>
      </c>
      <c r="E70" s="43"/>
      <c r="F70" s="43"/>
      <c r="G70" s="43"/>
    </row>
    <row r="71" spans="1:7" ht="27" customHeight="1">
      <c r="B71" s="39" t="s">
        <v>64</v>
      </c>
      <c r="C71" s="40" t="s">
        <v>65</v>
      </c>
      <c r="D71" s="41">
        <v>65</v>
      </c>
      <c r="E71" s="41"/>
      <c r="F71" s="41"/>
      <c r="G71" s="41"/>
    </row>
    <row r="72" spans="1:7" ht="18.75" customHeight="1">
      <c r="D72" s="102">
        <f>SUM(D69:D71)</f>
        <v>195</v>
      </c>
      <c r="E72" s="108"/>
    </row>
    <row r="74" spans="1:7" ht="26.1">
      <c r="A74" s="1">
        <v>11</v>
      </c>
      <c r="B74" s="54" t="s">
        <v>51</v>
      </c>
      <c r="C74" s="55" t="s">
        <v>52</v>
      </c>
      <c r="D74" s="55" t="s">
        <v>83</v>
      </c>
      <c r="E74" s="55" t="s">
        <v>86</v>
      </c>
      <c r="F74" s="55" t="s">
        <v>87</v>
      </c>
      <c r="G74" s="56" t="s">
        <v>55</v>
      </c>
    </row>
    <row r="75" spans="1:7" ht="30" customHeight="1">
      <c r="B75" s="57" t="s">
        <v>68</v>
      </c>
      <c r="C75" s="58" t="s">
        <v>69</v>
      </c>
      <c r="D75" s="59">
        <v>53</v>
      </c>
      <c r="E75" s="59">
        <v>53</v>
      </c>
      <c r="F75" s="59"/>
      <c r="G75" s="59"/>
    </row>
    <row r="76" spans="1:7" ht="30" customHeight="1">
      <c r="B76" s="57" t="s">
        <v>72</v>
      </c>
      <c r="C76" s="60" t="s">
        <v>88</v>
      </c>
      <c r="D76" s="61">
        <v>64</v>
      </c>
      <c r="E76" s="61">
        <v>57</v>
      </c>
      <c r="F76" s="61"/>
      <c r="G76" s="61" t="s">
        <v>89</v>
      </c>
    </row>
    <row r="77" spans="1:7" ht="24.75" customHeight="1">
      <c r="D77" s="108">
        <f>SUM(D75:D76)</f>
        <v>117</v>
      </c>
      <c r="E77" s="108">
        <f>SUM(E75:E76)</f>
        <v>110</v>
      </c>
    </row>
    <row r="79" spans="1:7" ht="26.1">
      <c r="A79" s="1">
        <v>12</v>
      </c>
      <c r="B79" s="62" t="s">
        <v>51</v>
      </c>
      <c r="C79" s="52" t="s">
        <v>52</v>
      </c>
      <c r="D79" s="52" t="s">
        <v>83</v>
      </c>
      <c r="E79" s="52" t="s">
        <v>86</v>
      </c>
      <c r="F79" s="52" t="s">
        <v>90</v>
      </c>
      <c r="G79" s="63" t="s">
        <v>55</v>
      </c>
    </row>
    <row r="80" spans="1:7" ht="44.25" customHeight="1">
      <c r="B80" s="64" t="s">
        <v>76</v>
      </c>
      <c r="C80" s="65" t="s">
        <v>91</v>
      </c>
      <c r="D80" s="66">
        <v>0</v>
      </c>
      <c r="E80" s="66">
        <v>0</v>
      </c>
      <c r="F80" s="112">
        <v>0</v>
      </c>
      <c r="G80" s="67">
        <v>0</v>
      </c>
    </row>
    <row r="83" spans="2:7" ht="15.6">
      <c r="B83" s="88" t="s">
        <v>92</v>
      </c>
    </row>
    <row r="84" spans="2:7" ht="15.95" thickBot="1">
      <c r="B84" s="79"/>
      <c r="C84" s="79"/>
      <c r="D84" s="79"/>
      <c r="E84" s="79"/>
      <c r="F84" s="79"/>
      <c r="G84" s="79"/>
    </row>
    <row r="85" spans="2:7" ht="44.25" customHeight="1" thickBot="1">
      <c r="B85" s="186" t="s">
        <v>25</v>
      </c>
      <c r="C85" s="187" t="s">
        <v>93</v>
      </c>
      <c r="D85" s="187" t="s">
        <v>94</v>
      </c>
      <c r="E85" s="187" t="s">
        <v>95</v>
      </c>
      <c r="F85" s="187" t="s">
        <v>96</v>
      </c>
      <c r="G85" s="188" t="s">
        <v>97</v>
      </c>
    </row>
    <row r="86" spans="2:7" ht="62.25">
      <c r="B86" s="147" t="s">
        <v>98</v>
      </c>
      <c r="C86" s="148" t="s">
        <v>57</v>
      </c>
      <c r="D86" s="149" t="s">
        <v>99</v>
      </c>
      <c r="E86" s="150" t="s">
        <v>100</v>
      </c>
      <c r="F86" s="151" t="s">
        <v>101</v>
      </c>
      <c r="G86" s="152"/>
    </row>
    <row r="87" spans="2:7" ht="20.25">
      <c r="B87" s="153"/>
      <c r="C87" s="154" t="s">
        <v>57</v>
      </c>
      <c r="D87" s="155" t="s">
        <v>102</v>
      </c>
      <c r="E87" s="156" t="s">
        <v>103</v>
      </c>
      <c r="F87" s="157" t="s">
        <v>104</v>
      </c>
      <c r="G87" s="158">
        <v>9</v>
      </c>
    </row>
    <row r="88" spans="2:7" ht="20.25">
      <c r="B88" s="153"/>
      <c r="C88" s="154" t="s">
        <v>57</v>
      </c>
      <c r="D88" s="155" t="s">
        <v>105</v>
      </c>
      <c r="E88" s="156" t="s">
        <v>106</v>
      </c>
      <c r="F88" s="157" t="s">
        <v>107</v>
      </c>
      <c r="G88" s="158">
        <v>11</v>
      </c>
    </row>
    <row r="89" spans="2:7" ht="20.25">
      <c r="B89" s="153"/>
      <c r="C89" s="154" t="s">
        <v>57</v>
      </c>
      <c r="D89" s="155" t="s">
        <v>108</v>
      </c>
      <c r="E89" s="156" t="s">
        <v>109</v>
      </c>
      <c r="F89" s="157" t="s">
        <v>110</v>
      </c>
      <c r="G89" s="158">
        <v>12</v>
      </c>
    </row>
    <row r="90" spans="2:7" ht="20.25">
      <c r="B90" s="153"/>
      <c r="C90" s="154" t="s">
        <v>57</v>
      </c>
      <c r="D90" s="155" t="s">
        <v>111</v>
      </c>
      <c r="E90" s="156" t="s">
        <v>112</v>
      </c>
      <c r="F90" s="157" t="s">
        <v>107</v>
      </c>
      <c r="G90" s="158">
        <v>5</v>
      </c>
    </row>
    <row r="91" spans="2:7" ht="20.25">
      <c r="B91" s="153"/>
      <c r="C91" s="154" t="s">
        <v>57</v>
      </c>
      <c r="D91" s="159" t="s">
        <v>113</v>
      </c>
      <c r="E91" s="156" t="s">
        <v>114</v>
      </c>
      <c r="F91" s="157" t="s">
        <v>115</v>
      </c>
      <c r="G91" s="158">
        <v>10</v>
      </c>
    </row>
    <row r="92" spans="2:7" ht="20.25">
      <c r="B92" s="153"/>
      <c r="C92" s="154" t="s">
        <v>57</v>
      </c>
      <c r="D92" s="155" t="s">
        <v>116</v>
      </c>
      <c r="E92" s="156" t="s">
        <v>117</v>
      </c>
      <c r="F92" s="157" t="s">
        <v>107</v>
      </c>
      <c r="G92" s="158">
        <v>10</v>
      </c>
    </row>
    <row r="93" spans="2:7" ht="20.25">
      <c r="B93" s="153"/>
      <c r="C93" s="154" t="s">
        <v>57</v>
      </c>
      <c r="D93" s="155" t="s">
        <v>118</v>
      </c>
      <c r="E93" s="156" t="s">
        <v>119</v>
      </c>
      <c r="F93" s="157" t="s">
        <v>107</v>
      </c>
      <c r="G93" s="158">
        <v>8</v>
      </c>
    </row>
    <row r="94" spans="2:7" ht="20.25">
      <c r="B94" s="153"/>
      <c r="C94" s="154" t="s">
        <v>57</v>
      </c>
      <c r="D94" s="155" t="s">
        <v>120</v>
      </c>
      <c r="E94" s="156" t="s">
        <v>121</v>
      </c>
      <c r="F94" s="157" t="s">
        <v>110</v>
      </c>
      <c r="G94" s="158">
        <v>5</v>
      </c>
    </row>
    <row r="95" spans="2:7" ht="20.25">
      <c r="B95" s="153"/>
      <c r="C95" s="148" t="s">
        <v>61</v>
      </c>
      <c r="D95" s="149" t="s">
        <v>122</v>
      </c>
      <c r="E95" s="150" t="s">
        <v>123</v>
      </c>
      <c r="F95" s="151" t="s">
        <v>124</v>
      </c>
      <c r="G95" s="152"/>
    </row>
    <row r="96" spans="2:7" ht="20.25">
      <c r="B96" s="153"/>
      <c r="C96" s="154" t="s">
        <v>61</v>
      </c>
      <c r="D96" s="155" t="s">
        <v>125</v>
      </c>
      <c r="E96" s="156" t="s">
        <v>126</v>
      </c>
      <c r="F96" s="157" t="s">
        <v>115</v>
      </c>
      <c r="G96" s="158">
        <v>11</v>
      </c>
    </row>
    <row r="97" spans="2:7" ht="20.25">
      <c r="B97" s="153"/>
      <c r="C97" s="154" t="s">
        <v>61</v>
      </c>
      <c r="D97" s="155" t="s">
        <v>127</v>
      </c>
      <c r="E97" s="156" t="s">
        <v>128</v>
      </c>
      <c r="F97" s="157" t="s">
        <v>104</v>
      </c>
      <c r="G97" s="158">
        <v>6</v>
      </c>
    </row>
    <row r="98" spans="2:7" ht="20.25">
      <c r="B98" s="153"/>
      <c r="C98" s="154" t="s">
        <v>61</v>
      </c>
      <c r="D98" s="159" t="s">
        <v>129</v>
      </c>
      <c r="E98" s="156" t="s">
        <v>130</v>
      </c>
      <c r="F98" s="157" t="s">
        <v>104</v>
      </c>
      <c r="G98" s="158">
        <v>8</v>
      </c>
    </row>
    <row r="99" spans="2:7" ht="20.25">
      <c r="B99" s="153"/>
      <c r="C99" s="154" t="s">
        <v>61</v>
      </c>
      <c r="D99" s="155" t="s">
        <v>131</v>
      </c>
      <c r="E99" s="156" t="s">
        <v>132</v>
      </c>
      <c r="F99" s="157" t="s">
        <v>104</v>
      </c>
      <c r="G99" s="158">
        <v>14</v>
      </c>
    </row>
    <row r="100" spans="2:7" ht="20.25">
      <c r="B100" s="153"/>
      <c r="C100" s="154" t="s">
        <v>61</v>
      </c>
      <c r="D100" s="155" t="s">
        <v>133</v>
      </c>
      <c r="E100" s="156" t="s">
        <v>134</v>
      </c>
      <c r="F100" s="157" t="s">
        <v>110</v>
      </c>
      <c r="G100" s="158">
        <v>12</v>
      </c>
    </row>
    <row r="101" spans="2:7" ht="20.25">
      <c r="B101" s="153"/>
      <c r="C101" s="154" t="s">
        <v>61</v>
      </c>
      <c r="D101" s="159" t="s">
        <v>135</v>
      </c>
      <c r="E101" s="156" t="s">
        <v>136</v>
      </c>
      <c r="F101" s="157" t="s">
        <v>137</v>
      </c>
      <c r="G101" s="158">
        <v>9</v>
      </c>
    </row>
    <row r="102" spans="2:7" ht="20.25">
      <c r="B102" s="153"/>
      <c r="C102" s="148" t="s">
        <v>64</v>
      </c>
      <c r="D102" s="149" t="s">
        <v>138</v>
      </c>
      <c r="E102" s="150" t="s">
        <v>139</v>
      </c>
      <c r="F102" s="151" t="s">
        <v>140</v>
      </c>
      <c r="G102" s="152"/>
    </row>
    <row r="103" spans="2:7" ht="20.25">
      <c r="B103" s="153"/>
      <c r="C103" s="154" t="s">
        <v>64</v>
      </c>
      <c r="D103" s="155" t="s">
        <v>141</v>
      </c>
      <c r="E103" s="156" t="s">
        <v>142</v>
      </c>
      <c r="F103" s="157" t="s">
        <v>104</v>
      </c>
      <c r="G103" s="158">
        <v>11</v>
      </c>
    </row>
    <row r="104" spans="2:7" ht="20.25">
      <c r="B104" s="153"/>
      <c r="C104" s="154" t="s">
        <v>64</v>
      </c>
      <c r="D104" s="155" t="s">
        <v>143</v>
      </c>
      <c r="E104" s="156" t="s">
        <v>144</v>
      </c>
      <c r="F104" s="157" t="s">
        <v>115</v>
      </c>
      <c r="G104" s="158">
        <v>11</v>
      </c>
    </row>
    <row r="105" spans="2:7" ht="20.25">
      <c r="B105" s="153"/>
      <c r="C105" s="154" t="s">
        <v>64</v>
      </c>
      <c r="D105" s="159" t="s">
        <v>145</v>
      </c>
      <c r="E105" s="160" t="s">
        <v>146</v>
      </c>
      <c r="F105" s="161" t="s">
        <v>107</v>
      </c>
      <c r="G105" s="162">
        <v>3</v>
      </c>
    </row>
    <row r="106" spans="2:7" ht="20.25">
      <c r="B106" s="153"/>
      <c r="C106" s="154" t="s">
        <v>64</v>
      </c>
      <c r="D106" s="155" t="s">
        <v>147</v>
      </c>
      <c r="E106" s="156" t="s">
        <v>148</v>
      </c>
      <c r="F106" s="157" t="s">
        <v>115</v>
      </c>
      <c r="G106" s="158">
        <v>14</v>
      </c>
    </row>
    <row r="107" spans="2:7" ht="20.25">
      <c r="B107" s="153"/>
      <c r="C107" s="154" t="s">
        <v>64</v>
      </c>
      <c r="D107" s="163" t="s">
        <v>149</v>
      </c>
      <c r="E107" s="156" t="s">
        <v>150</v>
      </c>
      <c r="F107" s="157" t="s">
        <v>110</v>
      </c>
      <c r="G107" s="158">
        <v>12</v>
      </c>
    </row>
    <row r="108" spans="2:7" ht="20.25">
      <c r="B108" s="153"/>
      <c r="C108" s="154" t="s">
        <v>64</v>
      </c>
      <c r="D108" s="163" t="s">
        <v>151</v>
      </c>
      <c r="E108" s="156" t="s">
        <v>152</v>
      </c>
      <c r="F108" s="157" t="s">
        <v>110</v>
      </c>
      <c r="G108" s="158">
        <v>4</v>
      </c>
    </row>
    <row r="109" spans="2:7" ht="20.25">
      <c r="B109" s="153"/>
      <c r="C109" s="154" t="s">
        <v>64</v>
      </c>
      <c r="D109" s="155" t="s">
        <v>153</v>
      </c>
      <c r="E109" s="156" t="s">
        <v>154</v>
      </c>
      <c r="F109" s="157" t="s">
        <v>110</v>
      </c>
      <c r="G109" s="158">
        <v>10</v>
      </c>
    </row>
    <row r="110" spans="2:7" ht="21.75" customHeight="1" thickBot="1">
      <c r="B110" s="164" t="s">
        <v>155</v>
      </c>
      <c r="C110" s="165"/>
      <c r="D110" s="166"/>
      <c r="E110" s="167"/>
      <c r="F110" s="168"/>
      <c r="G110" s="169">
        <f>SUM(G87:G109)</f>
        <v>195</v>
      </c>
    </row>
    <row r="111" spans="2:7" ht="62.25">
      <c r="B111" s="153" t="s">
        <v>156</v>
      </c>
      <c r="C111" s="170" t="s">
        <v>157</v>
      </c>
      <c r="D111" s="171" t="s">
        <v>158</v>
      </c>
      <c r="E111" s="172" t="s">
        <v>159</v>
      </c>
      <c r="F111" s="173" t="s">
        <v>124</v>
      </c>
      <c r="G111" s="174"/>
    </row>
    <row r="112" spans="2:7" ht="18.75">
      <c r="B112" s="153"/>
      <c r="C112" s="175" t="s">
        <v>68</v>
      </c>
      <c r="D112" s="159" t="s">
        <v>160</v>
      </c>
      <c r="E112" s="156" t="s">
        <v>161</v>
      </c>
      <c r="F112" s="157" t="s">
        <v>115</v>
      </c>
      <c r="G112" s="158">
        <v>10</v>
      </c>
    </row>
    <row r="113" spans="2:7" ht="18.75">
      <c r="B113" s="153"/>
      <c r="C113" s="175" t="s">
        <v>68</v>
      </c>
      <c r="D113" s="159" t="s">
        <v>113</v>
      </c>
      <c r="E113" s="156" t="s">
        <v>162</v>
      </c>
      <c r="F113" s="157" t="s">
        <v>115</v>
      </c>
      <c r="G113" s="158">
        <v>7</v>
      </c>
    </row>
    <row r="114" spans="2:7" ht="18.75">
      <c r="B114" s="153"/>
      <c r="C114" s="175" t="s">
        <v>68</v>
      </c>
      <c r="D114" s="159" t="s">
        <v>163</v>
      </c>
      <c r="E114" s="156" t="s">
        <v>164</v>
      </c>
      <c r="F114" s="157" t="s">
        <v>165</v>
      </c>
      <c r="G114" s="158">
        <v>10</v>
      </c>
    </row>
    <row r="115" spans="2:7" ht="18.75">
      <c r="B115" s="153"/>
      <c r="C115" s="175" t="s">
        <v>68</v>
      </c>
      <c r="D115" s="159" t="s">
        <v>166</v>
      </c>
      <c r="E115" s="156" t="s">
        <v>167</v>
      </c>
      <c r="F115" s="157" t="s">
        <v>110</v>
      </c>
      <c r="G115" s="158">
        <v>8</v>
      </c>
    </row>
    <row r="116" spans="2:7" ht="18.75">
      <c r="B116" s="153"/>
      <c r="C116" s="175" t="s">
        <v>68</v>
      </c>
      <c r="D116" s="159" t="s">
        <v>168</v>
      </c>
      <c r="E116" s="156" t="s">
        <v>169</v>
      </c>
      <c r="F116" s="157" t="s">
        <v>110</v>
      </c>
      <c r="G116" s="176">
        <v>8</v>
      </c>
    </row>
    <row r="117" spans="2:7" ht="18.75">
      <c r="B117" s="153"/>
      <c r="C117" s="175" t="s">
        <v>68</v>
      </c>
      <c r="D117" s="159" t="s">
        <v>170</v>
      </c>
      <c r="E117" s="156" t="s">
        <v>171</v>
      </c>
      <c r="F117" s="157" t="s">
        <v>115</v>
      </c>
      <c r="G117" s="176">
        <v>10</v>
      </c>
    </row>
    <row r="118" spans="2:7" ht="20.25">
      <c r="B118" s="153"/>
      <c r="C118" s="148" t="s">
        <v>72</v>
      </c>
      <c r="D118" s="149" t="s">
        <v>172</v>
      </c>
      <c r="E118" s="150" t="s">
        <v>173</v>
      </c>
      <c r="F118" s="151" t="s">
        <v>124</v>
      </c>
      <c r="G118" s="152"/>
    </row>
    <row r="119" spans="2:7" ht="18.75">
      <c r="B119" s="153"/>
      <c r="C119" s="175" t="s">
        <v>72</v>
      </c>
      <c r="D119" s="159" t="s">
        <v>174</v>
      </c>
      <c r="E119" s="156" t="s">
        <v>175</v>
      </c>
      <c r="F119" s="157" t="s">
        <v>104</v>
      </c>
      <c r="G119" s="158">
        <v>17</v>
      </c>
    </row>
    <row r="120" spans="2:7" ht="18.75">
      <c r="B120" s="153"/>
      <c r="C120" s="175" t="s">
        <v>72</v>
      </c>
      <c r="D120" s="159" t="s">
        <v>176</v>
      </c>
      <c r="E120" s="156" t="s">
        <v>177</v>
      </c>
      <c r="F120" s="157" t="s">
        <v>115</v>
      </c>
      <c r="G120" s="158">
        <v>8</v>
      </c>
    </row>
    <row r="121" spans="2:7" ht="18.75">
      <c r="B121" s="153"/>
      <c r="C121" s="175" t="s">
        <v>72</v>
      </c>
      <c r="D121" s="159" t="s">
        <v>178</v>
      </c>
      <c r="E121" s="156" t="s">
        <v>179</v>
      </c>
      <c r="F121" s="157" t="s">
        <v>165</v>
      </c>
      <c r="G121" s="158">
        <v>3</v>
      </c>
    </row>
    <row r="122" spans="2:7" ht="18.75">
      <c r="B122" s="153"/>
      <c r="C122" s="175" t="s">
        <v>72</v>
      </c>
      <c r="D122" s="159" t="s">
        <v>180</v>
      </c>
      <c r="E122" s="156" t="s">
        <v>181</v>
      </c>
      <c r="F122" s="157" t="s">
        <v>115</v>
      </c>
      <c r="G122" s="158">
        <v>10</v>
      </c>
    </row>
    <row r="123" spans="2:7" ht="18.75">
      <c r="B123" s="153"/>
      <c r="C123" s="175" t="s">
        <v>72</v>
      </c>
      <c r="D123" s="159" t="s">
        <v>182</v>
      </c>
      <c r="E123" s="156" t="s">
        <v>183</v>
      </c>
      <c r="F123" s="157" t="s">
        <v>107</v>
      </c>
      <c r="G123" s="158">
        <v>15</v>
      </c>
    </row>
    <row r="124" spans="2:7" ht="18.75">
      <c r="B124" s="153"/>
      <c r="C124" s="175" t="s">
        <v>68</v>
      </c>
      <c r="D124" s="159" t="s">
        <v>184</v>
      </c>
      <c r="E124" s="156" t="s">
        <v>185</v>
      </c>
      <c r="F124" s="157" t="s">
        <v>115</v>
      </c>
      <c r="G124" s="158">
        <v>4</v>
      </c>
    </row>
    <row r="125" spans="2:7" ht="15" customHeight="1" thickBot="1">
      <c r="B125" s="164" t="s">
        <v>186</v>
      </c>
      <c r="C125" s="177"/>
      <c r="D125" s="166"/>
      <c r="E125" s="167"/>
      <c r="F125" s="168"/>
      <c r="G125" s="169">
        <f>SUM(G112:G124)</f>
        <v>110</v>
      </c>
    </row>
    <row r="126" spans="2:7" ht="65.25" customHeight="1">
      <c r="B126" s="178" t="s">
        <v>187</v>
      </c>
      <c r="C126" s="170" t="s">
        <v>188</v>
      </c>
      <c r="D126" s="171" t="s">
        <v>189</v>
      </c>
      <c r="E126" s="172" t="s">
        <v>190</v>
      </c>
      <c r="F126" s="173" t="s">
        <v>124</v>
      </c>
      <c r="G126" s="174"/>
    </row>
    <row r="127" spans="2:7" ht="26.25" customHeight="1">
      <c r="B127" s="178"/>
      <c r="C127" s="175" t="s">
        <v>76</v>
      </c>
      <c r="D127" s="159" t="s">
        <v>191</v>
      </c>
      <c r="E127" s="156" t="s">
        <v>192</v>
      </c>
      <c r="F127" s="157" t="s">
        <v>107</v>
      </c>
      <c r="G127" s="179">
        <v>3</v>
      </c>
    </row>
    <row r="128" spans="2:7" ht="18.75">
      <c r="B128" s="178"/>
      <c r="C128" s="175" t="s">
        <v>76</v>
      </c>
      <c r="D128" s="159" t="s">
        <v>193</v>
      </c>
      <c r="E128" s="156" t="s">
        <v>194</v>
      </c>
      <c r="F128" s="157" t="s">
        <v>104</v>
      </c>
      <c r="G128" s="180">
        <v>5</v>
      </c>
    </row>
    <row r="129" spans="2:8" ht="18.75">
      <c r="B129" s="178"/>
      <c r="C129" s="175" t="s">
        <v>76</v>
      </c>
      <c r="D129" s="159" t="s">
        <v>195</v>
      </c>
      <c r="E129" s="156" t="s">
        <v>196</v>
      </c>
      <c r="F129" s="157" t="s">
        <v>107</v>
      </c>
      <c r="G129" s="180">
        <v>4</v>
      </c>
    </row>
    <row r="130" spans="2:8" ht="18.75">
      <c r="B130" s="178"/>
      <c r="C130" s="175" t="s">
        <v>76</v>
      </c>
      <c r="D130" s="159" t="s">
        <v>197</v>
      </c>
      <c r="E130" s="156" t="s">
        <v>198</v>
      </c>
      <c r="F130" s="157" t="s">
        <v>104</v>
      </c>
      <c r="G130" s="180">
        <v>2</v>
      </c>
    </row>
    <row r="131" spans="2:8" ht="18.75">
      <c r="B131" s="178"/>
      <c r="C131" s="175" t="s">
        <v>76</v>
      </c>
      <c r="D131" s="163" t="s">
        <v>199</v>
      </c>
      <c r="E131" s="156" t="s">
        <v>200</v>
      </c>
      <c r="F131" s="157" t="s">
        <v>110</v>
      </c>
      <c r="G131" s="180">
        <v>2</v>
      </c>
    </row>
    <row r="132" spans="2:8" ht="18.75">
      <c r="B132" s="178"/>
      <c r="C132" s="175" t="s">
        <v>76</v>
      </c>
      <c r="D132" s="163" t="s">
        <v>201</v>
      </c>
      <c r="E132" s="156" t="s">
        <v>202</v>
      </c>
      <c r="F132" s="157" t="s">
        <v>107</v>
      </c>
      <c r="G132" s="180">
        <v>4</v>
      </c>
    </row>
    <row r="133" spans="2:8" ht="18.75">
      <c r="B133" s="178"/>
      <c r="C133" s="159" t="s">
        <v>76</v>
      </c>
      <c r="D133" s="159" t="s">
        <v>203</v>
      </c>
      <c r="E133" s="160" t="s">
        <v>204</v>
      </c>
      <c r="F133" s="161" t="s">
        <v>104</v>
      </c>
      <c r="G133" s="180">
        <v>10</v>
      </c>
    </row>
    <row r="134" spans="2:8" ht="20.25">
      <c r="B134" s="181" t="s">
        <v>186</v>
      </c>
      <c r="C134" s="182"/>
      <c r="D134" s="182"/>
      <c r="E134" s="183"/>
      <c r="F134" s="184"/>
      <c r="G134" s="185">
        <f>SUM(G127:G133)</f>
        <v>30</v>
      </c>
      <c r="H134" s="79" t="s">
        <v>6</v>
      </c>
    </row>
    <row r="135" spans="2:8">
      <c r="B135" s="20" t="s">
        <v>205</v>
      </c>
    </row>
    <row r="137" spans="2:8" ht="15.6">
      <c r="B137" s="2"/>
      <c r="H137" s="2"/>
    </row>
    <row r="138" spans="2:8" ht="15.6">
      <c r="B138" s="2" t="s">
        <v>206</v>
      </c>
    </row>
    <row r="139" spans="2:8" ht="27" customHeight="1">
      <c r="H139" s="2"/>
    </row>
    <row r="140" spans="2:8" ht="27" customHeight="1">
      <c r="B140" s="68"/>
      <c r="C140" s="80" t="s">
        <v>207</v>
      </c>
      <c r="D140" s="80"/>
      <c r="H140" s="2"/>
    </row>
    <row r="141" spans="2:8" ht="36" customHeight="1" thickBot="1">
      <c r="B141" s="69"/>
      <c r="C141" s="70" t="s">
        <v>208</v>
      </c>
      <c r="D141" s="70" t="s">
        <v>209</v>
      </c>
      <c r="H141" s="2"/>
    </row>
    <row r="142" spans="2:8" ht="36" customHeight="1">
      <c r="B142" s="91" t="s">
        <v>2</v>
      </c>
      <c r="C142" s="122" t="s">
        <v>210</v>
      </c>
      <c r="D142" s="122" t="s">
        <v>210</v>
      </c>
      <c r="H142" s="2"/>
    </row>
    <row r="143" spans="2:8" ht="87" customHeight="1">
      <c r="B143" s="121" t="s">
        <v>3</v>
      </c>
      <c r="C143" s="81" t="s">
        <v>210</v>
      </c>
      <c r="D143" s="133" t="s">
        <v>211</v>
      </c>
      <c r="H143" s="2"/>
    </row>
    <row r="144" spans="2:8" ht="114">
      <c r="B144" s="71" t="s">
        <v>4</v>
      </c>
      <c r="C144" s="113"/>
      <c r="D144" s="87" t="s">
        <v>212</v>
      </c>
      <c r="H144" s="2"/>
    </row>
    <row r="145" spans="2:11" ht="28.5" customHeight="1">
      <c r="B145" s="72" t="s">
        <v>8</v>
      </c>
      <c r="C145" s="72"/>
      <c r="D145" s="72"/>
    </row>
    <row r="146" spans="2:11" ht="17.25" customHeight="1">
      <c r="B146" s="114"/>
      <c r="C146" s="114"/>
      <c r="D146" s="114"/>
    </row>
    <row r="147" spans="2:11" ht="17.25" customHeight="1">
      <c r="B147" s="114"/>
      <c r="C147" s="114"/>
      <c r="D147" s="114"/>
    </row>
    <row r="149" spans="2:11" ht="15">
      <c r="B149" s="75" t="s">
        <v>213</v>
      </c>
      <c r="E149" s="75" t="s">
        <v>213</v>
      </c>
      <c r="H149" s="75" t="s">
        <v>213</v>
      </c>
      <c r="J149" s="137" t="s">
        <v>214</v>
      </c>
      <c r="K149" s="137">
        <v>47</v>
      </c>
    </row>
    <row r="150" spans="2:11" ht="15">
      <c r="J150" s="137" t="s">
        <v>215</v>
      </c>
      <c r="K150" s="137">
        <v>36</v>
      </c>
    </row>
    <row r="151" spans="2:11" ht="18.75">
      <c r="B151" s="138" t="s">
        <v>216</v>
      </c>
      <c r="C151" s="139" t="s">
        <v>2</v>
      </c>
      <c r="D151" s="139" t="s">
        <v>3</v>
      </c>
      <c r="E151" s="140" t="s">
        <v>4</v>
      </c>
      <c r="H151" s="90" t="s">
        <v>216</v>
      </c>
      <c r="J151" s="137" t="s">
        <v>217</v>
      </c>
      <c r="K151" s="137">
        <v>20</v>
      </c>
    </row>
    <row r="152" spans="2:11" ht="18.75">
      <c r="B152" s="141" t="s">
        <v>218</v>
      </c>
      <c r="C152" s="142">
        <v>170</v>
      </c>
      <c r="D152" s="142">
        <v>103</v>
      </c>
      <c r="E152" s="143">
        <v>29</v>
      </c>
      <c r="H152" s="74" t="s">
        <v>218</v>
      </c>
      <c r="J152" s="137" t="s">
        <v>219</v>
      </c>
      <c r="K152" s="137">
        <v>6</v>
      </c>
    </row>
    <row r="153" spans="2:11" ht="18.75">
      <c r="B153" s="141" t="s">
        <v>220</v>
      </c>
      <c r="C153" s="142">
        <v>12</v>
      </c>
      <c r="D153" s="142"/>
      <c r="E153" s="143"/>
      <c r="H153" s="74" t="s">
        <v>220</v>
      </c>
      <c r="J153" s="137" t="s">
        <v>221</v>
      </c>
      <c r="K153" s="137">
        <v>3</v>
      </c>
    </row>
    <row r="154" spans="2:11" ht="18.75">
      <c r="B154" s="141" t="s">
        <v>222</v>
      </c>
      <c r="C154" s="142">
        <v>13</v>
      </c>
      <c r="D154" s="142">
        <v>7</v>
      </c>
      <c r="E154" s="143">
        <v>1</v>
      </c>
      <c r="H154" s="74" t="s">
        <v>222</v>
      </c>
    </row>
    <row r="155" spans="2:11" ht="18.75">
      <c r="B155" s="144" t="s">
        <v>223</v>
      </c>
      <c r="C155" s="145">
        <f>SUM(C152:C154)</f>
        <v>195</v>
      </c>
      <c r="D155" s="145">
        <f>SUM(D152:D154)</f>
        <v>110</v>
      </c>
      <c r="E155" s="146">
        <f>SUM(E152:E154)</f>
        <v>30</v>
      </c>
      <c r="H155" s="74" t="s">
        <v>223</v>
      </c>
      <c r="J155" s="20" t="s">
        <v>6</v>
      </c>
    </row>
    <row r="156" spans="2:11" ht="15">
      <c r="H156" s="20" t="s">
        <v>224</v>
      </c>
    </row>
    <row r="157" spans="2:11" ht="15"/>
    <row r="158" spans="2:11" ht="15"/>
    <row r="159" spans="2:11" ht="15"/>
    <row r="160" spans="2:11" ht="15"/>
  </sheetData>
  <mergeCells count="4">
    <mergeCell ref="B20:K20"/>
    <mergeCell ref="C21:E21"/>
    <mergeCell ref="F21:H21"/>
    <mergeCell ref="I21:K21"/>
  </mergeCells>
  <conditionalFormatting sqref="A6 A13 A20 A29 A35 A43 A50 A56 A61 A68 A74 A79">
    <cfRule type="iconSet" priority="5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858AEC-F1AD-4D26-86F9-F9C1A74AAE7E}"/>
</file>

<file path=customXml/itemProps2.xml><?xml version="1.0" encoding="utf-8"?>
<ds:datastoreItem xmlns:ds="http://schemas.openxmlformats.org/officeDocument/2006/customXml" ds:itemID="{3B679391-DC0A-46D9-A1D8-23A229BF2270}"/>
</file>

<file path=customXml/itemProps3.xml><?xml version="1.0" encoding="utf-8"?>
<ds:datastoreItem xmlns:ds="http://schemas.openxmlformats.org/officeDocument/2006/customXml" ds:itemID="{D5B830D8-62A0-47CE-8C06-2E280D1114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Cortez Quispe Linda</cp:lastModifiedBy>
  <cp:revision/>
  <dcterms:created xsi:type="dcterms:W3CDTF">2024-01-03T15:06:50Z</dcterms:created>
  <dcterms:modified xsi:type="dcterms:W3CDTF">2025-01-14T09:40:41Z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