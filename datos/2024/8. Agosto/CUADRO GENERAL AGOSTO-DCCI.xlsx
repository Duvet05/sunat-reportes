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0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uarios\sgonzalese\Desktop\ASISTENTE IAAP\INI\7U7000\PROGRAMACION\PRODUCCION GENERAL\"/>
    </mc:Choice>
  </mc:AlternateContent>
  <xr:revisionPtr revIDLastSave="0" documentId="13_ncr:1_{FD2E40C3-D2F6-456D-A259-8BCE5238061A}" xr6:coauthVersionLast="47" xr6:coauthVersionMax="47" xr10:uidLastSave="{00000000-0000-0000-0000-000000000000}"/>
  <bookViews>
    <workbookView xWindow="-110" yWindow="-110" windowWidth="19420" windowHeight="10420" xr2:uid="{2EFA1358-0385-4213-83A5-14E931E4CB47}"/>
  </bookViews>
  <sheets>
    <sheet name="DCC I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04" i="1" l="1"/>
  <c r="I104" i="1"/>
  <c r="H104" i="1"/>
  <c r="G65" i="1"/>
  <c r="F116" i="1"/>
  <c r="E116" i="1"/>
  <c r="D116" i="1"/>
  <c r="F108" i="1"/>
  <c r="E108" i="1"/>
  <c r="D108" i="1"/>
  <c r="F99" i="1"/>
  <c r="E99" i="1"/>
  <c r="D99" i="1"/>
  <c r="C16" i="1" l="1"/>
  <c r="G67" i="1"/>
  <c r="G66" i="1" l="1"/>
  <c r="C157" i="1"/>
  <c r="C9" i="1" l="1"/>
</calcChain>
</file>

<file path=xl/sharedStrings.xml><?xml version="1.0" encoding="utf-8"?>
<sst xmlns="http://schemas.openxmlformats.org/spreadsheetml/2006/main" count="174" uniqueCount="110">
  <si>
    <t>COMITÉ INI</t>
  </si>
  <si>
    <t>STOCK DE DOCUMENTOS</t>
  </si>
  <si>
    <t>DCCI/DCCII/DCP</t>
  </si>
  <si>
    <t>FONDO</t>
  </si>
  <si>
    <t>ADMISIBILIDAD</t>
  </si>
  <si>
    <t>TOTAL</t>
  </si>
  <si>
    <t xml:space="preserve">PRODUCTIVIDAD RECLAMOS </t>
  </si>
  <si>
    <t>DIVISIÓN DE CONTROL CONCURRENTE-I</t>
  </si>
  <si>
    <t>Reclamos resueltos</t>
  </si>
  <si>
    <t>Resolutor</t>
  </si>
  <si>
    <t>Producción Promedio</t>
  </si>
  <si>
    <t>DIVISIÓN DE CONTROL CONCURRENTE-II</t>
  </si>
  <si>
    <t>DIVISIÓN DE CONTROL POSTERIOR</t>
  </si>
  <si>
    <t>PRODUCTIVIDAD (LABORES ADICIONALES)</t>
  </si>
  <si>
    <t>PRODUCCIÓN</t>
  </si>
  <si>
    <t>UUOO</t>
  </si>
  <si>
    <t>DCCI</t>
  </si>
  <si>
    <t>DCCII</t>
  </si>
  <si>
    <t>DCP</t>
  </si>
  <si>
    <t>MATERIA</t>
  </si>
  <si>
    <t>MEJORA RD</t>
  </si>
  <si>
    <t>MEJORA LC</t>
  </si>
  <si>
    <t>MEJORA (IAMC)</t>
  </si>
  <si>
    <t>ADMISIBILIDAD APELACIÓN</t>
  </si>
  <si>
    <t xml:space="preserve">PRODUCTO RESUELTO </t>
  </si>
  <si>
    <t>RESOLUTOR (EJEMPLO)</t>
  </si>
  <si>
    <t>PRODUCCIÓN PROMEDIO (EJEMPLO)</t>
  </si>
  <si>
    <t>PROGRAMACIÓN-AGOSTO 2024</t>
  </si>
  <si>
    <t>STOCK VENCIDOS</t>
  </si>
  <si>
    <t>VENCIDO +9 MESES</t>
  </si>
  <si>
    <t>9 MESES</t>
  </si>
  <si>
    <t>8 MESES</t>
  </si>
  <si>
    <t>7 MESES</t>
  </si>
  <si>
    <t>13 (*)</t>
  </si>
  <si>
    <r>
      <t>(</t>
    </r>
    <r>
      <rPr>
        <b/>
        <sz val="10"/>
        <color theme="1"/>
        <rFont val="Calibri Light"/>
        <family val="2"/>
        <scheme val="major"/>
      </rPr>
      <t>*) Reingresados</t>
    </r>
  </si>
  <si>
    <t>NO GESTIONABLE Y REINGRESADOS</t>
  </si>
  <si>
    <t>NO GESTIONABLE</t>
  </si>
  <si>
    <t xml:space="preserve">REINGRESADOS </t>
  </si>
  <si>
    <t>PRODUCTIVIDAD POR SUPERVISIÓN</t>
  </si>
  <si>
    <t>Supervisión</t>
  </si>
  <si>
    <t>Nombre y apellido</t>
  </si>
  <si>
    <t>Resolución aplicada</t>
  </si>
  <si>
    <t>Resolutor efectivo</t>
  </si>
  <si>
    <t>Complejidad</t>
  </si>
  <si>
    <t>Producción promedio</t>
  </si>
  <si>
    <t>7U7101</t>
  </si>
  <si>
    <t>Allison Castro</t>
  </si>
  <si>
    <t>7U7102</t>
  </si>
  <si>
    <t>Teresita Quezada</t>
  </si>
  <si>
    <t>7U7103</t>
  </si>
  <si>
    <t>Angelita Santillan</t>
  </si>
  <si>
    <t>7U7201</t>
  </si>
  <si>
    <t>Yessenia Salcedo</t>
  </si>
  <si>
    <t>7U7202</t>
  </si>
  <si>
    <t>7U7301</t>
  </si>
  <si>
    <t>Ellsworth Carpio</t>
  </si>
  <si>
    <t xml:space="preserve">                 </t>
  </si>
  <si>
    <t>PROYECTADO Y NO APLICADO</t>
  </si>
  <si>
    <t xml:space="preserve">Resolución proyectada </t>
  </si>
  <si>
    <r>
      <t>Resolución</t>
    </r>
    <r>
      <rPr>
        <b/>
        <u/>
        <sz val="10"/>
        <color rgb="FFFFFFFF"/>
        <rFont val="Calibri Light"/>
        <family val="2"/>
        <scheme val="major"/>
      </rPr>
      <t xml:space="preserve"> NO </t>
    </r>
    <r>
      <rPr>
        <b/>
        <sz val="10"/>
        <color rgb="FFFFFFFF"/>
        <rFont val="Calibri Light"/>
        <family val="2"/>
        <scheme val="major"/>
      </rPr>
      <t>aplicada</t>
    </r>
    <r>
      <rPr>
        <b/>
        <u/>
        <sz val="10"/>
        <color rgb="FFFFFFFF"/>
        <rFont val="Calibri Light"/>
        <family val="2"/>
        <scheme val="major"/>
      </rPr>
      <t xml:space="preserve"> </t>
    </r>
  </si>
  <si>
    <t xml:space="preserve">Motivo </t>
  </si>
  <si>
    <t>proyectos observados/ coordinación pendinete con áreas.</t>
  </si>
  <si>
    <t>-</t>
  </si>
  <si>
    <r>
      <t>Resolución</t>
    </r>
    <r>
      <rPr>
        <b/>
        <u/>
        <sz val="10"/>
        <color rgb="FFFFFFFF"/>
        <rFont val="Calibri Light"/>
        <family val="2"/>
        <scheme val="major"/>
      </rPr>
      <t xml:space="preserve"> </t>
    </r>
    <r>
      <rPr>
        <b/>
        <sz val="10"/>
        <color rgb="FFFFFFFF"/>
        <rFont val="Calibri Light"/>
        <family val="2"/>
        <scheme val="major"/>
      </rPr>
      <t>aplicada</t>
    </r>
    <r>
      <rPr>
        <b/>
        <u/>
        <sz val="10"/>
        <color rgb="FFFFFFFF"/>
        <rFont val="Calibri Light"/>
        <family val="2"/>
        <scheme val="major"/>
      </rPr>
      <t xml:space="preserve"> </t>
    </r>
  </si>
  <si>
    <t xml:space="preserve">      Motivo</t>
  </si>
  <si>
    <t>Motivo</t>
  </si>
  <si>
    <t>Producción por especialista:</t>
  </si>
  <si>
    <t>TOTAL PROYECTOS c/RD</t>
  </si>
  <si>
    <t>Medio</t>
  </si>
  <si>
    <t>Alto</t>
  </si>
  <si>
    <t>Muy alto</t>
  </si>
  <si>
    <t>ALLISON ERIKA, CASTRO LAGOS</t>
  </si>
  <si>
    <t>2900 CAROLINA MARCELA, CAVERO CARRION</t>
  </si>
  <si>
    <t>3085 EDGAR FERNANDO, COSIO JARA</t>
  </si>
  <si>
    <t>3284 ANA MARIA, DIAZ JURADO</t>
  </si>
  <si>
    <t>4469 MARIA LOURDES, HURTADO CUSTODIO</t>
  </si>
  <si>
    <t>4561 CESAR VICTOR, LINARES ALCANTARA</t>
  </si>
  <si>
    <t>5534 CELSO FELIX, SANCHEZ GARRIDO</t>
  </si>
  <si>
    <t>5565 VICTORIA AGUSTINA, SANTA CRUZ MARTINEZ</t>
  </si>
  <si>
    <t>8351 DEBRA SASHA, ARAOZ LAINES</t>
  </si>
  <si>
    <t>GLADYS ANGELITA, SANTILLAN VALDIVIA</t>
  </si>
  <si>
    <t>2858 JULIO RAMIRO, CASTAÑEDA CALDERON</t>
  </si>
  <si>
    <t>4770 MARITZA, MOLLINEDO CATUNTA</t>
  </si>
  <si>
    <t>5556 JORGE LUIS, SANCHEZ TORRES</t>
  </si>
  <si>
    <t>7330 TANIA ELENA, ROSALES OCHOA</t>
  </si>
  <si>
    <t>7611 AZHIR YUSSEF, SANDOVAL GUEVARA</t>
  </si>
  <si>
    <t>7661 LUIS ALBERTO, CORDOVA MEZA</t>
  </si>
  <si>
    <t>7674 ANDRES EDUARDO, ANGULO FARFAN</t>
  </si>
  <si>
    <t>TERESITA MILAGROS, QUEZADA VILLAR</t>
  </si>
  <si>
    <t>2968 MARIA LUISA, CHIRE TUNQUE</t>
  </si>
  <si>
    <t>3977 WILLIAN ARNALDO, GODOY ESCALANTE</t>
  </si>
  <si>
    <t>4504 HUGO ALBERTO, JIMENEZ SUCLLA</t>
  </si>
  <si>
    <t>4949 JAVIER GUSTAVO, OYARSE CRUZ</t>
  </si>
  <si>
    <t>7324 ZAIRA, CARBAJAL JARA</t>
  </si>
  <si>
    <t>8319 CARLA, VILCAPAZA AMARO</t>
  </si>
  <si>
    <t>Total general</t>
  </si>
  <si>
    <t>ITOP REPORTADOS-Agosto 2024</t>
  </si>
  <si>
    <t>Agosto</t>
  </si>
  <si>
    <t>N° ITOP</t>
  </si>
  <si>
    <t> ASUNTO</t>
  </si>
  <si>
    <t xml:space="preserve"> </t>
  </si>
  <si>
    <t>RESULTADOS DE RECLAMO</t>
  </si>
  <si>
    <t>ESTADO</t>
  </si>
  <si>
    <t>Total</t>
  </si>
  <si>
    <t>Infundado</t>
  </si>
  <si>
    <t>Fundado/F.P</t>
  </si>
  <si>
    <t>Nulidad</t>
  </si>
  <si>
    <t>Improcedente</t>
  </si>
  <si>
    <t>Desistimiento</t>
  </si>
  <si>
    <t>Otros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</si>
</sst>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1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b/>
      <sz val="12"/>
      <color theme="1"/>
      <name val="Calibri Light"/>
      <family val="2"/>
      <scheme val="major"/>
    </font>
    <font>
      <b/>
      <sz val="10"/>
      <color rgb="FF000000"/>
      <name val="Calibri Light"/>
      <family val="2"/>
      <scheme val="major"/>
    </font>
    <font>
      <sz val="10"/>
      <color rgb="FF000000"/>
      <name val="Calibri Light"/>
      <family val="2"/>
      <scheme val="major"/>
    </font>
    <font>
      <sz val="10"/>
      <color theme="1"/>
      <name val="Calibri Light"/>
      <family val="2"/>
      <scheme val="major"/>
    </font>
    <font>
      <b/>
      <sz val="10"/>
      <color rgb="FFFFFFFF"/>
      <name val="Calibri Light"/>
      <family val="2"/>
      <scheme val="major"/>
    </font>
    <font>
      <b/>
      <sz val="10"/>
      <color theme="1"/>
      <name val="Calibri Light"/>
      <family val="2"/>
      <scheme val="major"/>
    </font>
    <font>
      <sz val="10"/>
      <name val="Calibri Light"/>
      <family val="2"/>
      <scheme val="major"/>
    </font>
    <font>
      <b/>
      <sz val="10"/>
      <color theme="0"/>
      <name val="Calibri Light"/>
      <family val="2"/>
      <scheme val="major"/>
    </font>
    <font>
      <b/>
      <sz val="10"/>
      <color rgb="FF833C0C"/>
      <name val="Calibri Light"/>
      <family val="2"/>
      <scheme val="major"/>
    </font>
    <font>
      <b/>
      <u/>
      <sz val="10"/>
      <color rgb="FFFFFFFF"/>
      <name val="Calibri Light"/>
      <family val="2"/>
      <scheme val="major"/>
    </font>
    <font>
      <sz val="12"/>
      <color theme="1"/>
      <name val="Calibri Light"/>
      <family val="2"/>
      <scheme val="major"/>
    </font>
    <font>
      <b/>
      <sz val="12"/>
      <color theme="0"/>
      <name val="Calibri Light"/>
      <family val="2"/>
    </font>
    <font>
      <b/>
      <sz val="14"/>
      <name val="Calibri Light"/>
      <family val="2"/>
    </font>
    <font>
      <b/>
      <sz val="12"/>
      <color rgb="FF000000"/>
      <name val="Calibri Light"/>
      <family val="2"/>
    </font>
    <font>
      <b/>
      <sz val="11"/>
      <color theme="1"/>
      <name val="Calibri Light"/>
      <family val="2"/>
      <scheme val="major"/>
    </font>
    <font>
      <b/>
      <sz val="10"/>
      <color theme="1"/>
      <name val="Arial Narrow"/>
      <family val="2"/>
    </font>
    <font>
      <b/>
      <sz val="10"/>
      <name val="Calibri Light"/>
      <family val="2"/>
      <scheme val="major"/>
    </font>
    <font>
      <b/>
      <sz val="11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3"/>
      <color rgb="FF0070C0"/>
      <name val="Calibri"/>
      <family val="2"/>
      <scheme val="minor"/>
    </font>
    <font>
      <sz val="1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5B9BD5"/>
        <bgColor indexed="64"/>
      </patternFill>
    </fill>
    <fill>
      <patternFill patternType="solid">
        <fgColor rgb="FFDEEAF6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9DC3E6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C5E0B4"/>
        <bgColor indexed="64"/>
      </patternFill>
    </fill>
    <fill>
      <patternFill patternType="solid">
        <fgColor rgb="FFBDD6EE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E8CB"/>
        <bgColor indexed="64"/>
      </patternFill>
    </fill>
    <fill>
      <patternFill patternType="solid">
        <fgColor rgb="FFFFF4E7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C5E0B3"/>
        <bgColor indexed="64"/>
      </patternFill>
    </fill>
    <fill>
      <patternFill patternType="solid">
        <fgColor rgb="FFFFE59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BF1E9"/>
        <bgColor indexed="64"/>
      </patternFill>
    </fill>
    <fill>
      <patternFill patternType="solid">
        <fgColor theme="8" tint="0.79998168889431442"/>
        <bgColor indexed="64"/>
      </patternFill>
    </fill>
  </fills>
  <borders count="60">
    <border>
      <left/>
      <right/>
      <top/>
      <bottom/>
      <diagonal/>
    </border>
    <border>
      <left style="medium">
        <color rgb="FF5B9BD5"/>
      </left>
      <right/>
      <top style="medium">
        <color rgb="FF5B9BD5"/>
      </top>
      <bottom style="medium">
        <color rgb="FF5B9BD5"/>
      </bottom>
      <diagonal/>
    </border>
    <border>
      <left/>
      <right style="medium">
        <color rgb="FF5B9BD5"/>
      </right>
      <top style="medium">
        <color rgb="FF5B9BD5"/>
      </top>
      <bottom style="medium">
        <color rgb="FF5B9BD5"/>
      </bottom>
      <diagonal/>
    </border>
    <border>
      <left style="medium">
        <color rgb="FF9CC2E5"/>
      </left>
      <right style="medium">
        <color rgb="FF9CC2E5"/>
      </right>
      <top style="medium">
        <color rgb="FF5B9BD5"/>
      </top>
      <bottom style="medium">
        <color rgb="FF9CC2E5"/>
      </bottom>
      <diagonal/>
    </border>
    <border>
      <left style="medium">
        <color rgb="FF9CC2E5"/>
      </left>
      <right style="medium">
        <color rgb="FF9CC2E5"/>
      </right>
      <top style="medium">
        <color rgb="FF9CC2E5"/>
      </top>
      <bottom style="medium">
        <color rgb="FF9CC2E5"/>
      </bottom>
      <diagonal/>
    </border>
    <border>
      <left style="medium">
        <color theme="8" tint="0.39994506668294322"/>
      </left>
      <right/>
      <top style="medium">
        <color theme="8" tint="0.39994506668294322"/>
      </top>
      <bottom style="medium">
        <color theme="8" tint="0.39994506668294322"/>
      </bottom>
      <diagonal/>
    </border>
    <border>
      <left style="medium">
        <color theme="8" tint="0.39994506668294322"/>
      </left>
      <right style="medium">
        <color rgb="FF8EAADB"/>
      </right>
      <top style="medium">
        <color theme="8" tint="0.39994506668294322"/>
      </top>
      <bottom style="medium">
        <color theme="8" tint="0.39994506668294322"/>
      </bottom>
      <diagonal/>
    </border>
    <border>
      <left/>
      <right style="medium">
        <color theme="8" tint="0.39994506668294322"/>
      </right>
      <top/>
      <bottom style="medium">
        <color theme="8" tint="0.39994506668294322"/>
      </bottom>
      <diagonal/>
    </border>
    <border>
      <left style="medium">
        <color rgb="FF9CC2E5"/>
      </left>
      <right style="medium">
        <color theme="8" tint="0.39994506668294322"/>
      </right>
      <top style="medium">
        <color theme="8" tint="0.39994506668294322"/>
      </top>
      <bottom style="medium">
        <color theme="8" tint="0.39994506668294322"/>
      </bottom>
      <diagonal/>
    </border>
    <border>
      <left/>
      <right style="medium">
        <color theme="8" tint="0.39994506668294322"/>
      </right>
      <top style="medium">
        <color theme="8" tint="0.39994506668294322"/>
      </top>
      <bottom style="medium">
        <color theme="8" tint="0.39994506668294322"/>
      </bottom>
      <diagonal/>
    </border>
    <border>
      <left style="medium">
        <color rgb="FFFFFFFF"/>
      </left>
      <right/>
      <top style="medium">
        <color rgb="FFFFFFFF"/>
      </top>
      <bottom style="medium">
        <color rgb="FFFFFFFF"/>
      </bottom>
      <diagonal/>
    </border>
    <border>
      <left/>
      <right/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/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indexed="64"/>
      </left>
      <right/>
      <top style="medium">
        <color indexed="64"/>
      </top>
      <bottom style="medium">
        <color rgb="FFFFFFFF"/>
      </bottom>
      <diagonal/>
    </border>
    <border>
      <left/>
      <right/>
      <top style="medium">
        <color indexed="64"/>
      </top>
      <bottom style="medium">
        <color rgb="FFFFFFFF"/>
      </bottom>
      <diagonal/>
    </border>
    <border>
      <left/>
      <right style="medium">
        <color indexed="64"/>
      </right>
      <top style="medium">
        <color indexed="64"/>
      </top>
      <bottom style="medium">
        <color rgb="FFFFFFFF"/>
      </bottom>
      <diagonal/>
    </border>
    <border>
      <left style="medium">
        <color indexed="64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/>
      <right style="medium">
        <color indexed="64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indexed="64"/>
      </right>
      <top style="medium">
        <color rgb="FFFFFFFF"/>
      </top>
      <bottom style="medium">
        <color rgb="FFFFFFFF"/>
      </bottom>
      <diagonal/>
    </border>
    <border>
      <left style="medium">
        <color indexed="64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indexed="64"/>
      </right>
      <top style="medium">
        <color rgb="FFFFFFFF"/>
      </top>
      <bottom/>
      <diagonal/>
    </border>
    <border>
      <left style="medium">
        <color indexed="64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indexed="64"/>
      </right>
      <top/>
      <bottom style="medium">
        <color rgb="FFFFFFFF"/>
      </bottom>
      <diagonal/>
    </border>
    <border>
      <left style="medium">
        <color indexed="64"/>
      </left>
      <right style="medium">
        <color rgb="FFFFFFFF"/>
      </right>
      <top style="medium">
        <color rgb="FFFFFFFF"/>
      </top>
      <bottom style="medium">
        <color indexed="64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indexed="64"/>
      </bottom>
      <diagonal/>
    </border>
    <border>
      <left style="medium">
        <color rgb="FFFFFFFF"/>
      </left>
      <right style="medium">
        <color indexed="64"/>
      </right>
      <top style="medium">
        <color rgb="FFFFFFFF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rgb="FF9CC2E5"/>
      </left>
      <right style="medium">
        <color indexed="64"/>
      </right>
      <top style="medium">
        <color indexed="64"/>
      </top>
      <bottom style="medium">
        <color rgb="FF9CC2E5"/>
      </bottom>
      <diagonal/>
    </border>
    <border>
      <left style="medium">
        <color rgb="FF9CC2E5"/>
      </left>
      <right style="medium">
        <color indexed="64"/>
      </right>
      <top style="medium">
        <color rgb="FF9CC2E5"/>
      </top>
      <bottom style="medium">
        <color rgb="FF9CC2E5"/>
      </bottom>
      <diagonal/>
    </border>
    <border>
      <left style="medium">
        <color rgb="FF9CC2E5"/>
      </left>
      <right style="medium">
        <color indexed="64"/>
      </right>
      <top style="medium">
        <color rgb="FF9CC2E5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9CC2E5"/>
      </bottom>
      <diagonal/>
    </border>
    <border>
      <left style="medium">
        <color rgb="FF000000"/>
      </left>
      <right style="medium">
        <color rgb="FF000000"/>
      </right>
      <top style="medium">
        <color rgb="FF9CC2E5"/>
      </top>
      <bottom style="medium">
        <color rgb="FF9CC2E5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9CC2E5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70AD47"/>
      </left>
      <right style="medium">
        <color rgb="FF70AD47"/>
      </right>
      <top style="medium">
        <color rgb="FF70AD47"/>
      </top>
      <bottom style="medium">
        <color rgb="FF70AD47"/>
      </bottom>
      <diagonal/>
    </border>
    <border>
      <left style="medium">
        <color rgb="FF70AD47"/>
      </left>
      <right style="medium">
        <color rgb="FF70AD47"/>
      </right>
      <top style="medium">
        <color rgb="FF70AD47"/>
      </top>
      <bottom/>
      <diagonal/>
    </border>
    <border>
      <left style="medium">
        <color rgb="FF70AD47"/>
      </left>
      <right style="medium">
        <color rgb="FF70AD47"/>
      </right>
      <top/>
      <bottom/>
      <diagonal/>
    </border>
    <border>
      <left style="medium">
        <color rgb="FF70AD47"/>
      </left>
      <right style="medium">
        <color rgb="FF70AD47"/>
      </right>
      <top/>
      <bottom style="medium">
        <color rgb="FF70AD4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rgb="FF9CC2E5"/>
      </left>
      <right style="medium">
        <color rgb="FF9CC2E5"/>
      </right>
      <top/>
      <bottom style="medium">
        <color rgb="FF9CC2E5"/>
      </bottom>
      <diagonal/>
    </border>
    <border>
      <left/>
      <right style="medium">
        <color rgb="FF9CC2E5"/>
      </right>
      <top/>
      <bottom style="medium">
        <color rgb="FF9CC2E5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03">
    <xf numFmtId="0" fontId="0" fillId="0" borderId="0" xfId="0"/>
    <xf numFmtId="0" fontId="1" fillId="0" borderId="0" xfId="0" applyFont="1"/>
    <xf numFmtId="0" fontId="2" fillId="0" borderId="0" xfId="0" applyFont="1"/>
    <xf numFmtId="0" fontId="3" fillId="6" borderId="20" xfId="0" applyFont="1" applyFill="1" applyBorder="1" applyAlignment="1">
      <alignment horizontal="center" vertical="center" wrapText="1" readingOrder="1"/>
    </xf>
    <xf numFmtId="0" fontId="3" fillId="7" borderId="12" xfId="0" applyFont="1" applyFill="1" applyBorder="1" applyAlignment="1">
      <alignment horizontal="center" vertical="center" wrapText="1" readingOrder="1"/>
    </xf>
    <xf numFmtId="0" fontId="3" fillId="8" borderId="12" xfId="0" applyFont="1" applyFill="1" applyBorder="1" applyAlignment="1">
      <alignment horizontal="center" vertical="center" wrapText="1" readingOrder="1"/>
    </xf>
    <xf numFmtId="0" fontId="3" fillId="9" borderId="12" xfId="0" applyFont="1" applyFill="1" applyBorder="1" applyAlignment="1">
      <alignment horizontal="center" vertical="center" wrapText="1" readingOrder="1"/>
    </xf>
    <xf numFmtId="0" fontId="3" fillId="9" borderId="22" xfId="0" applyFont="1" applyFill="1" applyBorder="1" applyAlignment="1">
      <alignment horizontal="center" vertical="center" wrapText="1" readingOrder="1"/>
    </xf>
    <xf numFmtId="0" fontId="4" fillId="7" borderId="14" xfId="0" applyFont="1" applyFill="1" applyBorder="1" applyAlignment="1">
      <alignment horizontal="center" vertical="center" wrapText="1" readingOrder="1"/>
    </xf>
    <xf numFmtId="0" fontId="4" fillId="8" borderId="14" xfId="0" applyFont="1" applyFill="1" applyBorder="1" applyAlignment="1">
      <alignment horizontal="center" vertical="center" wrapText="1" readingOrder="1"/>
    </xf>
    <xf numFmtId="0" fontId="4" fillId="8" borderId="14" xfId="0" applyFont="1" applyFill="1" applyBorder="1" applyAlignment="1">
      <alignment horizontal="left" vertical="center" wrapText="1" readingOrder="1"/>
    </xf>
    <xf numFmtId="0" fontId="4" fillId="7" borderId="15" xfId="0" applyFont="1" applyFill="1" applyBorder="1" applyAlignment="1">
      <alignment horizontal="center" vertical="center" wrapText="1" readingOrder="1"/>
    </xf>
    <xf numFmtId="0" fontId="4" fillId="8" borderId="15" xfId="0" applyFont="1" applyFill="1" applyBorder="1" applyAlignment="1">
      <alignment horizontal="center" vertical="center" wrapText="1" readingOrder="1"/>
    </xf>
    <xf numFmtId="0" fontId="4" fillId="8" borderId="15" xfId="0" applyFont="1" applyFill="1" applyBorder="1" applyAlignment="1">
      <alignment horizontal="left" vertical="center" wrapText="1" readingOrder="1"/>
    </xf>
    <xf numFmtId="0" fontId="5" fillId="7" borderId="15" xfId="0" applyFont="1" applyFill="1" applyBorder="1" applyAlignment="1">
      <alignment horizontal="center" vertical="center" wrapText="1"/>
    </xf>
    <xf numFmtId="0" fontId="5" fillId="8" borderId="15" xfId="0" applyFont="1" applyFill="1" applyBorder="1" applyAlignment="1">
      <alignment horizontal="center" vertical="center" wrapText="1"/>
    </xf>
    <xf numFmtId="0" fontId="5" fillId="7" borderId="16" xfId="0" applyFont="1" applyFill="1" applyBorder="1" applyAlignment="1">
      <alignment horizontal="center" vertical="center" wrapText="1"/>
    </xf>
    <xf numFmtId="0" fontId="5" fillId="8" borderId="16" xfId="0" applyFont="1" applyFill="1" applyBorder="1" applyAlignment="1">
      <alignment horizontal="center" vertical="center" wrapText="1"/>
    </xf>
    <xf numFmtId="0" fontId="4" fillId="8" borderId="16" xfId="0" applyFont="1" applyFill="1" applyBorder="1" applyAlignment="1">
      <alignment horizontal="left" vertical="center" wrapText="1" readingOrder="1"/>
    </xf>
    <xf numFmtId="0" fontId="4" fillId="7" borderId="12" xfId="0" applyFont="1" applyFill="1" applyBorder="1" applyAlignment="1">
      <alignment horizontal="center" vertical="center" wrapText="1" readingOrder="1"/>
    </xf>
    <xf numFmtId="0" fontId="4" fillId="8" borderId="12" xfId="0" applyFont="1" applyFill="1" applyBorder="1" applyAlignment="1">
      <alignment horizontal="center" vertical="center" wrapText="1" readingOrder="1"/>
    </xf>
    <xf numFmtId="0" fontId="4" fillId="9" borderId="12" xfId="0" applyFont="1" applyFill="1" applyBorder="1" applyAlignment="1">
      <alignment horizontal="center" vertical="center" wrapText="1" readingOrder="1"/>
    </xf>
    <xf numFmtId="16" fontId="4" fillId="9" borderId="22" xfId="0" applyNumberFormat="1" applyFont="1" applyFill="1" applyBorder="1" applyAlignment="1">
      <alignment horizontal="center" vertical="center" wrapText="1" readingOrder="1"/>
    </xf>
    <xf numFmtId="0" fontId="3" fillId="6" borderId="29" xfId="0" applyFont="1" applyFill="1" applyBorder="1" applyAlignment="1">
      <alignment horizontal="center" vertical="center" wrapText="1" readingOrder="1"/>
    </xf>
    <xf numFmtId="0" fontId="4" fillId="7" borderId="30" xfId="0" applyFont="1" applyFill="1" applyBorder="1" applyAlignment="1">
      <alignment horizontal="center" vertical="center" wrapText="1" readingOrder="1"/>
    </xf>
    <xf numFmtId="0" fontId="4" fillId="8" borderId="30" xfId="0" applyFont="1" applyFill="1" applyBorder="1" applyAlignment="1">
      <alignment horizontal="center" vertical="center" wrapText="1" readingOrder="1"/>
    </xf>
    <xf numFmtId="0" fontId="4" fillId="9" borderId="30" xfId="0" applyFont="1" applyFill="1" applyBorder="1" applyAlignment="1">
      <alignment horizontal="center" vertical="center" wrapText="1" readingOrder="1"/>
    </xf>
    <xf numFmtId="0" fontId="4" fillId="9" borderId="31" xfId="0" applyFont="1" applyFill="1" applyBorder="1" applyAlignment="1">
      <alignment horizontal="center" vertical="center" wrapText="1" readingOrder="1"/>
    </xf>
    <xf numFmtId="0" fontId="6" fillId="2" borderId="38" xfId="0" applyFont="1" applyFill="1" applyBorder="1" applyAlignment="1">
      <alignment horizontal="center" vertical="center" wrapText="1" readingOrder="1"/>
    </xf>
    <xf numFmtId="0" fontId="3" fillId="3" borderId="39" xfId="0" applyFont="1" applyFill="1" applyBorder="1" applyAlignment="1">
      <alignment horizontal="center" vertical="center" wrapText="1" readingOrder="1"/>
    </xf>
    <xf numFmtId="0" fontId="3" fillId="3" borderId="41" xfId="0" applyFont="1" applyFill="1" applyBorder="1" applyAlignment="1">
      <alignment horizontal="center" vertical="center" wrapText="1" readingOrder="1"/>
    </xf>
    <xf numFmtId="0" fontId="3" fillId="0" borderId="40" xfId="0" applyFont="1" applyBorder="1" applyAlignment="1">
      <alignment horizontal="center" vertical="center" wrapText="1" readingOrder="1"/>
    </xf>
    <xf numFmtId="0" fontId="5" fillId="0" borderId="0" xfId="0" applyFont="1"/>
    <xf numFmtId="0" fontId="7" fillId="0" borderId="0" xfId="0" applyFont="1" applyAlignment="1">
      <alignment horizontal="center"/>
    </xf>
    <xf numFmtId="0" fontId="4" fillId="3" borderId="3" xfId="0" applyFont="1" applyFill="1" applyBorder="1" applyAlignment="1">
      <alignment horizontal="left" vertical="center" wrapText="1" readingOrder="1"/>
    </xf>
    <xf numFmtId="0" fontId="3" fillId="3" borderId="3" xfId="0" applyFont="1" applyFill="1" applyBorder="1" applyAlignment="1">
      <alignment horizontal="center" vertical="center" wrapText="1" readingOrder="1"/>
    </xf>
    <xf numFmtId="0" fontId="4" fillId="0" borderId="4" xfId="0" applyFont="1" applyBorder="1" applyAlignment="1">
      <alignment horizontal="left" vertical="center" wrapText="1" readingOrder="1"/>
    </xf>
    <xf numFmtId="0" fontId="3" fillId="0" borderId="4" xfId="0" applyFont="1" applyBorder="1" applyAlignment="1">
      <alignment horizontal="center" vertical="center" wrapText="1" readingOrder="1"/>
    </xf>
    <xf numFmtId="0" fontId="4" fillId="3" borderId="4" xfId="0" applyFont="1" applyFill="1" applyBorder="1" applyAlignment="1">
      <alignment horizontal="left" vertical="center" wrapText="1" readingOrder="1"/>
    </xf>
    <xf numFmtId="0" fontId="3" fillId="3" borderId="4" xfId="0" applyFont="1" applyFill="1" applyBorder="1" applyAlignment="1">
      <alignment horizontal="center" vertical="center" wrapText="1" readingOrder="1"/>
    </xf>
    <xf numFmtId="0" fontId="6" fillId="2" borderId="5" xfId="0" applyFont="1" applyFill="1" applyBorder="1" applyAlignment="1">
      <alignment horizontal="left" vertical="center" wrapText="1"/>
    </xf>
    <xf numFmtId="0" fontId="3" fillId="4" borderId="6" xfId="0" applyFont="1" applyFill="1" applyBorder="1" applyAlignment="1">
      <alignment vertical="center" wrapText="1"/>
    </xf>
    <xf numFmtId="0" fontId="4" fillId="3" borderId="8" xfId="0" applyFont="1" applyFill="1" applyBorder="1" applyAlignment="1">
      <alignment horizontal="center" vertical="center" wrapText="1" readingOrder="1"/>
    </xf>
    <xf numFmtId="0" fontId="3" fillId="0" borderId="6" xfId="0" applyFont="1" applyBorder="1" applyAlignment="1">
      <alignment vertical="center" wrapText="1"/>
    </xf>
    <xf numFmtId="0" fontId="4" fillId="0" borderId="8" xfId="0" applyFont="1" applyBorder="1" applyAlignment="1">
      <alignment horizontal="center" vertical="center" wrapText="1" readingOrder="1"/>
    </xf>
    <xf numFmtId="2" fontId="3" fillId="3" borderId="8" xfId="0" applyNumberFormat="1" applyFont="1" applyFill="1" applyBorder="1" applyAlignment="1">
      <alignment horizontal="center" vertical="center" wrapText="1" readingOrder="1"/>
    </xf>
    <xf numFmtId="0" fontId="4" fillId="3" borderId="9" xfId="0" applyFont="1" applyFill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2" fontId="3" fillId="3" borderId="9" xfId="0" applyNumberFormat="1" applyFont="1" applyFill="1" applyBorder="1" applyAlignment="1">
      <alignment horizontal="center" vertical="center" wrapText="1"/>
    </xf>
    <xf numFmtId="0" fontId="9" fillId="2" borderId="34" xfId="0" applyFont="1" applyFill="1" applyBorder="1" applyAlignment="1">
      <alignment horizontal="center" vertical="center" wrapText="1"/>
    </xf>
    <xf numFmtId="0" fontId="9" fillId="2" borderId="32" xfId="0" applyFont="1" applyFill="1" applyBorder="1" applyAlignment="1">
      <alignment horizontal="center" vertical="center" wrapText="1"/>
    </xf>
    <xf numFmtId="0" fontId="10" fillId="0" borderId="36" xfId="0" applyFont="1" applyBorder="1" applyAlignment="1">
      <alignment horizontal="center" vertical="center" wrapText="1" readingOrder="1"/>
    </xf>
    <xf numFmtId="0" fontId="9" fillId="2" borderId="33" xfId="0" applyFont="1" applyFill="1" applyBorder="1" applyAlignment="1">
      <alignment horizontal="center" vertical="center" wrapText="1"/>
    </xf>
    <xf numFmtId="0" fontId="10" fillId="3" borderId="37" xfId="0" applyFont="1" applyFill="1" applyBorder="1" applyAlignment="1">
      <alignment horizontal="center" vertical="center" wrapText="1" readingOrder="1"/>
    </xf>
    <xf numFmtId="0" fontId="3" fillId="3" borderId="3" xfId="0" applyFont="1" applyFill="1" applyBorder="1" applyAlignment="1">
      <alignment horizontal="left" vertical="center" wrapText="1" readingOrder="1"/>
    </xf>
    <xf numFmtId="0" fontId="3" fillId="0" borderId="4" xfId="0" applyFont="1" applyBorder="1" applyAlignment="1">
      <alignment horizontal="left" vertical="center" wrapText="1" readingOrder="1"/>
    </xf>
    <xf numFmtId="0" fontId="3" fillId="3" borderId="4" xfId="0" applyFont="1" applyFill="1" applyBorder="1" applyAlignment="1">
      <alignment horizontal="left" vertical="center" wrapText="1" readingOrder="1"/>
    </xf>
    <xf numFmtId="0" fontId="6" fillId="2" borderId="10" xfId="0" applyFont="1" applyFill="1" applyBorder="1" applyAlignment="1">
      <alignment horizontal="center" vertical="center" wrapText="1" readingOrder="1"/>
    </xf>
    <xf numFmtId="0" fontId="6" fillId="2" borderId="11" xfId="0" applyFont="1" applyFill="1" applyBorder="1" applyAlignment="1">
      <alignment horizontal="center" vertical="center" wrapText="1" readingOrder="1"/>
    </xf>
    <xf numFmtId="0" fontId="6" fillId="2" borderId="13" xfId="0" applyFont="1" applyFill="1" applyBorder="1" applyAlignment="1">
      <alignment horizontal="center" vertical="center" wrapText="1" readingOrder="1"/>
    </xf>
    <xf numFmtId="0" fontId="6" fillId="2" borderId="12" xfId="0" applyFont="1" applyFill="1" applyBorder="1" applyAlignment="1">
      <alignment horizontal="center" vertical="center" wrapText="1" readingOrder="1"/>
    </xf>
    <xf numFmtId="0" fontId="4" fillId="10" borderId="12" xfId="0" applyFont="1" applyFill="1" applyBorder="1" applyAlignment="1">
      <alignment horizontal="left" vertical="center" wrapText="1" readingOrder="1"/>
    </xf>
    <xf numFmtId="0" fontId="4" fillId="10" borderId="12" xfId="0" applyFont="1" applyFill="1" applyBorder="1" applyAlignment="1">
      <alignment horizontal="center" vertical="center" wrapText="1" readingOrder="1"/>
    </xf>
    <xf numFmtId="0" fontId="4" fillId="3" borderId="12" xfId="0" applyFont="1" applyFill="1" applyBorder="1" applyAlignment="1">
      <alignment horizontal="left" vertical="center" wrapText="1" readingOrder="1"/>
    </xf>
    <xf numFmtId="0" fontId="4" fillId="3" borderId="12" xfId="0" applyFont="1" applyFill="1" applyBorder="1" applyAlignment="1">
      <alignment horizontal="center" vertical="center" wrapText="1" readingOrder="1"/>
    </xf>
    <xf numFmtId="0" fontId="6" fillId="11" borderId="42" xfId="0" applyFont="1" applyFill="1" applyBorder="1" applyAlignment="1">
      <alignment horizontal="center" vertical="center" wrapText="1" readingOrder="1"/>
    </xf>
    <xf numFmtId="0" fontId="6" fillId="11" borderId="42" xfId="0" applyFont="1" applyFill="1" applyBorder="1" applyAlignment="1">
      <alignment horizontal="left" vertical="center" wrapText="1" readingOrder="1"/>
    </xf>
    <xf numFmtId="0" fontId="6" fillId="11" borderId="43" xfId="0" applyFont="1" applyFill="1" applyBorder="1" applyAlignment="1">
      <alignment horizontal="center" vertical="center" wrapText="1" readingOrder="1"/>
    </xf>
    <xf numFmtId="0" fontId="4" fillId="12" borderId="43" xfId="0" applyFont="1" applyFill="1" applyBorder="1" applyAlignment="1">
      <alignment horizontal="left" vertical="center" wrapText="1" readingOrder="1"/>
    </xf>
    <xf numFmtId="0" fontId="4" fillId="12" borderId="43" xfId="0" applyFont="1" applyFill="1" applyBorder="1" applyAlignment="1">
      <alignment horizontal="center" vertical="center" wrapText="1" readingOrder="1"/>
    </xf>
    <xf numFmtId="0" fontId="4" fillId="13" borderId="14" xfId="0" applyFont="1" applyFill="1" applyBorder="1" applyAlignment="1">
      <alignment horizontal="center" vertical="center" wrapText="1" readingOrder="1"/>
    </xf>
    <xf numFmtId="0" fontId="4" fillId="13" borderId="16" xfId="0" applyFont="1" applyFill="1" applyBorder="1" applyAlignment="1">
      <alignment horizontal="center" vertical="center" wrapText="1" readingOrder="1"/>
    </xf>
    <xf numFmtId="0" fontId="6" fillId="14" borderId="10" xfId="0" applyFont="1" applyFill="1" applyBorder="1" applyAlignment="1">
      <alignment horizontal="center" vertical="center" wrapText="1" readingOrder="1"/>
    </xf>
    <xf numFmtId="0" fontId="6" fillId="14" borderId="11" xfId="0" applyFont="1" applyFill="1" applyBorder="1" applyAlignment="1">
      <alignment horizontal="left" vertical="center" wrapText="1" readingOrder="1"/>
    </xf>
    <xf numFmtId="0" fontId="6" fillId="14" borderId="11" xfId="0" applyFont="1" applyFill="1" applyBorder="1" applyAlignment="1">
      <alignment horizontal="center" vertical="center" wrapText="1" readingOrder="1"/>
    </xf>
    <xf numFmtId="0" fontId="6" fillId="14" borderId="13" xfId="0" applyFont="1" applyFill="1" applyBorder="1" applyAlignment="1">
      <alignment horizontal="left" vertical="center" wrapText="1" readingOrder="1"/>
    </xf>
    <xf numFmtId="0" fontId="4" fillId="15" borderId="14" xfId="0" applyFont="1" applyFill="1" applyBorder="1" applyAlignment="1">
      <alignment horizontal="left" vertical="center" wrapText="1" readingOrder="1"/>
    </xf>
    <xf numFmtId="0" fontId="4" fillId="15" borderId="14" xfId="0" applyFont="1" applyFill="1" applyBorder="1" applyAlignment="1">
      <alignment horizontal="center" vertical="center" wrapText="1" readingOrder="1"/>
    </xf>
    <xf numFmtId="0" fontId="4" fillId="15" borderId="15" xfId="0" applyFont="1" applyFill="1" applyBorder="1" applyAlignment="1">
      <alignment horizontal="left" vertical="center" wrapText="1" readingOrder="1"/>
    </xf>
    <xf numFmtId="0" fontId="4" fillId="15" borderId="15" xfId="0" applyFont="1" applyFill="1" applyBorder="1" applyAlignment="1">
      <alignment horizontal="center" vertical="center" wrapText="1" readingOrder="1"/>
    </xf>
    <xf numFmtId="0" fontId="4" fillId="15" borderId="16" xfId="0" applyFont="1" applyFill="1" applyBorder="1" applyAlignment="1">
      <alignment horizontal="left" vertical="center" wrapText="1" readingOrder="1"/>
    </xf>
    <xf numFmtId="0" fontId="5" fillId="15" borderId="16" xfId="0" applyFont="1" applyFill="1" applyBorder="1" applyAlignment="1">
      <alignment horizontal="center" vertical="top" wrapText="1"/>
    </xf>
    <xf numFmtId="0" fontId="6" fillId="11" borderId="10" xfId="0" applyFont="1" applyFill="1" applyBorder="1" applyAlignment="1">
      <alignment horizontal="left" vertical="center" wrapText="1" readingOrder="1"/>
    </xf>
    <xf numFmtId="0" fontId="6" fillId="11" borderId="11" xfId="0" applyFont="1" applyFill="1" applyBorder="1" applyAlignment="1">
      <alignment horizontal="center" vertical="center" wrapText="1" readingOrder="1"/>
    </xf>
    <xf numFmtId="0" fontId="6" fillId="11" borderId="13" xfId="0" applyFont="1" applyFill="1" applyBorder="1" applyAlignment="1">
      <alignment horizontal="center" vertical="center" wrapText="1" readingOrder="1"/>
    </xf>
    <xf numFmtId="0" fontId="6" fillId="11" borderId="12" xfId="0" applyFont="1" applyFill="1" applyBorder="1" applyAlignment="1">
      <alignment horizontal="center" vertical="center" wrapText="1" readingOrder="1"/>
    </xf>
    <xf numFmtId="0" fontId="4" fillId="16" borderId="12" xfId="0" applyFont="1" applyFill="1" applyBorder="1" applyAlignment="1">
      <alignment horizontal="left" vertical="center" wrapText="1" readingOrder="1"/>
    </xf>
    <xf numFmtId="0" fontId="4" fillId="16" borderId="12" xfId="0" applyFont="1" applyFill="1" applyBorder="1" applyAlignment="1">
      <alignment horizontal="center" vertical="center" wrapText="1" readingOrder="1"/>
    </xf>
    <xf numFmtId="0" fontId="4" fillId="17" borderId="12" xfId="0" applyFont="1" applyFill="1" applyBorder="1" applyAlignment="1">
      <alignment horizontal="left" vertical="center" wrapText="1" readingOrder="1"/>
    </xf>
    <xf numFmtId="0" fontId="4" fillId="17" borderId="12" xfId="0" applyFont="1" applyFill="1" applyBorder="1" applyAlignment="1">
      <alignment horizontal="center" vertical="center" wrapText="1" readingOrder="1"/>
    </xf>
    <xf numFmtId="0" fontId="6" fillId="14" borderId="10" xfId="0" applyFont="1" applyFill="1" applyBorder="1" applyAlignment="1">
      <alignment horizontal="left" vertical="center" wrapText="1" readingOrder="1"/>
    </xf>
    <xf numFmtId="0" fontId="6" fillId="14" borderId="13" xfId="0" applyFont="1" applyFill="1" applyBorder="1" applyAlignment="1">
      <alignment horizontal="center" vertical="center" wrapText="1" readingOrder="1"/>
    </xf>
    <xf numFmtId="0" fontId="6" fillId="14" borderId="12" xfId="0" applyFont="1" applyFill="1" applyBorder="1" applyAlignment="1">
      <alignment horizontal="center" vertical="center" wrapText="1" readingOrder="1"/>
    </xf>
    <xf numFmtId="0" fontId="4" fillId="15" borderId="12" xfId="0" applyFont="1" applyFill="1" applyBorder="1" applyAlignment="1">
      <alignment horizontal="left" vertical="center" wrapText="1" readingOrder="1"/>
    </xf>
    <xf numFmtId="0" fontId="4" fillId="15" borderId="12" xfId="0" applyFont="1" applyFill="1" applyBorder="1" applyAlignment="1">
      <alignment horizontal="center" vertical="center" wrapText="1" readingOrder="1"/>
    </xf>
    <xf numFmtId="0" fontId="8" fillId="15" borderId="12" xfId="0" applyFont="1" applyFill="1" applyBorder="1" applyAlignment="1">
      <alignment horizontal="center" vertical="top" wrapText="1"/>
    </xf>
    <xf numFmtId="0" fontId="3" fillId="18" borderId="48" xfId="0" applyFont="1" applyFill="1" applyBorder="1" applyAlignment="1">
      <alignment horizontal="left" vertical="center" wrapText="1" readingOrder="1"/>
    </xf>
    <xf numFmtId="0" fontId="3" fillId="0" borderId="47" xfId="0" applyFont="1" applyBorder="1" applyAlignment="1">
      <alignment horizontal="left" vertical="center" wrapText="1" readingOrder="1"/>
    </xf>
    <xf numFmtId="0" fontId="3" fillId="0" borderId="47" xfId="0" applyFont="1" applyBorder="1" applyAlignment="1">
      <alignment horizontal="center" vertical="center" wrapText="1" readingOrder="1"/>
    </xf>
    <xf numFmtId="0" fontId="4" fillId="18" borderId="45" xfId="0" applyFont="1" applyFill="1" applyBorder="1" applyAlignment="1">
      <alignment horizontal="left" vertical="center" wrapText="1" readingOrder="1"/>
    </xf>
    <xf numFmtId="0" fontId="4" fillId="18" borderId="46" xfId="0" applyFont="1" applyFill="1" applyBorder="1" applyAlignment="1">
      <alignment horizontal="left" vertical="center" wrapText="1" readingOrder="1"/>
    </xf>
    <xf numFmtId="0" fontId="4" fillId="18" borderId="47" xfId="0" applyFont="1" applyFill="1" applyBorder="1" applyAlignment="1">
      <alignment horizontal="left" vertical="center" wrapText="1" readingOrder="1"/>
    </xf>
    <xf numFmtId="0" fontId="3" fillId="18" borderId="44" xfId="0" applyFont="1" applyFill="1" applyBorder="1" applyAlignment="1">
      <alignment horizontal="left" vertical="center" wrapText="1" readingOrder="1"/>
    </xf>
    <xf numFmtId="0" fontId="3" fillId="18" borderId="44" xfId="0" applyFont="1" applyFill="1" applyBorder="1" applyAlignment="1">
      <alignment horizontal="center" vertical="center" wrapText="1" readingOrder="1"/>
    </xf>
    <xf numFmtId="0" fontId="3" fillId="0" borderId="44" xfId="0" applyFont="1" applyBorder="1" applyAlignment="1">
      <alignment horizontal="left" vertical="center" wrapText="1" readingOrder="1"/>
    </xf>
    <xf numFmtId="0" fontId="12" fillId="0" borderId="0" xfId="0" applyFont="1"/>
    <xf numFmtId="0" fontId="14" fillId="3" borderId="50" xfId="0" applyFont="1" applyFill="1" applyBorder="1" applyAlignment="1">
      <alignment horizontal="left" vertical="center"/>
    </xf>
    <xf numFmtId="0" fontId="15" fillId="3" borderId="51" xfId="0" applyFont="1" applyFill="1" applyBorder="1" applyAlignment="1">
      <alignment horizontal="center" vertical="center"/>
    </xf>
    <xf numFmtId="0" fontId="16" fillId="0" borderId="0" xfId="0" applyFont="1"/>
    <xf numFmtId="17" fontId="6" fillId="5" borderId="7" xfId="0" applyNumberFormat="1" applyFont="1" applyFill="1" applyBorder="1" applyAlignment="1">
      <alignment horizontal="center" vertical="center" wrapText="1"/>
    </xf>
    <xf numFmtId="2" fontId="4" fillId="10" borderId="12" xfId="0" applyNumberFormat="1" applyFont="1" applyFill="1" applyBorder="1" applyAlignment="1">
      <alignment horizontal="center" vertical="center" wrapText="1" readingOrder="1"/>
    </xf>
    <xf numFmtId="2" fontId="5" fillId="0" borderId="0" xfId="0" applyNumberFormat="1" applyFont="1"/>
    <xf numFmtId="0" fontId="17" fillId="0" borderId="0" xfId="0" applyFont="1"/>
    <xf numFmtId="0" fontId="18" fillId="3" borderId="35" xfId="0" applyFont="1" applyFill="1" applyBorder="1" applyAlignment="1">
      <alignment horizontal="center" vertical="center" wrapText="1" readingOrder="1"/>
    </xf>
    <xf numFmtId="0" fontId="0" fillId="0" borderId="0" xfId="0" applyAlignment="1">
      <alignment horizontal="center"/>
    </xf>
    <xf numFmtId="0" fontId="19" fillId="0" borderId="56" xfId="0" applyFont="1" applyBorder="1" applyAlignment="1">
      <alignment horizontal="center"/>
    </xf>
    <xf numFmtId="0" fontId="19" fillId="0" borderId="57" xfId="0" applyFont="1" applyBorder="1" applyAlignment="1">
      <alignment horizontal="center"/>
    </xf>
    <xf numFmtId="0" fontId="20" fillId="0" borderId="55" xfId="0" applyFont="1" applyBorder="1"/>
    <xf numFmtId="0" fontId="21" fillId="0" borderId="55" xfId="0" applyFont="1" applyBorder="1" applyAlignment="1">
      <alignment horizontal="center"/>
    </xf>
    <xf numFmtId="0" fontId="20" fillId="0" borderId="55" xfId="0" applyFont="1" applyBorder="1" applyAlignment="1">
      <alignment horizontal="center"/>
    </xf>
    <xf numFmtId="0" fontId="0" fillId="0" borderId="58" xfId="0" applyBorder="1"/>
    <xf numFmtId="0" fontId="0" fillId="0" borderId="58" xfId="0" applyBorder="1" applyAlignment="1">
      <alignment horizontal="center"/>
    </xf>
    <xf numFmtId="0" fontId="0" fillId="0" borderId="58" xfId="0" applyBorder="1" applyAlignment="1">
      <alignment horizontal="center" vertical="center"/>
    </xf>
    <xf numFmtId="0" fontId="0" fillId="0" borderId="48" xfId="0" applyBorder="1"/>
    <xf numFmtId="0" fontId="0" fillId="0" borderId="48" xfId="0" applyBorder="1" applyAlignment="1">
      <alignment horizontal="center"/>
    </xf>
    <xf numFmtId="0" fontId="0" fillId="0" borderId="48" xfId="0" applyBorder="1" applyAlignment="1">
      <alignment horizontal="center" vertical="center"/>
    </xf>
    <xf numFmtId="0" fontId="22" fillId="0" borderId="48" xfId="0" applyFont="1" applyBorder="1" applyAlignment="1">
      <alignment horizontal="center" vertical="center"/>
    </xf>
    <xf numFmtId="0" fontId="0" fillId="0" borderId="59" xfId="0" applyBorder="1"/>
    <xf numFmtId="0" fontId="0" fillId="0" borderId="59" xfId="0" applyBorder="1" applyAlignment="1">
      <alignment horizontal="center"/>
    </xf>
    <xf numFmtId="0" fontId="0" fillId="0" borderId="59" xfId="0" applyBorder="1" applyAlignment="1">
      <alignment horizontal="center" vertical="center"/>
    </xf>
    <xf numFmtId="0" fontId="20" fillId="0" borderId="52" xfId="0" applyFont="1" applyBorder="1"/>
    <xf numFmtId="0" fontId="21" fillId="0" borderId="55" xfId="0" applyFont="1" applyBorder="1" applyAlignment="1">
      <alignment horizontal="center" vertical="center"/>
    </xf>
    <xf numFmtId="0" fontId="20" fillId="0" borderId="55" xfId="0" applyFont="1" applyBorder="1" applyAlignment="1">
      <alignment horizontal="center" vertical="center"/>
    </xf>
    <xf numFmtId="0" fontId="22" fillId="0" borderId="48" xfId="0" applyFont="1" applyBorder="1" applyAlignment="1">
      <alignment horizontal="center"/>
    </xf>
    <xf numFmtId="0" fontId="21" fillId="0" borderId="55" xfId="0" applyFont="1" applyBorder="1"/>
    <xf numFmtId="0" fontId="0" fillId="0" borderId="56" xfId="0" applyBorder="1" applyAlignment="1">
      <alignment horizontal="center" vertical="center"/>
    </xf>
    <xf numFmtId="0" fontId="0" fillId="0" borderId="55" xfId="0" applyBorder="1"/>
    <xf numFmtId="0" fontId="0" fillId="0" borderId="55" xfId="0" applyBorder="1" applyAlignment="1">
      <alignment horizontal="center"/>
    </xf>
    <xf numFmtId="0" fontId="19" fillId="0" borderId="55" xfId="0" applyFont="1" applyBorder="1" applyAlignment="1">
      <alignment horizontal="center" wrapText="1"/>
    </xf>
    <xf numFmtId="0" fontId="13" fillId="2" borderId="48" xfId="0" applyFont="1" applyFill="1" applyBorder="1" applyAlignment="1">
      <alignment horizontal="center" vertical="center" wrapText="1"/>
    </xf>
    <xf numFmtId="0" fontId="13" fillId="2" borderId="49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 readingOrder="1"/>
    </xf>
    <xf numFmtId="0" fontId="3" fillId="2" borderId="2" xfId="0" applyFont="1" applyFill="1" applyBorder="1" applyAlignment="1">
      <alignment horizontal="center" vertical="center" wrapText="1" readingOrder="1"/>
    </xf>
    <xf numFmtId="0" fontId="2" fillId="0" borderId="0" xfId="0" applyFont="1" applyAlignment="1">
      <alignment horizontal="center"/>
    </xf>
    <xf numFmtId="0" fontId="3" fillId="6" borderId="17" xfId="0" applyFont="1" applyFill="1" applyBorder="1" applyAlignment="1">
      <alignment horizontal="center" vertical="center" wrapText="1" readingOrder="1"/>
    </xf>
    <xf numFmtId="0" fontId="3" fillId="6" borderId="18" xfId="0" applyFont="1" applyFill="1" applyBorder="1" applyAlignment="1">
      <alignment horizontal="center" vertical="center" wrapText="1" readingOrder="1"/>
    </xf>
    <xf numFmtId="0" fontId="3" fillId="6" borderId="19" xfId="0" applyFont="1" applyFill="1" applyBorder="1" applyAlignment="1">
      <alignment horizontal="center" vertical="center" wrapText="1" readingOrder="1"/>
    </xf>
    <xf numFmtId="0" fontId="3" fillId="7" borderId="10" xfId="0" applyFont="1" applyFill="1" applyBorder="1" applyAlignment="1">
      <alignment horizontal="center" vertical="center" wrapText="1" readingOrder="1"/>
    </xf>
    <xf numFmtId="0" fontId="3" fillId="7" borderId="11" xfId="0" applyFont="1" applyFill="1" applyBorder="1" applyAlignment="1">
      <alignment horizontal="center" vertical="center" wrapText="1" readingOrder="1"/>
    </xf>
    <xf numFmtId="0" fontId="3" fillId="7" borderId="13" xfId="0" applyFont="1" applyFill="1" applyBorder="1" applyAlignment="1">
      <alignment horizontal="center" vertical="center" wrapText="1" readingOrder="1"/>
    </xf>
    <xf numFmtId="0" fontId="3" fillId="8" borderId="10" xfId="0" applyFont="1" applyFill="1" applyBorder="1" applyAlignment="1">
      <alignment horizontal="center" vertical="center" wrapText="1" readingOrder="1"/>
    </xf>
    <xf numFmtId="0" fontId="3" fillId="8" borderId="11" xfId="0" applyFont="1" applyFill="1" applyBorder="1" applyAlignment="1">
      <alignment horizontal="center" vertical="center" wrapText="1" readingOrder="1"/>
    </xf>
    <xf numFmtId="0" fontId="3" fillId="8" borderId="13" xfId="0" applyFont="1" applyFill="1" applyBorder="1" applyAlignment="1">
      <alignment horizontal="center" vertical="center" wrapText="1" readingOrder="1"/>
    </xf>
    <xf numFmtId="0" fontId="3" fillId="9" borderId="10" xfId="0" applyFont="1" applyFill="1" applyBorder="1" applyAlignment="1">
      <alignment horizontal="center" vertical="center" wrapText="1" readingOrder="1"/>
    </xf>
    <xf numFmtId="0" fontId="3" fillId="9" borderId="11" xfId="0" applyFont="1" applyFill="1" applyBorder="1" applyAlignment="1">
      <alignment horizontal="center" vertical="center" wrapText="1" readingOrder="1"/>
    </xf>
    <xf numFmtId="0" fontId="3" fillId="9" borderId="21" xfId="0" applyFont="1" applyFill="1" applyBorder="1" applyAlignment="1">
      <alignment horizontal="center" vertical="center" wrapText="1" readingOrder="1"/>
    </xf>
    <xf numFmtId="0" fontId="6" fillId="14" borderId="14" xfId="0" applyFont="1" applyFill="1" applyBorder="1" applyAlignment="1">
      <alignment horizontal="center" vertical="center" wrapText="1" readingOrder="1"/>
    </xf>
    <xf numFmtId="0" fontId="6" fillId="14" borderId="15" xfId="0" applyFont="1" applyFill="1" applyBorder="1" applyAlignment="1">
      <alignment horizontal="center" vertical="center" wrapText="1" readingOrder="1"/>
    </xf>
    <xf numFmtId="0" fontId="6" fillId="14" borderId="16" xfId="0" applyFont="1" applyFill="1" applyBorder="1" applyAlignment="1">
      <alignment horizontal="center" vertical="center" wrapText="1" readingOrder="1"/>
    </xf>
    <xf numFmtId="0" fontId="4" fillId="15" borderId="14" xfId="0" applyFont="1" applyFill="1" applyBorder="1" applyAlignment="1">
      <alignment horizontal="left" vertical="center" wrapText="1" readingOrder="1"/>
    </xf>
    <xf numFmtId="0" fontId="4" fillId="15" borderId="15" xfId="0" applyFont="1" applyFill="1" applyBorder="1" applyAlignment="1">
      <alignment horizontal="left" vertical="center" wrapText="1" readingOrder="1"/>
    </xf>
    <xf numFmtId="0" fontId="4" fillId="15" borderId="16" xfId="0" applyFont="1" applyFill="1" applyBorder="1" applyAlignment="1">
      <alignment horizontal="left" vertical="center" wrapText="1" readingOrder="1"/>
    </xf>
    <xf numFmtId="0" fontId="3" fillId="18" borderId="48" xfId="0" applyFont="1" applyFill="1" applyBorder="1" applyAlignment="1">
      <alignment horizontal="center" vertical="center" wrapText="1" readingOrder="1"/>
    </xf>
    <xf numFmtId="0" fontId="4" fillId="9" borderId="14" xfId="0" applyFont="1" applyFill="1" applyBorder="1" applyAlignment="1">
      <alignment horizontal="center" vertical="center" wrapText="1" readingOrder="1"/>
    </xf>
    <xf numFmtId="0" fontId="4" fillId="9" borderId="15" xfId="0" applyFont="1" applyFill="1" applyBorder="1" applyAlignment="1">
      <alignment horizontal="center" vertical="center" wrapText="1" readingOrder="1"/>
    </xf>
    <xf numFmtId="0" fontId="4" fillId="9" borderId="16" xfId="0" applyFont="1" applyFill="1" applyBorder="1" applyAlignment="1">
      <alignment horizontal="center" vertical="center" wrapText="1" readingOrder="1"/>
    </xf>
    <xf numFmtId="0" fontId="3" fillId="0" borderId="45" xfId="0" applyFont="1" applyBorder="1" applyAlignment="1">
      <alignment horizontal="center" vertical="center" wrapText="1" readingOrder="1"/>
    </xf>
    <xf numFmtId="0" fontId="3" fillId="0" borderId="46" xfId="0" applyFont="1" applyBorder="1" applyAlignment="1">
      <alignment horizontal="center" vertical="center" wrapText="1" readingOrder="1"/>
    </xf>
    <xf numFmtId="0" fontId="3" fillId="0" borderId="47" xfId="0" applyFont="1" applyBorder="1" applyAlignment="1">
      <alignment horizontal="center" vertical="center" wrapText="1" readingOrder="1"/>
    </xf>
    <xf numFmtId="0" fontId="4" fillId="9" borderId="24" xfId="0" applyFont="1" applyFill="1" applyBorder="1" applyAlignment="1">
      <alignment horizontal="center" vertical="center" wrapText="1" readingOrder="1"/>
    </xf>
    <xf numFmtId="0" fontId="4" fillId="9" borderId="26" xfId="0" applyFont="1" applyFill="1" applyBorder="1" applyAlignment="1">
      <alignment horizontal="center" vertical="center" wrapText="1" readingOrder="1"/>
    </xf>
    <xf numFmtId="0" fontId="4" fillId="9" borderId="28" xfId="0" applyFont="1" applyFill="1" applyBorder="1" applyAlignment="1">
      <alignment horizontal="center" vertical="center" wrapText="1" readingOrder="1"/>
    </xf>
    <xf numFmtId="0" fontId="4" fillId="0" borderId="45" xfId="0" applyFont="1" applyBorder="1" applyAlignment="1">
      <alignment horizontal="center" vertical="center" wrapText="1" readingOrder="1"/>
    </xf>
    <xf numFmtId="0" fontId="4" fillId="0" borderId="46" xfId="0" applyFont="1" applyBorder="1" applyAlignment="1">
      <alignment horizontal="center" vertical="center" wrapText="1" readingOrder="1"/>
    </xf>
    <xf numFmtId="0" fontId="4" fillId="0" borderId="47" xfId="0" applyFont="1" applyBorder="1" applyAlignment="1">
      <alignment horizontal="center" vertical="center" wrapText="1" readingOrder="1"/>
    </xf>
    <xf numFmtId="0" fontId="3" fillId="18" borderId="45" xfId="0" applyFont="1" applyFill="1" applyBorder="1" applyAlignment="1">
      <alignment horizontal="left" vertical="center" wrapText="1" readingOrder="1"/>
    </xf>
    <xf numFmtId="0" fontId="3" fillId="18" borderId="46" xfId="0" applyFont="1" applyFill="1" applyBorder="1" applyAlignment="1">
      <alignment horizontal="left" vertical="center" wrapText="1" readingOrder="1"/>
    </xf>
    <xf numFmtId="0" fontId="3" fillId="18" borderId="47" xfId="0" applyFont="1" applyFill="1" applyBorder="1" applyAlignment="1">
      <alignment horizontal="left" vertical="center" wrapText="1" readingOrder="1"/>
    </xf>
    <xf numFmtId="0" fontId="4" fillId="18" borderId="45" xfId="0" applyFont="1" applyFill="1" applyBorder="1" applyAlignment="1">
      <alignment horizontal="center" vertical="center" wrapText="1" readingOrder="1"/>
    </xf>
    <xf numFmtId="0" fontId="4" fillId="18" borderId="46" xfId="0" applyFont="1" applyFill="1" applyBorder="1" applyAlignment="1">
      <alignment horizontal="center" vertical="center" wrapText="1" readingOrder="1"/>
    </xf>
    <xf numFmtId="0" fontId="4" fillId="18" borderId="47" xfId="0" applyFont="1" applyFill="1" applyBorder="1" applyAlignment="1">
      <alignment horizontal="center" vertical="center" wrapText="1" readingOrder="1"/>
    </xf>
    <xf numFmtId="0" fontId="3" fillId="0" borderId="45" xfId="0" applyFont="1" applyBorder="1" applyAlignment="1">
      <alignment horizontal="left" vertical="center" wrapText="1" readingOrder="1"/>
    </xf>
    <xf numFmtId="0" fontId="3" fillId="0" borderId="46" xfId="0" applyFont="1" applyBorder="1" applyAlignment="1">
      <alignment horizontal="left" vertical="center" wrapText="1" readingOrder="1"/>
    </xf>
    <xf numFmtId="0" fontId="3" fillId="0" borderId="47" xfId="0" applyFont="1" applyBorder="1" applyAlignment="1">
      <alignment horizontal="left" vertical="center" wrapText="1" readingOrder="1"/>
    </xf>
    <xf numFmtId="0" fontId="7" fillId="19" borderId="0" xfId="0" applyFont="1" applyFill="1" applyAlignment="1">
      <alignment horizontal="center"/>
    </xf>
    <xf numFmtId="0" fontId="6" fillId="11" borderId="14" xfId="0" applyFont="1" applyFill="1" applyBorder="1" applyAlignment="1">
      <alignment horizontal="center" vertical="center" wrapText="1" readingOrder="1"/>
    </xf>
    <xf numFmtId="0" fontId="6" fillId="11" borderId="16" xfId="0" applyFont="1" applyFill="1" applyBorder="1" applyAlignment="1">
      <alignment horizontal="center" vertical="center" wrapText="1" readingOrder="1"/>
    </xf>
    <xf numFmtId="0" fontId="3" fillId="6" borderId="23" xfId="0" applyFont="1" applyFill="1" applyBorder="1" applyAlignment="1">
      <alignment horizontal="center" vertical="center" wrapText="1" readingOrder="1"/>
    </xf>
    <xf numFmtId="0" fontId="3" fillId="6" borderId="25" xfId="0" applyFont="1" applyFill="1" applyBorder="1" applyAlignment="1">
      <alignment horizontal="center" vertical="center" wrapText="1" readingOrder="1"/>
    </xf>
    <xf numFmtId="0" fontId="3" fillId="6" borderId="27" xfId="0" applyFont="1" applyFill="1" applyBorder="1" applyAlignment="1">
      <alignment horizontal="center" vertical="center" wrapText="1" readingOrder="1"/>
    </xf>
    <xf numFmtId="0" fontId="4" fillId="7" borderId="14" xfId="0" applyFont="1" applyFill="1" applyBorder="1" applyAlignment="1">
      <alignment horizontal="center" vertical="center" wrapText="1" readingOrder="1"/>
    </xf>
    <xf numFmtId="0" fontId="4" fillId="7" borderId="15" xfId="0" applyFont="1" applyFill="1" applyBorder="1" applyAlignment="1">
      <alignment horizontal="center" vertical="center" wrapText="1" readingOrder="1"/>
    </xf>
    <xf numFmtId="0" fontId="4" fillId="7" borderId="16" xfId="0" applyFont="1" applyFill="1" applyBorder="1" applyAlignment="1">
      <alignment horizontal="center" vertical="center" wrapText="1" readingOrder="1"/>
    </xf>
    <xf numFmtId="0" fontId="4" fillId="8" borderId="14" xfId="0" applyFont="1" applyFill="1" applyBorder="1" applyAlignment="1">
      <alignment horizontal="center" vertical="center" wrapText="1" readingOrder="1"/>
    </xf>
    <xf numFmtId="0" fontId="4" fillId="8" borderId="15" xfId="0" applyFont="1" applyFill="1" applyBorder="1" applyAlignment="1">
      <alignment horizontal="center" vertical="center" wrapText="1" readingOrder="1"/>
    </xf>
    <xf numFmtId="0" fontId="4" fillId="8" borderId="16" xfId="0" applyFont="1" applyFill="1" applyBorder="1" applyAlignment="1">
      <alignment horizontal="center" vertical="center" wrapText="1" readingOrder="1"/>
    </xf>
    <xf numFmtId="0" fontId="4" fillId="13" borderId="14" xfId="0" applyFont="1" applyFill="1" applyBorder="1" applyAlignment="1">
      <alignment horizontal="left" vertical="center" wrapText="1" readingOrder="1"/>
    </xf>
    <xf numFmtId="0" fontId="4" fillId="13" borderId="16" xfId="0" applyFont="1" applyFill="1" applyBorder="1" applyAlignment="1">
      <alignment horizontal="left" vertical="center" wrapText="1" readingOrder="1"/>
    </xf>
    <xf numFmtId="0" fontId="4" fillId="13" borderId="14" xfId="0" applyFont="1" applyFill="1" applyBorder="1" applyAlignment="1">
      <alignment horizontal="center" vertical="center" wrapText="1" readingOrder="1"/>
    </xf>
    <xf numFmtId="0" fontId="4" fillId="13" borderId="16" xfId="0" applyFont="1" applyFill="1" applyBorder="1" applyAlignment="1">
      <alignment horizontal="center" vertical="center" wrapText="1" readingOrder="1"/>
    </xf>
    <xf numFmtId="0" fontId="19" fillId="0" borderId="52" xfId="0" applyFont="1" applyBorder="1" applyAlignment="1">
      <alignment horizontal="center"/>
    </xf>
    <xf numFmtId="0" fontId="19" fillId="0" borderId="53" xfId="0" applyFont="1" applyBorder="1" applyAlignment="1">
      <alignment horizontal="center"/>
    </xf>
    <xf numFmtId="0" fontId="19" fillId="0" borderId="5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01E13-4B11-4763-B94D-D97A2305A4A4}">
  <dimension ref="A2:K157"/>
  <sheetViews>
    <sheetView tabSelected="1" topLeftCell="A140" zoomScaleNormal="100" workbookViewId="0">
      <selection activeCell="C156" sqref="C156"/>
    </sheetView>
  </sheetViews>
  <sheetFormatPr defaultColWidth="10.85546875" defaultRowHeight="14.45"/>
  <cols>
    <col min="1" max="1" width="10.85546875" style="1"/>
    <col min="2" max="2" width="37.85546875" style="32" customWidth="1"/>
    <col min="3" max="3" width="15.85546875" style="32" customWidth="1"/>
    <col min="4" max="4" width="14.140625" style="32" customWidth="1"/>
    <col min="5" max="5" width="15.140625" style="32" customWidth="1"/>
    <col min="6" max="6" width="12.85546875" style="32" customWidth="1"/>
    <col min="7" max="7" width="12.140625" style="32" customWidth="1"/>
    <col min="8" max="8" width="13.28515625" style="32" customWidth="1"/>
    <col min="9" max="16384" width="10.85546875" style="32"/>
  </cols>
  <sheetData>
    <row r="2" spans="1:9">
      <c r="B2" s="184" t="s">
        <v>0</v>
      </c>
      <c r="C2" s="184"/>
      <c r="D2" s="184"/>
      <c r="E2" s="184"/>
      <c r="F2" s="184"/>
      <c r="G2" s="184"/>
      <c r="H2" s="184"/>
      <c r="I2" s="184"/>
    </row>
    <row r="4" spans="1:9" ht="15.6">
      <c r="B4" s="143" t="s">
        <v>1</v>
      </c>
      <c r="C4" s="143"/>
    </row>
    <row r="5" spans="1:9" ht="15" thickBot="1"/>
    <row r="6" spans="1:9" ht="15" thickBot="1">
      <c r="A6" s="1">
        <v>1</v>
      </c>
      <c r="B6" s="141" t="s">
        <v>2</v>
      </c>
      <c r="C6" s="142"/>
    </row>
    <row r="7" spans="1:9" ht="15" thickBot="1">
      <c r="B7" s="34" t="s">
        <v>3</v>
      </c>
      <c r="C7" s="35">
        <v>360</v>
      </c>
    </row>
    <row r="8" spans="1:9" ht="15" thickBot="1">
      <c r="B8" s="36" t="s">
        <v>4</v>
      </c>
      <c r="C8" s="37">
        <v>125</v>
      </c>
    </row>
    <row r="9" spans="1:9" ht="15" thickBot="1">
      <c r="B9" s="38" t="s">
        <v>5</v>
      </c>
      <c r="C9" s="39">
        <f>SUM(C7:C8)</f>
        <v>485</v>
      </c>
    </row>
    <row r="11" spans="1:9" ht="15.6">
      <c r="B11" s="143" t="s">
        <v>6</v>
      </c>
      <c r="C11" s="143"/>
    </row>
    <row r="12" spans="1:9" ht="15" thickBot="1">
      <c r="B12" s="33"/>
      <c r="C12" s="33"/>
    </row>
    <row r="13" spans="1:9" ht="15" thickBot="1">
      <c r="A13" s="1">
        <v>2</v>
      </c>
      <c r="B13" s="40" t="s">
        <v>7</v>
      </c>
      <c r="C13" s="109">
        <v>45474</v>
      </c>
    </row>
    <row r="14" spans="1:9" ht="15" thickBot="1">
      <c r="B14" s="41" t="s">
        <v>8</v>
      </c>
      <c r="C14" s="42">
        <v>246</v>
      </c>
    </row>
    <row r="15" spans="1:9" ht="15" thickBot="1">
      <c r="B15" s="43" t="s">
        <v>9</v>
      </c>
      <c r="C15" s="44">
        <v>16.09</v>
      </c>
    </row>
    <row r="16" spans="1:9" ht="15" thickBot="1">
      <c r="B16" s="41" t="s">
        <v>10</v>
      </c>
      <c r="C16" s="45">
        <f>+C14/C15</f>
        <v>15.28899937849596</v>
      </c>
    </row>
    <row r="17" spans="1:11" ht="15" thickBot="1">
      <c r="B17" s="40" t="s">
        <v>11</v>
      </c>
      <c r="C17" s="109">
        <v>45474</v>
      </c>
    </row>
    <row r="18" spans="1:11" ht="15" thickBot="1">
      <c r="B18" s="41" t="s">
        <v>8</v>
      </c>
      <c r="C18" s="46"/>
    </row>
    <row r="19" spans="1:11" ht="15" thickBot="1">
      <c r="B19" s="43" t="s">
        <v>9</v>
      </c>
      <c r="C19" s="47"/>
    </row>
    <row r="20" spans="1:11" ht="15" thickBot="1">
      <c r="B20" s="41" t="s">
        <v>10</v>
      </c>
      <c r="C20" s="48"/>
    </row>
    <row r="21" spans="1:11" ht="15" thickBot="1">
      <c r="B21" s="40" t="s">
        <v>12</v>
      </c>
      <c r="C21" s="109">
        <v>45474</v>
      </c>
    </row>
    <row r="22" spans="1:11" ht="15" thickBot="1">
      <c r="B22" s="41" t="s">
        <v>8</v>
      </c>
      <c r="C22" s="46"/>
    </row>
    <row r="23" spans="1:11" ht="15" thickBot="1">
      <c r="B23" s="43" t="s">
        <v>9</v>
      </c>
      <c r="C23" s="47"/>
    </row>
    <row r="24" spans="1:11" ht="15" thickBot="1">
      <c r="B24" s="41" t="s">
        <v>10</v>
      </c>
      <c r="C24" s="48"/>
    </row>
    <row r="26" spans="1:11" ht="15.6">
      <c r="B26" s="2" t="s">
        <v>13</v>
      </c>
      <c r="C26" s="105"/>
    </row>
    <row r="28" spans="1:11" ht="15" hidden="1" thickBot="1">
      <c r="A28" s="1">
        <v>3</v>
      </c>
      <c r="B28" s="144" t="s">
        <v>14</v>
      </c>
      <c r="C28" s="145"/>
      <c r="D28" s="145"/>
      <c r="E28" s="145"/>
      <c r="F28" s="145"/>
      <c r="G28" s="145"/>
      <c r="H28" s="145"/>
      <c r="I28" s="145"/>
      <c r="J28" s="145"/>
      <c r="K28" s="146"/>
    </row>
    <row r="29" spans="1:11" ht="15" hidden="1" thickBot="1">
      <c r="B29" s="3" t="s">
        <v>15</v>
      </c>
      <c r="C29" s="147" t="s">
        <v>16</v>
      </c>
      <c r="D29" s="148"/>
      <c r="E29" s="149"/>
      <c r="F29" s="150" t="s">
        <v>17</v>
      </c>
      <c r="G29" s="151"/>
      <c r="H29" s="152"/>
      <c r="I29" s="153" t="s">
        <v>18</v>
      </c>
      <c r="J29" s="154"/>
      <c r="K29" s="155"/>
    </row>
    <row r="30" spans="1:11" ht="39.6" hidden="1" thickBot="1">
      <c r="B30" s="3" t="s">
        <v>19</v>
      </c>
      <c r="C30" s="4" t="s">
        <v>3</v>
      </c>
      <c r="D30" s="4" t="s">
        <v>20</v>
      </c>
      <c r="E30" s="4" t="s">
        <v>4</v>
      </c>
      <c r="F30" s="5" t="s">
        <v>3</v>
      </c>
      <c r="G30" s="5" t="s">
        <v>21</v>
      </c>
      <c r="H30" s="5" t="s">
        <v>4</v>
      </c>
      <c r="I30" s="6" t="s">
        <v>3</v>
      </c>
      <c r="J30" s="6" t="s">
        <v>22</v>
      </c>
      <c r="K30" s="7" t="s">
        <v>23</v>
      </c>
    </row>
    <row r="31" spans="1:11" hidden="1">
      <c r="B31" s="187" t="s">
        <v>24</v>
      </c>
      <c r="C31" s="190"/>
      <c r="D31" s="8"/>
      <c r="E31" s="190"/>
      <c r="F31" s="193"/>
      <c r="G31" s="9"/>
      <c r="H31" s="10"/>
      <c r="I31" s="163"/>
      <c r="J31" s="163"/>
      <c r="K31" s="169"/>
    </row>
    <row r="32" spans="1:11" hidden="1">
      <c r="B32" s="188"/>
      <c r="C32" s="191"/>
      <c r="D32" s="11"/>
      <c r="E32" s="191"/>
      <c r="F32" s="194"/>
      <c r="G32" s="12"/>
      <c r="H32" s="13"/>
      <c r="I32" s="164"/>
      <c r="J32" s="164"/>
      <c r="K32" s="170"/>
    </row>
    <row r="33" spans="1:11" hidden="1">
      <c r="B33" s="188"/>
      <c r="C33" s="191"/>
      <c r="D33" s="11"/>
      <c r="E33" s="191"/>
      <c r="F33" s="194"/>
      <c r="G33" s="12"/>
      <c r="H33" s="13"/>
      <c r="I33" s="164"/>
      <c r="J33" s="164"/>
      <c r="K33" s="170"/>
    </row>
    <row r="34" spans="1:11" hidden="1">
      <c r="B34" s="188"/>
      <c r="C34" s="191"/>
      <c r="D34" s="14"/>
      <c r="E34" s="191"/>
      <c r="F34" s="194"/>
      <c r="G34" s="15"/>
      <c r="H34" s="13"/>
      <c r="I34" s="164"/>
      <c r="J34" s="164"/>
      <c r="K34" s="170"/>
    </row>
    <row r="35" spans="1:11" ht="15" hidden="1" thickBot="1">
      <c r="B35" s="189"/>
      <c r="C35" s="192"/>
      <c r="D35" s="16"/>
      <c r="E35" s="192"/>
      <c r="F35" s="195"/>
      <c r="G35" s="17"/>
      <c r="H35" s="18"/>
      <c r="I35" s="165"/>
      <c r="J35" s="165"/>
      <c r="K35" s="171"/>
    </row>
    <row r="36" spans="1:11" ht="15" hidden="1" thickBot="1">
      <c r="B36" s="3" t="s">
        <v>25</v>
      </c>
      <c r="C36" s="19"/>
      <c r="D36" s="19"/>
      <c r="E36" s="19"/>
      <c r="F36" s="20"/>
      <c r="G36" s="20"/>
      <c r="H36" s="20"/>
      <c r="I36" s="21"/>
      <c r="J36" s="21"/>
      <c r="K36" s="22"/>
    </row>
    <row r="37" spans="1:11" ht="15" hidden="1" thickBot="1">
      <c r="B37" s="23" t="s">
        <v>26</v>
      </c>
      <c r="C37" s="24"/>
      <c r="D37" s="24"/>
      <c r="E37" s="24"/>
      <c r="F37" s="25"/>
      <c r="G37" s="25"/>
      <c r="H37" s="25"/>
      <c r="I37" s="26"/>
      <c r="J37" s="26"/>
      <c r="K37" s="27"/>
    </row>
    <row r="40" spans="1:11" ht="15.6">
      <c r="B40" s="2" t="s">
        <v>27</v>
      </c>
    </row>
    <row r="41" spans="1:11" ht="15" thickBot="1"/>
    <row r="42" spans="1:11" ht="15" thickBot="1">
      <c r="A42" s="1">
        <v>4</v>
      </c>
      <c r="B42" s="49" t="s">
        <v>16</v>
      </c>
      <c r="C42" s="113">
        <v>240</v>
      </c>
    </row>
    <row r="43" spans="1:11" ht="15" thickBot="1">
      <c r="B43" s="50" t="s">
        <v>17</v>
      </c>
      <c r="C43" s="51">
        <v>111</v>
      </c>
    </row>
    <row r="44" spans="1:11" ht="15" thickBot="1">
      <c r="B44" s="52" t="s">
        <v>18</v>
      </c>
      <c r="C44" s="53"/>
    </row>
    <row r="47" spans="1:11" ht="15.6">
      <c r="B47" s="2" t="s">
        <v>28</v>
      </c>
    </row>
    <row r="48" spans="1:11" ht="15" thickBot="1"/>
    <row r="49" spans="1:7" ht="26.45" thickBot="1">
      <c r="A49" s="1">
        <v>5</v>
      </c>
      <c r="B49" s="28" t="s">
        <v>15</v>
      </c>
      <c r="C49" s="28" t="s">
        <v>29</v>
      </c>
      <c r="D49" s="28" t="s">
        <v>30</v>
      </c>
      <c r="E49" s="28" t="s">
        <v>31</v>
      </c>
      <c r="F49" s="28" t="s">
        <v>32</v>
      </c>
    </row>
    <row r="50" spans="1:7" ht="15" thickBot="1">
      <c r="B50" s="28" t="s">
        <v>16</v>
      </c>
      <c r="C50" s="29" t="s">
        <v>33</v>
      </c>
      <c r="D50" s="29">
        <v>0</v>
      </c>
      <c r="E50" s="29">
        <v>0</v>
      </c>
      <c r="F50" s="29">
        <v>0</v>
      </c>
    </row>
    <row r="51" spans="1:7" ht="15" thickBot="1">
      <c r="B51" s="28" t="s">
        <v>17</v>
      </c>
      <c r="C51" s="30"/>
      <c r="D51" s="30"/>
      <c r="E51" s="30"/>
      <c r="F51" s="30"/>
    </row>
    <row r="52" spans="1:7" ht="15" thickBot="1">
      <c r="B52" s="28" t="s">
        <v>18</v>
      </c>
      <c r="C52" s="31"/>
      <c r="D52" s="31"/>
      <c r="E52" s="31"/>
      <c r="F52" s="31"/>
    </row>
    <row r="53" spans="1:7">
      <c r="B53" s="32" t="s">
        <v>34</v>
      </c>
    </row>
    <row r="55" spans="1:7" ht="15.6">
      <c r="B55" s="2" t="s">
        <v>35</v>
      </c>
    </row>
    <row r="56" spans="1:7" ht="15" thickBot="1"/>
    <row r="57" spans="1:7" ht="15" thickBot="1">
      <c r="A57" s="1">
        <v>6</v>
      </c>
      <c r="B57" s="141" t="s">
        <v>2</v>
      </c>
      <c r="C57" s="142"/>
    </row>
    <row r="58" spans="1:7" ht="15" thickBot="1">
      <c r="B58" s="54" t="s">
        <v>36</v>
      </c>
      <c r="C58" s="35">
        <v>1</v>
      </c>
    </row>
    <row r="59" spans="1:7" ht="15" thickBot="1">
      <c r="B59" s="55" t="s">
        <v>4</v>
      </c>
      <c r="C59" s="37">
        <v>125</v>
      </c>
    </row>
    <row r="60" spans="1:7" ht="15" thickBot="1">
      <c r="B60" s="56" t="s">
        <v>37</v>
      </c>
      <c r="C60" s="39">
        <v>13</v>
      </c>
    </row>
    <row r="62" spans="1:7" ht="15.6">
      <c r="B62" s="2" t="s">
        <v>38</v>
      </c>
    </row>
    <row r="63" spans="1:7" ht="15" thickBot="1"/>
    <row r="64" spans="1:7" ht="26.45" thickBot="1">
      <c r="A64" s="1">
        <v>7</v>
      </c>
      <c r="B64" s="57" t="s">
        <v>39</v>
      </c>
      <c r="C64" s="58" t="s">
        <v>40</v>
      </c>
      <c r="D64" s="58" t="s">
        <v>41</v>
      </c>
      <c r="E64" s="58" t="s">
        <v>42</v>
      </c>
      <c r="F64" s="58" t="s">
        <v>43</v>
      </c>
      <c r="G64" s="59" t="s">
        <v>44</v>
      </c>
    </row>
    <row r="65" spans="1:7" ht="15" thickBot="1">
      <c r="B65" s="60" t="s">
        <v>45</v>
      </c>
      <c r="C65" s="61" t="s">
        <v>46</v>
      </c>
      <c r="D65" s="62">
        <v>91</v>
      </c>
      <c r="E65" s="62">
        <v>5.8</v>
      </c>
      <c r="F65" s="62"/>
      <c r="G65" s="110">
        <f>+D65/E65</f>
        <v>15.689655172413794</v>
      </c>
    </row>
    <row r="66" spans="1:7" ht="26.45" thickBot="1">
      <c r="B66" s="60" t="s">
        <v>47</v>
      </c>
      <c r="C66" s="63" t="s">
        <v>48</v>
      </c>
      <c r="D66" s="64">
        <v>71</v>
      </c>
      <c r="E66" s="64">
        <v>4.8</v>
      </c>
      <c r="F66" s="64"/>
      <c r="G66" s="110">
        <f>+D66/E66</f>
        <v>14.791666666666668</v>
      </c>
    </row>
    <row r="67" spans="1:7" ht="26.45" thickBot="1">
      <c r="B67" s="60" t="s">
        <v>49</v>
      </c>
      <c r="C67" s="61" t="s">
        <v>50</v>
      </c>
      <c r="D67" s="62">
        <v>84</v>
      </c>
      <c r="E67" s="62">
        <v>5.5</v>
      </c>
      <c r="F67" s="62"/>
      <c r="G67" s="110">
        <f>+D67/E67</f>
        <v>15.272727272727273</v>
      </c>
    </row>
    <row r="68" spans="1:7" ht="15" thickBot="1">
      <c r="G68" s="111"/>
    </row>
    <row r="69" spans="1:7" ht="26.45" thickBot="1">
      <c r="A69" s="1">
        <v>8</v>
      </c>
      <c r="B69" s="65" t="s">
        <v>39</v>
      </c>
      <c r="C69" s="66" t="s">
        <v>40</v>
      </c>
      <c r="D69" s="66" t="s">
        <v>41</v>
      </c>
      <c r="E69" s="66" t="s">
        <v>42</v>
      </c>
      <c r="F69" s="65" t="s">
        <v>43</v>
      </c>
      <c r="G69" s="66" t="s">
        <v>44</v>
      </c>
    </row>
    <row r="70" spans="1:7" ht="27" thickTop="1" thickBot="1">
      <c r="B70" s="67" t="s">
        <v>51</v>
      </c>
      <c r="C70" s="68" t="s">
        <v>52</v>
      </c>
      <c r="D70" s="69"/>
      <c r="E70" s="69"/>
      <c r="F70" s="69"/>
      <c r="G70" s="69"/>
    </row>
    <row r="71" spans="1:7" ht="32.1" customHeight="1">
      <c r="B71" s="185" t="s">
        <v>53</v>
      </c>
      <c r="C71" s="196" t="s">
        <v>46</v>
      </c>
      <c r="D71" s="198"/>
      <c r="E71" s="198"/>
      <c r="F71" s="70"/>
      <c r="G71" s="198"/>
    </row>
    <row r="72" spans="1:7" ht="15" thickBot="1">
      <c r="B72" s="186"/>
      <c r="C72" s="197"/>
      <c r="D72" s="199"/>
      <c r="E72" s="199"/>
      <c r="F72" s="71"/>
      <c r="G72" s="199"/>
    </row>
    <row r="73" spans="1:7" ht="15" thickBot="1"/>
    <row r="74" spans="1:7" ht="26.45" thickBot="1">
      <c r="A74" s="1">
        <v>9</v>
      </c>
      <c r="B74" s="72" t="s">
        <v>39</v>
      </c>
      <c r="C74" s="73" t="s">
        <v>40</v>
      </c>
      <c r="D74" s="73" t="s">
        <v>41</v>
      </c>
      <c r="E74" s="73" t="s">
        <v>42</v>
      </c>
      <c r="F74" s="74" t="s">
        <v>43</v>
      </c>
      <c r="G74" s="75" t="s">
        <v>44</v>
      </c>
    </row>
    <row r="75" spans="1:7">
      <c r="B75" s="156" t="s">
        <v>54</v>
      </c>
      <c r="C75" s="159" t="s">
        <v>55</v>
      </c>
      <c r="D75" s="76"/>
      <c r="E75" s="77"/>
      <c r="F75" s="77"/>
      <c r="G75" s="77"/>
    </row>
    <row r="76" spans="1:7">
      <c r="B76" s="157"/>
      <c r="C76" s="160"/>
      <c r="D76" s="78"/>
      <c r="E76" s="79"/>
      <c r="F76" s="79"/>
      <c r="G76" s="79"/>
    </row>
    <row r="77" spans="1:7">
      <c r="B77" s="157"/>
      <c r="C77" s="160"/>
      <c r="D77" s="78"/>
      <c r="E77" s="79"/>
      <c r="F77" s="79"/>
      <c r="G77" s="79"/>
    </row>
    <row r="78" spans="1:7" ht="15" thickBot="1">
      <c r="B78" s="158"/>
      <c r="C78" s="161"/>
      <c r="D78" s="80" t="s">
        <v>56</v>
      </c>
      <c r="E78" s="81"/>
      <c r="F78" s="81"/>
      <c r="G78" s="81"/>
    </row>
    <row r="80" spans="1:7" ht="15.6">
      <c r="B80" s="2" t="s">
        <v>57</v>
      </c>
    </row>
    <row r="81" spans="1:7" ht="15" thickBot="1"/>
    <row r="82" spans="1:7" ht="26.45" thickBot="1">
      <c r="A82" s="1">
        <v>10</v>
      </c>
      <c r="B82" s="57" t="s">
        <v>39</v>
      </c>
      <c r="C82" s="58" t="s">
        <v>40</v>
      </c>
      <c r="D82" s="58" t="s">
        <v>58</v>
      </c>
      <c r="E82" s="58" t="s">
        <v>59</v>
      </c>
      <c r="F82" s="58" t="s">
        <v>60</v>
      </c>
      <c r="G82" s="59" t="s">
        <v>43</v>
      </c>
    </row>
    <row r="83" spans="1:7" ht="65.45" thickBot="1">
      <c r="B83" s="60" t="s">
        <v>45</v>
      </c>
      <c r="C83" s="61" t="s">
        <v>46</v>
      </c>
      <c r="D83" s="62">
        <v>91</v>
      </c>
      <c r="E83" s="62">
        <v>6</v>
      </c>
      <c r="F83" s="62" t="s">
        <v>61</v>
      </c>
      <c r="G83" s="62"/>
    </row>
    <row r="84" spans="1:7" ht="65.45" thickBot="1">
      <c r="B84" s="60" t="s">
        <v>47</v>
      </c>
      <c r="C84" s="63" t="s">
        <v>48</v>
      </c>
      <c r="D84" s="64">
        <v>71</v>
      </c>
      <c r="E84" s="64">
        <v>8</v>
      </c>
      <c r="F84" s="62" t="s">
        <v>61</v>
      </c>
      <c r="G84" s="64"/>
    </row>
    <row r="85" spans="1:7" ht="26.45" thickBot="1">
      <c r="B85" s="60" t="s">
        <v>49</v>
      </c>
      <c r="C85" s="61" t="s">
        <v>50</v>
      </c>
      <c r="D85" s="62">
        <v>84</v>
      </c>
      <c r="E85" s="62">
        <v>0</v>
      </c>
      <c r="F85" s="62" t="s">
        <v>62</v>
      </c>
      <c r="G85" s="62"/>
    </row>
    <row r="86" spans="1:7" ht="15" thickBot="1"/>
    <row r="87" spans="1:7" ht="26.45" thickBot="1">
      <c r="A87" s="1">
        <v>11</v>
      </c>
      <c r="B87" s="82" t="s">
        <v>39</v>
      </c>
      <c r="C87" s="83" t="s">
        <v>40</v>
      </c>
      <c r="D87" s="83" t="s">
        <v>58</v>
      </c>
      <c r="E87" s="83" t="s">
        <v>63</v>
      </c>
      <c r="F87" s="83" t="s">
        <v>64</v>
      </c>
      <c r="G87" s="84" t="s">
        <v>43</v>
      </c>
    </row>
    <row r="88" spans="1:7" ht="26.45" thickBot="1">
      <c r="B88" s="85" t="s">
        <v>51</v>
      </c>
      <c r="C88" s="86" t="s">
        <v>52</v>
      </c>
      <c r="D88" s="87"/>
      <c r="E88" s="87"/>
      <c r="F88" s="87"/>
      <c r="G88" s="87"/>
    </row>
    <row r="89" spans="1:7" ht="15" thickBot="1">
      <c r="B89" s="85" t="s">
        <v>53</v>
      </c>
      <c r="C89" s="88" t="s">
        <v>46</v>
      </c>
      <c r="D89" s="89"/>
      <c r="E89" s="89"/>
      <c r="F89" s="89"/>
      <c r="G89" s="89"/>
    </row>
    <row r="90" spans="1:7" ht="15" thickBot="1"/>
    <row r="91" spans="1:7" ht="26.45" thickBot="1">
      <c r="A91" s="1">
        <v>12</v>
      </c>
      <c r="B91" s="90" t="s">
        <v>39</v>
      </c>
      <c r="C91" s="74" t="s">
        <v>40</v>
      </c>
      <c r="D91" s="74" t="s">
        <v>58</v>
      </c>
      <c r="E91" s="74" t="s">
        <v>63</v>
      </c>
      <c r="F91" s="74" t="s">
        <v>65</v>
      </c>
      <c r="G91" s="91" t="s">
        <v>43</v>
      </c>
    </row>
    <row r="92" spans="1:7" ht="15" thickBot="1">
      <c r="B92" s="92" t="s">
        <v>54</v>
      </c>
      <c r="C92" s="93" t="s">
        <v>55</v>
      </c>
      <c r="D92" s="94"/>
      <c r="E92" s="94"/>
      <c r="F92" s="95"/>
      <c r="G92" s="95"/>
    </row>
    <row r="95" spans="1:7">
      <c r="B95" s="112" t="s">
        <v>66</v>
      </c>
    </row>
    <row r="96" spans="1:7" ht="15" thickBot="1">
      <c r="B96" s="112"/>
    </row>
    <row r="97" spans="2:10" ht="15" thickBot="1">
      <c r="B97"/>
      <c r="C97" s="114"/>
      <c r="D97" s="200" t="s">
        <v>43</v>
      </c>
      <c r="E97" s="201"/>
      <c r="F97" s="202"/>
    </row>
    <row r="98" spans="2:10" ht="29.45" thickBot="1">
      <c r="B98"/>
      <c r="C98" s="138" t="s">
        <v>67</v>
      </c>
      <c r="D98" s="115" t="s">
        <v>68</v>
      </c>
      <c r="E98" s="116" t="s">
        <v>69</v>
      </c>
      <c r="F98" s="116" t="s">
        <v>70</v>
      </c>
    </row>
    <row r="99" spans="2:10" ht="17.45" thickBot="1">
      <c r="B99" s="117" t="s">
        <v>71</v>
      </c>
      <c r="C99" s="118">
        <v>91</v>
      </c>
      <c r="D99" s="119">
        <f>SUM(D100:D107)</f>
        <v>27</v>
      </c>
      <c r="E99" s="119">
        <f t="shared" ref="E99:F99" si="0">SUM(E100:E107)</f>
        <v>45</v>
      </c>
      <c r="F99" s="119">
        <f t="shared" si="0"/>
        <v>19</v>
      </c>
    </row>
    <row r="100" spans="2:10">
      <c r="B100" s="120" t="s">
        <v>72</v>
      </c>
      <c r="C100" s="121">
        <v>12</v>
      </c>
      <c r="D100" s="122"/>
      <c r="E100" s="122">
        <v>10</v>
      </c>
      <c r="F100" s="122">
        <v>2</v>
      </c>
    </row>
    <row r="101" spans="2:10">
      <c r="B101" s="123" t="s">
        <v>73</v>
      </c>
      <c r="C101" s="124">
        <v>9</v>
      </c>
      <c r="D101" s="125"/>
      <c r="E101" s="125">
        <v>8</v>
      </c>
      <c r="F101" s="125">
        <v>1</v>
      </c>
    </row>
    <row r="102" spans="2:10">
      <c r="B102" s="123" t="s">
        <v>74</v>
      </c>
      <c r="C102" s="124">
        <v>14</v>
      </c>
      <c r="D102" s="125">
        <v>9</v>
      </c>
      <c r="E102" s="125">
        <v>4</v>
      </c>
      <c r="F102" s="125">
        <v>1</v>
      </c>
    </row>
    <row r="103" spans="2:10">
      <c r="B103" s="123" t="s">
        <v>75</v>
      </c>
      <c r="C103" s="124">
        <v>9</v>
      </c>
      <c r="D103" s="125">
        <v>1</v>
      </c>
      <c r="E103" s="125">
        <v>4</v>
      </c>
      <c r="F103" s="125">
        <v>4</v>
      </c>
    </row>
    <row r="104" spans="2:10">
      <c r="B104" s="123" t="s">
        <v>76</v>
      </c>
      <c r="C104" s="124">
        <v>10</v>
      </c>
      <c r="D104" s="125">
        <v>6</v>
      </c>
      <c r="E104" s="125">
        <v>3</v>
      </c>
      <c r="F104" s="125">
        <v>1</v>
      </c>
      <c r="H104" s="32">
        <f>+D99+D108+D116</f>
        <v>130</v>
      </c>
      <c r="I104" s="32">
        <f>+E99+E108+E116</f>
        <v>77</v>
      </c>
      <c r="J104" s="32">
        <f>+F99+F108+F116</f>
        <v>39</v>
      </c>
    </row>
    <row r="105" spans="2:10">
      <c r="B105" s="123" t="s">
        <v>77</v>
      </c>
      <c r="C105" s="124">
        <v>11</v>
      </c>
      <c r="D105" s="125"/>
      <c r="E105" s="126">
        <v>5</v>
      </c>
      <c r="F105" s="126">
        <v>6</v>
      </c>
    </row>
    <row r="106" spans="2:10">
      <c r="B106" s="123" t="s">
        <v>78</v>
      </c>
      <c r="C106" s="124">
        <v>12</v>
      </c>
      <c r="D106" s="125">
        <v>8</v>
      </c>
      <c r="E106" s="125">
        <v>2</v>
      </c>
      <c r="F106" s="125">
        <v>2</v>
      </c>
    </row>
    <row r="107" spans="2:10" ht="15" thickBot="1">
      <c r="B107" s="127" t="s">
        <v>79</v>
      </c>
      <c r="C107" s="128">
        <v>14</v>
      </c>
      <c r="D107" s="129">
        <v>3</v>
      </c>
      <c r="E107" s="129">
        <v>9</v>
      </c>
      <c r="F107" s="129">
        <v>2</v>
      </c>
    </row>
    <row r="108" spans="2:10" ht="17.45" thickBot="1">
      <c r="B108" s="130" t="s">
        <v>80</v>
      </c>
      <c r="C108" s="131">
        <v>84</v>
      </c>
      <c r="D108" s="132">
        <f>SUM(D109:D115)</f>
        <v>52</v>
      </c>
      <c r="E108" s="132">
        <f t="shared" ref="E108:F108" si="1">SUM(E109:E115)</f>
        <v>19</v>
      </c>
      <c r="F108" s="132">
        <f t="shared" si="1"/>
        <v>13</v>
      </c>
    </row>
    <row r="109" spans="2:10">
      <c r="B109" s="120" t="s">
        <v>81</v>
      </c>
      <c r="C109" s="121">
        <v>11</v>
      </c>
      <c r="D109" s="121">
        <v>9</v>
      </c>
      <c r="E109" s="121">
        <v>2</v>
      </c>
      <c r="F109" s="121"/>
    </row>
    <row r="110" spans="2:10">
      <c r="B110" s="123" t="s">
        <v>82</v>
      </c>
      <c r="C110" s="124">
        <v>9</v>
      </c>
      <c r="D110" s="124"/>
      <c r="E110" s="124">
        <v>3</v>
      </c>
      <c r="F110" s="124">
        <v>6</v>
      </c>
    </row>
    <row r="111" spans="2:10">
      <c r="B111" s="123" t="s">
        <v>83</v>
      </c>
      <c r="C111" s="124">
        <v>15</v>
      </c>
      <c r="D111" s="124">
        <v>12</v>
      </c>
      <c r="E111" s="124">
        <v>3</v>
      </c>
      <c r="F111" s="124"/>
    </row>
    <row r="112" spans="2:10">
      <c r="B112" s="123" t="s">
        <v>84</v>
      </c>
      <c r="C112" s="124">
        <v>12</v>
      </c>
      <c r="D112" s="133">
        <v>8</v>
      </c>
      <c r="E112" s="133">
        <v>4</v>
      </c>
      <c r="F112" s="124"/>
    </row>
    <row r="113" spans="2:6">
      <c r="B113" s="123" t="s">
        <v>85</v>
      </c>
      <c r="C113" s="124">
        <v>12</v>
      </c>
      <c r="D113" s="124">
        <v>5</v>
      </c>
      <c r="E113" s="124">
        <v>5</v>
      </c>
      <c r="F113" s="124">
        <v>2</v>
      </c>
    </row>
    <row r="114" spans="2:6">
      <c r="B114" s="123" t="s">
        <v>86</v>
      </c>
      <c r="C114" s="124">
        <v>11</v>
      </c>
      <c r="D114" s="124">
        <v>4</v>
      </c>
      <c r="E114" s="124">
        <v>2</v>
      </c>
      <c r="F114" s="124">
        <v>5</v>
      </c>
    </row>
    <row r="115" spans="2:6" ht="15" thickBot="1">
      <c r="B115" s="127" t="s">
        <v>87</v>
      </c>
      <c r="C115" s="128">
        <v>14</v>
      </c>
      <c r="D115" s="128">
        <v>14</v>
      </c>
      <c r="E115" s="128"/>
      <c r="F115" s="128"/>
    </row>
    <row r="116" spans="2:6" ht="17.45" thickBot="1">
      <c r="B116" s="134" t="s">
        <v>88</v>
      </c>
      <c r="C116" s="131">
        <v>71</v>
      </c>
      <c r="D116" s="132">
        <f>SUM(D117:D122)</f>
        <v>51</v>
      </c>
      <c r="E116" s="132">
        <f t="shared" ref="E116:F116" si="2">SUM(E117:E122)</f>
        <v>13</v>
      </c>
      <c r="F116" s="132">
        <f t="shared" si="2"/>
        <v>7</v>
      </c>
    </row>
    <row r="117" spans="2:6">
      <c r="B117" s="120" t="s">
        <v>89</v>
      </c>
      <c r="C117" s="121">
        <v>15</v>
      </c>
      <c r="D117" s="122">
        <v>11</v>
      </c>
      <c r="E117" s="122">
        <v>3</v>
      </c>
      <c r="F117" s="135">
        <v>1</v>
      </c>
    </row>
    <row r="118" spans="2:6">
      <c r="B118" s="123" t="s">
        <v>90</v>
      </c>
      <c r="C118" s="124">
        <v>17</v>
      </c>
      <c r="D118" s="125">
        <v>16</v>
      </c>
      <c r="E118" s="125"/>
      <c r="F118" s="125">
        <v>1</v>
      </c>
    </row>
    <row r="119" spans="2:6">
      <c r="B119" s="123" t="s">
        <v>91</v>
      </c>
      <c r="C119" s="124">
        <v>8</v>
      </c>
      <c r="D119" s="125"/>
      <c r="E119" s="125">
        <v>5</v>
      </c>
      <c r="F119" s="125">
        <v>3</v>
      </c>
    </row>
    <row r="120" spans="2:6">
      <c r="B120" s="123" t="s">
        <v>92</v>
      </c>
      <c r="C120" s="124">
        <v>11</v>
      </c>
      <c r="D120" s="125">
        <v>7</v>
      </c>
      <c r="E120" s="125">
        <v>2</v>
      </c>
      <c r="F120" s="125">
        <v>2</v>
      </c>
    </row>
    <row r="121" spans="2:6">
      <c r="B121" s="123" t="s">
        <v>93</v>
      </c>
      <c r="C121" s="124">
        <v>6</v>
      </c>
      <c r="D121" s="125">
        <v>3</v>
      </c>
      <c r="E121" s="125">
        <v>3</v>
      </c>
      <c r="F121" s="125"/>
    </row>
    <row r="122" spans="2:6" ht="15" thickBot="1">
      <c r="B122" s="127" t="s">
        <v>94</v>
      </c>
      <c r="C122" s="128">
        <v>14</v>
      </c>
      <c r="D122" s="125">
        <v>14</v>
      </c>
      <c r="E122" s="125"/>
      <c r="F122" s="125"/>
    </row>
    <row r="123" spans="2:6" ht="15" thickBot="1">
      <c r="B123" s="136" t="s">
        <v>95</v>
      </c>
      <c r="C123" s="137">
        <v>246</v>
      </c>
      <c r="D123"/>
      <c r="E123"/>
      <c r="F123"/>
    </row>
    <row r="124" spans="2:6">
      <c r="B124" s="112"/>
    </row>
    <row r="125" spans="2:6">
      <c r="B125" s="112"/>
    </row>
    <row r="126" spans="2:6">
      <c r="B126" s="112"/>
    </row>
    <row r="129" spans="2:4" ht="15.6">
      <c r="B129" s="2" t="s">
        <v>96</v>
      </c>
    </row>
    <row r="131" spans="2:4">
      <c r="B131" s="96"/>
      <c r="C131" s="162" t="s">
        <v>97</v>
      </c>
      <c r="D131" s="162"/>
    </row>
    <row r="132" spans="2:4" ht="15" thickBot="1">
      <c r="B132" s="97"/>
      <c r="C132" s="98" t="s">
        <v>98</v>
      </c>
      <c r="D132" s="98" t="s">
        <v>99</v>
      </c>
    </row>
    <row r="133" spans="2:4">
      <c r="B133" s="175" t="s">
        <v>16</v>
      </c>
      <c r="C133" s="178"/>
      <c r="D133" s="99"/>
    </row>
    <row r="134" spans="2:4" ht="10.5" customHeight="1" thickBot="1">
      <c r="B134" s="176"/>
      <c r="C134" s="179"/>
      <c r="D134" s="100"/>
    </row>
    <row r="135" spans="2:4" ht="15" hidden="1" thickBot="1">
      <c r="B135" s="176"/>
      <c r="C135" s="179"/>
      <c r="D135" s="100"/>
    </row>
    <row r="136" spans="2:4" ht="15" hidden="1" thickBot="1">
      <c r="B136" s="176"/>
      <c r="C136" s="179"/>
      <c r="D136" s="100"/>
    </row>
    <row r="137" spans="2:4" ht="15" hidden="1" thickBot="1">
      <c r="B137" s="177"/>
      <c r="C137" s="180"/>
      <c r="D137" s="101" t="s">
        <v>100</v>
      </c>
    </row>
    <row r="138" spans="2:4">
      <c r="B138" s="181" t="s">
        <v>17</v>
      </c>
      <c r="C138" s="166"/>
      <c r="D138" s="172"/>
    </row>
    <row r="139" spans="2:4">
      <c r="B139" s="182"/>
      <c r="C139" s="167"/>
      <c r="D139" s="173"/>
    </row>
    <row r="140" spans="2:4" ht="11.1" customHeight="1" thickBot="1">
      <c r="B140" s="182"/>
      <c r="C140" s="167"/>
      <c r="D140" s="173"/>
    </row>
    <row r="141" spans="2:4" ht="15" hidden="1" thickBot="1">
      <c r="B141" s="182"/>
      <c r="C141" s="167"/>
      <c r="D141" s="173"/>
    </row>
    <row r="142" spans="2:4" ht="15" hidden="1" thickBot="1">
      <c r="B142" s="182"/>
      <c r="C142" s="167"/>
      <c r="D142" s="173"/>
    </row>
    <row r="143" spans="2:4" ht="15" hidden="1" thickBot="1">
      <c r="B143" s="183"/>
      <c r="C143" s="168"/>
      <c r="D143" s="174"/>
    </row>
    <row r="144" spans="2:4" ht="15" thickBot="1">
      <c r="B144" s="102" t="s">
        <v>18</v>
      </c>
      <c r="C144" s="103"/>
      <c r="D144" s="102"/>
    </row>
    <row r="145" spans="2:4" ht="15" thickBot="1">
      <c r="B145" s="104" t="s">
        <v>5</v>
      </c>
      <c r="C145" s="104"/>
      <c r="D145" s="104"/>
    </row>
    <row r="147" spans="2:4">
      <c r="B147" s="108" t="s">
        <v>101</v>
      </c>
    </row>
    <row r="149" spans="2:4">
      <c r="B149" s="139" t="s">
        <v>102</v>
      </c>
      <c r="C149" s="140" t="s">
        <v>103</v>
      </c>
    </row>
    <row r="150" spans="2:4">
      <c r="B150" s="139"/>
      <c r="C150" s="139"/>
    </row>
    <row r="151" spans="2:4" ht="18.95" thickBot="1">
      <c r="B151" s="106" t="s">
        <v>104</v>
      </c>
      <c r="C151" s="107">
        <v>204</v>
      </c>
    </row>
    <row r="152" spans="2:4" ht="18.95" thickBot="1">
      <c r="B152" s="106" t="s">
        <v>105</v>
      </c>
      <c r="C152" s="107">
        <v>19</v>
      </c>
    </row>
    <row r="153" spans="2:4" ht="18.95" thickBot="1">
      <c r="B153" s="106" t="s">
        <v>106</v>
      </c>
      <c r="C153" s="107">
        <v>23</v>
      </c>
    </row>
    <row r="154" spans="2:4" ht="18.95" thickBot="1">
      <c r="B154" s="106" t="s">
        <v>107</v>
      </c>
      <c r="C154" s="107">
        <v>0</v>
      </c>
    </row>
    <row r="155" spans="2:4" ht="18.95" thickBot="1">
      <c r="B155" s="106" t="s">
        <v>108</v>
      </c>
      <c r="C155" s="107">
        <v>0</v>
      </c>
    </row>
    <row r="156" spans="2:4" ht="18.95" thickBot="1">
      <c r="B156" s="106" t="s">
        <v>109</v>
      </c>
      <c r="C156" s="107">
        <v>0</v>
      </c>
    </row>
    <row r="157" spans="2:4" ht="18.95" thickBot="1">
      <c r="B157" s="106" t="s">
        <v>103</v>
      </c>
      <c r="C157" s="107">
        <f>SUM(C151:C156)</f>
        <v>246</v>
      </c>
    </row>
  </sheetData>
  <mergeCells count="32">
    <mergeCell ref="D138:D143"/>
    <mergeCell ref="B133:B137"/>
    <mergeCell ref="C133:C137"/>
    <mergeCell ref="B138:B143"/>
    <mergeCell ref="B2:I2"/>
    <mergeCell ref="I31:I35"/>
    <mergeCell ref="B71:B72"/>
    <mergeCell ref="B31:B35"/>
    <mergeCell ref="E31:E35"/>
    <mergeCell ref="F31:F35"/>
    <mergeCell ref="C71:C72"/>
    <mergeCell ref="D71:D72"/>
    <mergeCell ref="E71:E72"/>
    <mergeCell ref="G71:G72"/>
    <mergeCell ref="C31:C35"/>
    <mergeCell ref="D97:F97"/>
    <mergeCell ref="B149:B150"/>
    <mergeCell ref="C149:C150"/>
    <mergeCell ref="B6:C6"/>
    <mergeCell ref="B4:C4"/>
    <mergeCell ref="B11:C11"/>
    <mergeCell ref="B28:K28"/>
    <mergeCell ref="C29:E29"/>
    <mergeCell ref="F29:H29"/>
    <mergeCell ref="I29:K29"/>
    <mergeCell ref="B75:B78"/>
    <mergeCell ref="C75:C78"/>
    <mergeCell ref="C131:D131"/>
    <mergeCell ref="J31:J35"/>
    <mergeCell ref="C138:C143"/>
    <mergeCell ref="K31:K35"/>
    <mergeCell ref="B57:C57"/>
  </mergeCells>
  <conditionalFormatting sqref="A6 A13 A28 A42 A49 A57 A64 A69 A74 A82 A87 A91">
    <cfRule type="iconSet" priority="4">
      <iconSet iconSet="3Symbols2" showValue="0">
        <cfvo type="percent" val="0"/>
        <cfvo type="num" val="0"/>
        <cfvo type="num" val="0"/>
      </iconSet>
    </cfRule>
  </conditionalFormatting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63A6AE8B7E4A2449C903AFD2456BD74" ma:contentTypeVersion="4" ma:contentTypeDescription="Crear nuevo documento." ma:contentTypeScope="" ma:versionID="ddec260070336827ee8c328f02272273">
  <xsd:schema xmlns:xsd="http://www.w3.org/2001/XMLSchema" xmlns:xs="http://www.w3.org/2001/XMLSchema" xmlns:p="http://schemas.microsoft.com/office/2006/metadata/properties" xmlns:ns2="c4795172-acc8-41fc-abdb-af5ed44f61af" targetNamespace="http://schemas.microsoft.com/office/2006/metadata/properties" ma:root="true" ma:fieldsID="590a657cbc5fcb450edb0ba38c295f5b" ns2:_="">
    <xsd:import namespace="c4795172-acc8-41fc-abdb-af5ed44f61a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795172-acc8-41fc-abdb-af5ed44f61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17240D4-C739-4B2F-9D09-F130C383294D}"/>
</file>

<file path=customXml/itemProps2.xml><?xml version="1.0" encoding="utf-8"?>
<ds:datastoreItem xmlns:ds="http://schemas.openxmlformats.org/officeDocument/2006/customXml" ds:itemID="{000D9157-6A9A-434A-9C20-3CC7CB1BE6CE}"/>
</file>

<file path=customXml/itemProps3.xml><?xml version="1.0" encoding="utf-8"?>
<ds:datastoreItem xmlns:ds="http://schemas.openxmlformats.org/officeDocument/2006/customXml" ds:itemID="{E632C6CF-A7E9-4135-9D93-BD41B3DFFA1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Gonzales Estrada Sara Stephany</dc:creator>
  <cp:keywords/>
  <dc:description/>
  <cp:lastModifiedBy>Gonzales Estrada Sara Stephany</cp:lastModifiedBy>
  <cp:revision/>
  <dcterms:created xsi:type="dcterms:W3CDTF">2024-01-03T15:06:50Z</dcterms:created>
  <dcterms:modified xsi:type="dcterms:W3CDTF">2024-09-04T16:27:50Z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0x010100863A6AE8B7E4A2449C903AFD2456BD74</vt:lpwstr>
  </property>
</Properties>
</file>