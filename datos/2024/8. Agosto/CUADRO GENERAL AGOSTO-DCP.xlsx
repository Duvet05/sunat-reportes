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0" documentId="13_ncr:1_{0E006AA5-B41F-4927-9F46-4FF74DB68FAB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G148" i="1" l="1"/>
  <c r="C24" i="1"/>
</calcChain>
</file>

<file path=xl/sharedStrings.xml><?xml version="1.0" encoding="utf-8"?>
<sst xmlns="http://schemas.openxmlformats.org/spreadsheetml/2006/main" count="361" uniqueCount="205">
  <si>
    <t>COMITÉ INI</t>
  </si>
  <si>
    <t>STOCK DE DOCUMENTOS</t>
  </si>
  <si>
    <t>DCCI/DCCII/DCP</t>
  </si>
  <si>
    <t>FONDO DCP (INCA + DCCII)</t>
  </si>
  <si>
    <t>ADMISIBILIDAD</t>
  </si>
  <si>
    <t>TOTAL</t>
  </si>
  <si>
    <t xml:space="preserve">PRODUCTIVIDAD RECLAMOS </t>
  </si>
  <si>
    <t>DIVISIÓN DE CONTROL CONCURRENTE-I</t>
  </si>
  <si>
    <t>AGOSTO</t>
  </si>
  <si>
    <t>Reclamos resueltos</t>
  </si>
  <si>
    <t>Resolutor</t>
  </si>
  <si>
    <t>Producción Promedio</t>
  </si>
  <si>
    <t>DIVISIÓN DE CONTROL CONCURRENTE-II</t>
  </si>
  <si>
    <t>DIVISIÓN DE CONTROL POSTERIOR</t>
  </si>
  <si>
    <t>(*)</t>
  </si>
  <si>
    <t>(*) Incluye: 1 informe de demanda, 33 reclamos origen INCA por S/. 2.5 millones; y 8 reclamos origen DCC.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</si>
  <si>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</si>
  <si>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</si>
  <si>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</si>
  <si>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</si>
  <si>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</si>
  <si>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</si>
  <si>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</si>
  <si>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FONDO</t>
  </si>
  <si>
    <t>MEJORA RD</t>
  </si>
  <si>
    <t>MEJORA LC</t>
  </si>
  <si>
    <t xml:space="preserve">MEJORA </t>
  </si>
  <si>
    <t>ADMISIBILIDAD APELACIÓN</t>
  </si>
  <si>
    <t xml:space="preserve">PRODUCTO RESUELTO </t>
  </si>
  <si>
    <t>BIBLIOTECA DE RTF de LA DCP - Ene - Junio 2024: Incluye entre otros  Resultados, Tema y Sumilla de RTF origen INCA</t>
  </si>
  <si>
    <t>RESOLUTOR (EJEMPLO)</t>
  </si>
  <si>
    <t>PRODUCCIÓN PROMEDIO (EJEMPLO)</t>
  </si>
  <si>
    <t>PROGRAMACIÓN-AGOSTO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</si>
  <si>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</si>
  <si>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</si>
  <si>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</si>
  <si>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</si>
  <si>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</si>
  <si>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</si>
  <si>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</si>
  <si>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</si>
  <si>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</si>
  <si>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</si>
  <si>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</si>
  <si>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</si>
  <si>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</si>
  <si>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</si>
  <si>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</si>
  <si>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</si>
  <si>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</si>
  <si>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</si>
  <si>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</si>
  <si>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</si>
  <si>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</si>
  <si>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</si>
  <si>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</si>
  <si>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7U7202</t>
  </si>
  <si>
    <t>Allison Castro</t>
  </si>
  <si>
    <t>7U7301</t>
  </si>
  <si>
    <t xml:space="preserve">Cynthia Sánchez Ferrer </t>
  </si>
  <si>
    <t>41 Resoluciones(*)</t>
  </si>
  <si>
    <t>5.65 (**)</t>
  </si>
  <si>
    <t>7 Alta
34 Mediana</t>
  </si>
  <si>
    <t>1 Informe de DCA.</t>
  </si>
  <si>
    <t>(*) Incluye: 33 casos orginen INCA, 8 Casos origen DCC.</t>
  </si>
  <si>
    <t>(**) En el cálculo de resolutor efectivo, se ha considerado el tiempo destinado al analisis y sumillado de RTFs de Enero .- Junio de la DCP.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</si>
  <si>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</si>
  <si>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</si>
  <si>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</si>
  <si>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</si>
  <si>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</si>
  <si>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Motivo</t>
  </si>
  <si>
    <t>Cynthia Sánchez Ferrer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</si>
  <si>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</si>
  <si>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</si>
  <si>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</si>
  <si>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</si>
  <si>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</si>
  <si>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</si>
  <si>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</si>
  <si>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</si>
  <si>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</si>
  <si>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</si>
  <si>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</si>
  <si>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</si>
  <si>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</si>
  <si>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</si>
  <si>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</si>
  <si>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</si>
  <si>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</si>
  <si>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</si>
  <si>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</si>
  <si>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</si>
  <si>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</si>
  <si>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</si>
  <si>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</si>
  <si>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</si>
  <si>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</si>
  <si>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</si>
  <si>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</si>
  <si>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</si>
  <si>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</si>
  <si>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</si>
  <si>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</si>
  <si>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</si>
  <si>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</si>
  <si>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</si>
  <si>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</si>
  <si>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</si>
  <si>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</si>
  <si>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</si>
  <si>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</si>
  <si>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</si>
  <si>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</si>
  <si>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</si>
  <si>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</si>
  <si>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</si>
  <si>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</si>
  <si>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</si>
  <si>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</si>
  <si>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</si>
  <si>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</si>
  <si>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</si>
  <si>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</si>
  <si>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</si>
  <si>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</si>
  <si>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</si>
  <si>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</si>
  <si>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</si>
  <si>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</si>
  <si>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</si>
  <si>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</si>
  <si>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</si>
  <si>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</si>
  <si>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</si>
  <si>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</si>
  <si>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</si>
  <si>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</si>
  <si>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</si>
  <si>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</si>
  <si>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</si>
  <si>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</si>
  <si>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</si>
  <si>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</si>
  <si>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</si>
  <si>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</si>
  <si>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</si>
  <si>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</si>
  <si>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</si>
  <si>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</si>
  <si>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</si>
  <si>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</si>
  <si>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</si>
  <si>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</si>
  <si>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5844</t>
  </si>
  <si>
    <t>Richard Vela Nuñez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</si>
  <si>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</si>
  <si>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</si>
  <si>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</si>
  <si>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</si>
  <si>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</si>
  <si>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</si>
  <si>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</si>
  <si>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</si>
  <si>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</si>
  <si>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</si>
  <si>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5749</t>
  </si>
  <si>
    <t>Wilder Ulloa Ascencio</t>
  </si>
  <si>
    <t>AX34</t>
  </si>
  <si>
    <t>Enrique Villanueva Hurtado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</si>
  <si>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</si>
  <si>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</si>
  <si>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</si>
  <si>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</si>
  <si>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</si>
  <si>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</si>
  <si>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</si>
  <si>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</si>
  <si>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</si>
  <si>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</si>
  <si>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</si>
  <si>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</si>
  <si>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</si>
  <si>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</si>
  <si>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</si>
  <si>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</si>
  <si>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</si>
  <si>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</si>
  <si>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(*) Incluye Informe de DCA:</t>
  </si>
  <si>
    <t>ITOP REPORTADOS-AGOSTO 2024</t>
  </si>
  <si>
    <t>N° ITOP</t>
  </si>
  <si>
    <t> ASUNTO</t>
  </si>
  <si>
    <t>-</t>
  </si>
  <si>
    <t xml:space="preserve">I-980806 
 I-902560 
 I-1011110 </t>
  </si>
  <si>
    <r>
      <rPr>
        <b/>
        <sz val="8"/>
        <color rgb="FF000000"/>
        <rFont val="Calibri Light"/>
        <family val="2"/>
        <scheme val="major"/>
      </rPr>
      <t>I-980806</t>
    </r>
    <r>
      <rPr>
        <sz val="8"/>
        <color rgb="FF000000"/>
        <rFont val="Calibri Light"/>
        <family val="2"/>
        <scheme val="major"/>
      </rPr>
      <t xml:space="preserve">: Se generó ticket en virtud a que de la acumulación de 03 expedientes SIGERI el sistema no actualiza los intereses de los Expedientes acumulados, solamente actualiza intereses del SIGERI básico. 
</t>
    </r>
    <r>
      <rPr>
        <b/>
        <sz val="8"/>
        <color rgb="FF000000"/>
        <rFont val="Calibri Light"/>
        <family val="2"/>
        <scheme val="major"/>
      </rPr>
      <t xml:space="preserve"> I-902560:</t>
    </r>
    <r>
      <rPr>
        <sz val="8"/>
        <color rgb="FF000000"/>
        <rFont val="Calibri Light"/>
        <family val="2"/>
        <scheme val="major"/>
      </rPr>
      <t xml:space="preserve">
 Se solicitó verificar pago anulado en el RSIRAT al momento de calificar valor.
</t>
    </r>
    <r>
      <rPr>
        <b/>
        <sz val="8"/>
        <color rgb="FF000000"/>
        <rFont val="Calibri Light"/>
        <family val="2"/>
        <scheme val="major"/>
      </rPr>
      <t xml:space="preserve"> </t>
    </r>
    <r>
      <rPr>
        <sz val="8"/>
        <color rgb="FF000000"/>
        <rFont val="Calibri Light"/>
        <family val="2"/>
        <scheme val="major"/>
      </rPr>
      <t xml:space="preserve">
</t>
    </r>
    <r>
      <rPr>
        <b/>
        <sz val="8"/>
        <color rgb="FF000000"/>
        <rFont val="Calibri Light"/>
        <family val="2"/>
        <scheme val="major"/>
      </rPr>
      <t xml:space="preserve">  I-1011110 </t>
    </r>
    <r>
      <rPr>
        <sz val="8"/>
        <color rgb="FF000000"/>
        <rFont val="Calibri Light"/>
        <family val="2"/>
        <scheme val="major"/>
      </rPr>
      <t xml:space="preserve">  : Actualiza a resultado de L/C.</t>
    </r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</si>
  <si>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</si>
  <si>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</si>
  <si>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</si>
  <si>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</si>
  <si>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</si>
  <si>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</si>
  <si>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</si>
  <si>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</si>
  <si>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</si>
  <si>
    <t>(*) Incluye 33 casos origen INCA y 8 origen DCC.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</si>
</sst>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1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8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8"/>
      <color rgb="FF000000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0" xfId="0" applyFont="1"/>
    <xf numFmtId="0" fontId="6" fillId="14" borderId="14" xfId="0" applyFont="1" applyFill="1" applyBorder="1" applyAlignment="1">
      <alignment horizontal="center" vertical="center" wrapText="1" readingOrder="1"/>
    </xf>
    <xf numFmtId="0" fontId="17" fillId="0" borderId="0" xfId="0" applyFont="1"/>
    <xf numFmtId="0" fontId="6" fillId="14" borderId="15" xfId="0" applyFont="1" applyFill="1" applyBorder="1" applyAlignment="1">
      <alignment vertical="center" wrapText="1" readingOrder="1"/>
    </xf>
    <xf numFmtId="0" fontId="3" fillId="15" borderId="15" xfId="0" applyFont="1" applyFill="1" applyBorder="1" applyAlignment="1">
      <alignment horizontal="center" vertical="center" wrapText="1" readingOrder="1"/>
    </xf>
    <xf numFmtId="0" fontId="18" fillId="18" borderId="44" xfId="0" applyFont="1" applyFill="1" applyBorder="1" applyAlignment="1">
      <alignment horizontal="center" vertical="center" wrapText="1" readingOrder="1"/>
    </xf>
    <xf numFmtId="0" fontId="19" fillId="0" borderId="0" xfId="0" applyFont="1"/>
    <xf numFmtId="0" fontId="18" fillId="18" borderId="44" xfId="0" applyFont="1" applyFill="1" applyBorder="1" applyAlignment="1">
      <alignment horizontal="left" vertical="top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9"/>
  <sheetViews>
    <sheetView tabSelected="1" topLeftCell="A165" workbookViewId="0">
      <selection activeCell="B179" sqref="B179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3.5703125" style="39" customWidth="1"/>
    <col min="5" max="5" width="17.42578125" style="39" customWidth="1"/>
    <col min="6" max="6" width="10.85546875" style="39"/>
    <col min="7" max="7" width="23.85546875" style="39" customWidth="1"/>
    <col min="8" max="8" width="13.28515625" style="39" customWidth="1"/>
    <col min="9" max="16384" width="10.85546875" style="39"/>
  </cols>
  <sheetData>
    <row r="2" spans="1:9">
      <c r="B2" s="149" t="s">
        <v>0</v>
      </c>
      <c r="C2" s="149"/>
      <c r="D2" s="149"/>
      <c r="E2" s="149"/>
      <c r="F2" s="149"/>
      <c r="G2" s="149"/>
      <c r="H2" s="149"/>
      <c r="I2" s="149"/>
    </row>
    <row r="4" spans="1:9" ht="15.6">
      <c r="B4" s="157" t="s">
        <v>1</v>
      </c>
      <c r="C4" s="157"/>
    </row>
    <row r="5" spans="1:9" ht="15" thickBot="1"/>
    <row r="6" spans="1:9" ht="15" thickBot="1">
      <c r="A6" s="1">
        <v>1</v>
      </c>
      <c r="B6" s="155" t="s">
        <v>2</v>
      </c>
      <c r="C6" s="156"/>
    </row>
    <row r="7" spans="1:9" ht="15" thickBot="1">
      <c r="B7" s="41" t="s">
        <v>3</v>
      </c>
      <c r="C7" s="42">
        <v>39</v>
      </c>
    </row>
    <row r="8" spans="1:9" ht="15" thickBot="1">
      <c r="B8" s="43" t="s">
        <v>4</v>
      </c>
      <c r="C8" s="44">
        <v>10</v>
      </c>
    </row>
    <row r="9" spans="1:9" ht="15" thickBot="1">
      <c r="B9" s="45" t="s">
        <v>5</v>
      </c>
      <c r="C9" s="46">
        <f>C7+C8</f>
        <v>49</v>
      </c>
    </row>
    <row r="11" spans="1:9" ht="15.6">
      <c r="B11" s="157" t="s">
        <v>6</v>
      </c>
      <c r="C11" s="157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  <c r="C14" s="50"/>
    </row>
    <row r="15" spans="1:9" ht="15" thickBot="1">
      <c r="B15" s="51" t="s">
        <v>10</v>
      </c>
      <c r="C15" s="52"/>
    </row>
    <row r="16" spans="1:9" ht="15" thickBot="1">
      <c r="B16" s="49" t="s">
        <v>11</v>
      </c>
      <c r="C16" s="53"/>
    </row>
    <row r="17" spans="1:11" ht="26.45" thickBot="1">
      <c r="B17" s="47" t="s">
        <v>12</v>
      </c>
      <c r="C17" s="48" t="s">
        <v>8</v>
      </c>
    </row>
    <row r="18" spans="1:11" ht="15" thickBot="1">
      <c r="B18" s="49" t="s">
        <v>9</v>
      </c>
      <c r="C18" s="54"/>
    </row>
    <row r="19" spans="1:11" ht="15" thickBot="1">
      <c r="B19" s="51" t="s">
        <v>10</v>
      </c>
      <c r="C19" s="55"/>
    </row>
    <row r="20" spans="1:11" ht="15" thickBot="1">
      <c r="B20" s="49" t="s">
        <v>11</v>
      </c>
      <c r="C20" s="56"/>
    </row>
    <row r="21" spans="1:11" ht="26.45" thickBot="1">
      <c r="B21" s="47" t="s">
        <v>13</v>
      </c>
      <c r="C21" s="48" t="s">
        <v>8</v>
      </c>
    </row>
    <row r="22" spans="1:11" ht="15" thickBot="1">
      <c r="B22" s="49" t="s">
        <v>9</v>
      </c>
      <c r="C22" s="54">
        <v>42</v>
      </c>
      <c r="D22" s="39" t="s">
        <v>14</v>
      </c>
    </row>
    <row r="23" spans="1:11" ht="15" thickBot="1">
      <c r="B23" s="51" t="s">
        <v>10</v>
      </c>
      <c r="C23" s="55">
        <v>5.65</v>
      </c>
    </row>
    <row r="24" spans="1:11" ht="15" thickBot="1">
      <c r="B24" s="49" t="s">
        <v>11</v>
      </c>
      <c r="C24" s="56">
        <f>C22/C23</f>
        <v>7.4336283185840699</v>
      </c>
    </row>
    <row r="25" spans="1:11">
      <c r="B25" s="124" t="s">
        <v>15</v>
      </c>
      <c r="C25" s="128"/>
      <c r="D25" s="124"/>
      <c r="E25" s="124"/>
      <c r="F25" s="124"/>
      <c r="G25" s="124"/>
    </row>
    <row r="28" spans="1:11" ht="15.6">
      <c r="B28" s="2" t="s">
        <v>16</v>
      </c>
      <c r="C28" s="119"/>
    </row>
    <row r="29" spans="1:11" ht="15" thickBot="1"/>
    <row r="30" spans="1:11" ht="15" thickBot="1">
      <c r="A30" s="1">
        <v>3</v>
      </c>
      <c r="B30" s="158" t="s">
        <v>17</v>
      </c>
      <c r="C30" s="159"/>
      <c r="D30" s="159"/>
      <c r="E30" s="159"/>
      <c r="F30" s="159"/>
      <c r="G30" s="159"/>
      <c r="H30" s="159"/>
      <c r="I30" s="159"/>
      <c r="J30" s="159"/>
      <c r="K30" s="160"/>
    </row>
    <row r="31" spans="1:11" ht="15" thickBot="1">
      <c r="B31" s="3" t="s">
        <v>18</v>
      </c>
      <c r="C31" s="161" t="s">
        <v>19</v>
      </c>
      <c r="D31" s="162"/>
      <c r="E31" s="163"/>
      <c r="F31" s="164" t="s">
        <v>20</v>
      </c>
      <c r="G31" s="165"/>
      <c r="H31" s="166"/>
      <c r="I31" s="167" t="s">
        <v>21</v>
      </c>
      <c r="J31" s="168"/>
      <c r="K31" s="169"/>
    </row>
    <row r="32" spans="1:11" ht="39.6" thickBot="1">
      <c r="B32" s="3" t="s">
        <v>22</v>
      </c>
      <c r="C32" s="4" t="s">
        <v>23</v>
      </c>
      <c r="D32" s="4" t="s">
        <v>24</v>
      </c>
      <c r="E32" s="4" t="s">
        <v>4</v>
      </c>
      <c r="F32" s="5" t="s">
        <v>23</v>
      </c>
      <c r="G32" s="5" t="s">
        <v>25</v>
      </c>
      <c r="H32" s="5" t="s">
        <v>4</v>
      </c>
      <c r="I32" s="6" t="s">
        <v>23</v>
      </c>
      <c r="J32" s="6" t="s">
        <v>26</v>
      </c>
      <c r="K32" s="7" t="s">
        <v>27</v>
      </c>
    </row>
    <row r="33" spans="1:11">
      <c r="B33" s="185" t="s">
        <v>28</v>
      </c>
      <c r="C33" s="180"/>
      <c r="D33" s="8"/>
      <c r="E33" s="180"/>
      <c r="F33" s="188"/>
      <c r="G33" s="9"/>
      <c r="H33" s="10"/>
      <c r="I33" s="150"/>
      <c r="J33" s="150" t="s">
        <v>29</v>
      </c>
      <c r="K33" s="175"/>
    </row>
    <row r="34" spans="1:11">
      <c r="B34" s="186"/>
      <c r="C34" s="181"/>
      <c r="D34" s="11"/>
      <c r="E34" s="181"/>
      <c r="F34" s="189"/>
      <c r="G34" s="12"/>
      <c r="H34" s="13"/>
      <c r="I34" s="151"/>
      <c r="J34" s="151"/>
      <c r="K34" s="176"/>
    </row>
    <row r="35" spans="1:11">
      <c r="B35" s="186"/>
      <c r="C35" s="181"/>
      <c r="D35" s="11"/>
      <c r="E35" s="181"/>
      <c r="F35" s="189"/>
      <c r="G35" s="12"/>
      <c r="H35" s="13"/>
      <c r="I35" s="151"/>
      <c r="J35" s="151"/>
      <c r="K35" s="176"/>
    </row>
    <row r="36" spans="1:11">
      <c r="B36" s="186"/>
      <c r="C36" s="181"/>
      <c r="D36" s="14"/>
      <c r="E36" s="181"/>
      <c r="F36" s="189"/>
      <c r="G36" s="15"/>
      <c r="H36" s="13"/>
      <c r="I36" s="151"/>
      <c r="J36" s="151"/>
      <c r="K36" s="176"/>
    </row>
    <row r="37" spans="1:11" ht="87.95" customHeight="1" thickBot="1">
      <c r="B37" s="187"/>
      <c r="C37" s="182"/>
      <c r="D37" s="16"/>
      <c r="E37" s="182"/>
      <c r="F37" s="190"/>
      <c r="G37" s="17"/>
      <c r="H37" s="18"/>
      <c r="I37" s="152"/>
      <c r="J37" s="152"/>
      <c r="K37" s="177"/>
    </row>
    <row r="38" spans="1:11" ht="15" thickBot="1">
      <c r="B38" s="3" t="s">
        <v>30</v>
      </c>
      <c r="C38" s="19"/>
      <c r="D38" s="19"/>
      <c r="E38" s="19"/>
      <c r="F38" s="20"/>
      <c r="G38" s="20"/>
      <c r="H38" s="20"/>
      <c r="I38" s="21"/>
      <c r="J38" s="21">
        <v>7</v>
      </c>
      <c r="K38" s="22"/>
    </row>
    <row r="39" spans="1:11" ht="26.45" thickBot="1">
      <c r="B39" s="23" t="s">
        <v>31</v>
      </c>
      <c r="C39" s="24"/>
      <c r="D39" s="24"/>
      <c r="E39" s="24"/>
      <c r="F39" s="25"/>
      <c r="G39" s="25"/>
      <c r="H39" s="25"/>
      <c r="I39" s="26"/>
      <c r="J39" s="26">
        <v>7</v>
      </c>
      <c r="K39" s="27"/>
    </row>
    <row r="42" spans="1:11" ht="15.6">
      <c r="B42" s="2" t="s">
        <v>32</v>
      </c>
    </row>
    <row r="43" spans="1:11" ht="15" thickBot="1"/>
    <row r="44" spans="1:11" ht="15" thickBot="1">
      <c r="A44" s="1">
        <v>4</v>
      </c>
      <c r="B44" s="57" t="s">
        <v>19</v>
      </c>
      <c r="C44" s="58"/>
    </row>
    <row r="45" spans="1:11" ht="15" thickBot="1">
      <c r="B45" s="59" t="s">
        <v>20</v>
      </c>
      <c r="C45" s="60"/>
    </row>
    <row r="46" spans="1:11" ht="15" thickBot="1">
      <c r="B46" s="61" t="s">
        <v>21</v>
      </c>
      <c r="C46" s="62">
        <v>25</v>
      </c>
    </row>
    <row r="49" spans="1:6" ht="15.6">
      <c r="B49" s="2" t="s">
        <v>33</v>
      </c>
    </row>
    <row r="50" spans="1:6" ht="15" thickBot="1"/>
    <row r="51" spans="1:6" ht="26.45" thickBot="1">
      <c r="A51" s="1">
        <v>5</v>
      </c>
      <c r="B51" s="28" t="s">
        <v>18</v>
      </c>
      <c r="C51" s="28" t="s">
        <v>34</v>
      </c>
      <c r="D51" s="28" t="s">
        <v>35</v>
      </c>
      <c r="E51" s="28" t="s">
        <v>36</v>
      </c>
      <c r="F51" s="28" t="s">
        <v>37</v>
      </c>
    </row>
    <row r="52" spans="1:6" ht="15" thickBot="1">
      <c r="B52" s="28" t="s">
        <v>19</v>
      </c>
      <c r="C52" s="29"/>
      <c r="D52" s="29"/>
      <c r="E52" s="29"/>
      <c r="F52" s="29"/>
    </row>
    <row r="53" spans="1:6" ht="15" thickBot="1">
      <c r="B53" s="28" t="s">
        <v>20</v>
      </c>
      <c r="C53" s="30"/>
      <c r="D53" s="30"/>
      <c r="E53" s="30"/>
      <c r="F53" s="30"/>
    </row>
    <row r="54" spans="1:6" ht="15" thickBot="1">
      <c r="B54" s="28" t="s">
        <v>21</v>
      </c>
      <c r="C54" s="31">
        <v>0</v>
      </c>
      <c r="D54" s="31">
        <v>0</v>
      </c>
      <c r="E54" s="31">
        <v>0</v>
      </c>
      <c r="F54" s="31">
        <v>0</v>
      </c>
    </row>
    <row r="57" spans="1:6" ht="15.6">
      <c r="B57" s="2" t="s">
        <v>38</v>
      </c>
    </row>
    <row r="58" spans="1:6" ht="15" thickBot="1"/>
    <row r="59" spans="1:6" ht="15" thickBot="1">
      <c r="A59" s="1">
        <v>6</v>
      </c>
      <c r="B59" s="155" t="s">
        <v>2</v>
      </c>
      <c r="C59" s="156"/>
    </row>
    <row r="60" spans="1:6" ht="15" thickBot="1">
      <c r="B60" s="63" t="s">
        <v>39</v>
      </c>
      <c r="C60" s="42"/>
    </row>
    <row r="61" spans="1:6" ht="15" thickBot="1">
      <c r="B61" s="64" t="s">
        <v>4</v>
      </c>
      <c r="C61" s="44"/>
    </row>
    <row r="62" spans="1:6" ht="15" thickBot="1">
      <c r="B62" s="65" t="s">
        <v>40</v>
      </c>
      <c r="C62" s="46">
        <v>1</v>
      </c>
    </row>
    <row r="63" spans="1:6">
      <c r="B63" s="128"/>
    </row>
    <row r="64" spans="1:6" ht="15.6">
      <c r="B64" s="2" t="s">
        <v>41</v>
      </c>
    </row>
    <row r="65" spans="1:7" ht="15" thickBot="1"/>
    <row r="66" spans="1:7" ht="26.45" thickBot="1">
      <c r="A66" s="1">
        <v>7</v>
      </c>
      <c r="B66" s="66" t="s">
        <v>42</v>
      </c>
      <c r="C66" s="67" t="s">
        <v>43</v>
      </c>
      <c r="D66" s="67" t="s">
        <v>44</v>
      </c>
      <c r="E66" s="67" t="s">
        <v>45</v>
      </c>
      <c r="F66" s="67" t="s">
        <v>46</v>
      </c>
      <c r="G66" s="68" t="s">
        <v>47</v>
      </c>
    </row>
    <row r="67" spans="1:7" ht="26.45" thickBot="1">
      <c r="B67" s="69" t="s">
        <v>48</v>
      </c>
      <c r="C67" s="70" t="s">
        <v>49</v>
      </c>
      <c r="D67" s="71"/>
      <c r="E67" s="71"/>
      <c r="F67" s="71"/>
      <c r="G67" s="71"/>
    </row>
    <row r="68" spans="1:7" ht="15" thickBot="1">
      <c r="B68" s="69" t="s">
        <v>50</v>
      </c>
      <c r="C68" s="72" t="s">
        <v>51</v>
      </c>
      <c r="D68" s="73"/>
      <c r="E68" s="73"/>
      <c r="F68" s="73"/>
      <c r="G68" s="73"/>
    </row>
    <row r="69" spans="1:7" ht="26.45" thickBot="1">
      <c r="B69" s="69" t="s">
        <v>52</v>
      </c>
      <c r="C69" s="70" t="s">
        <v>53</v>
      </c>
      <c r="D69" s="71"/>
      <c r="E69" s="71"/>
      <c r="F69" s="71"/>
      <c r="G69" s="71"/>
    </row>
    <row r="70" spans="1:7" ht="15" thickBot="1"/>
    <row r="71" spans="1:7" ht="26.45" thickBot="1">
      <c r="A71" s="1">
        <v>8</v>
      </c>
      <c r="B71" s="74" t="s">
        <v>42</v>
      </c>
      <c r="C71" s="75" t="s">
        <v>43</v>
      </c>
      <c r="D71" s="75" t="s">
        <v>44</v>
      </c>
      <c r="E71" s="75" t="s">
        <v>45</v>
      </c>
      <c r="F71" s="74" t="s">
        <v>46</v>
      </c>
      <c r="G71" s="75" t="s">
        <v>47</v>
      </c>
    </row>
    <row r="72" spans="1:7" ht="27" thickTop="1" thickBot="1">
      <c r="B72" s="76" t="s">
        <v>54</v>
      </c>
      <c r="C72" s="77" t="s">
        <v>55</v>
      </c>
      <c r="D72" s="78"/>
      <c r="E72" s="78"/>
      <c r="F72" s="78"/>
      <c r="G72" s="78"/>
    </row>
    <row r="73" spans="1:7" ht="32.1" customHeight="1">
      <c r="B73" s="183" t="s">
        <v>56</v>
      </c>
      <c r="C73" s="191" t="s">
        <v>57</v>
      </c>
      <c r="D73" s="178"/>
      <c r="E73" s="178"/>
      <c r="F73" s="79"/>
      <c r="G73" s="178"/>
    </row>
    <row r="74" spans="1:7" ht="15" thickBot="1">
      <c r="B74" s="184"/>
      <c r="C74" s="192"/>
      <c r="D74" s="179"/>
      <c r="E74" s="179"/>
      <c r="F74" s="80"/>
      <c r="G74" s="179"/>
    </row>
    <row r="75" spans="1:7" ht="15" thickBot="1"/>
    <row r="76" spans="1:7" ht="26.45" thickBot="1">
      <c r="A76" s="1">
        <v>9</v>
      </c>
      <c r="B76" s="81" t="s">
        <v>42</v>
      </c>
      <c r="C76" s="82" t="s">
        <v>43</v>
      </c>
      <c r="D76" s="82" t="s">
        <v>44</v>
      </c>
      <c r="E76" s="82" t="s">
        <v>45</v>
      </c>
      <c r="F76" s="83" t="s">
        <v>46</v>
      </c>
      <c r="G76" s="84" t="s">
        <v>47</v>
      </c>
    </row>
    <row r="77" spans="1:7" ht="26.1">
      <c r="B77" s="123" t="s">
        <v>58</v>
      </c>
      <c r="C77" s="170" t="s">
        <v>59</v>
      </c>
      <c r="D77" s="85" t="s">
        <v>60</v>
      </c>
      <c r="E77" s="86" t="s">
        <v>61</v>
      </c>
      <c r="F77" s="86" t="s">
        <v>62</v>
      </c>
      <c r="G77" s="126">
        <v>7.43</v>
      </c>
    </row>
    <row r="78" spans="1:7" ht="26.1">
      <c r="B78" s="125"/>
      <c r="C78" s="170"/>
      <c r="D78" s="85" t="s">
        <v>63</v>
      </c>
      <c r="E78" s="86"/>
      <c r="F78" s="86"/>
      <c r="G78" s="86"/>
    </row>
    <row r="79" spans="1:7">
      <c r="B79" s="39" t="s">
        <v>64</v>
      </c>
    </row>
    <row r="80" spans="1:7">
      <c r="B80" s="39" t="s">
        <v>65</v>
      </c>
    </row>
    <row r="82" spans="1:7" ht="15.6">
      <c r="B82" s="2" t="s">
        <v>66</v>
      </c>
    </row>
    <row r="83" spans="1:7" ht="15" thickBot="1"/>
    <row r="84" spans="1:7" ht="26.45" thickBot="1">
      <c r="A84" s="1">
        <v>10</v>
      </c>
      <c r="B84" s="66" t="s">
        <v>42</v>
      </c>
      <c r="C84" s="67" t="s">
        <v>43</v>
      </c>
      <c r="D84" s="67" t="s">
        <v>67</v>
      </c>
      <c r="E84" s="67" t="s">
        <v>68</v>
      </c>
      <c r="F84" s="67" t="s">
        <v>69</v>
      </c>
      <c r="G84" s="68" t="s">
        <v>46</v>
      </c>
    </row>
    <row r="85" spans="1:7" ht="26.45" thickBot="1">
      <c r="B85" s="69" t="s">
        <v>48</v>
      </c>
      <c r="C85" s="70" t="s">
        <v>49</v>
      </c>
      <c r="D85" s="71"/>
      <c r="E85" s="71"/>
      <c r="F85" s="71"/>
      <c r="G85" s="71"/>
    </row>
    <row r="86" spans="1:7" ht="15" thickBot="1">
      <c r="B86" s="69" t="s">
        <v>50</v>
      </c>
      <c r="C86" s="72" t="s">
        <v>51</v>
      </c>
      <c r="D86" s="73"/>
      <c r="E86" s="73"/>
      <c r="F86" s="73"/>
      <c r="G86" s="73"/>
    </row>
    <row r="87" spans="1:7" ht="26.45" thickBot="1">
      <c r="B87" s="69" t="s">
        <v>52</v>
      </c>
      <c r="C87" s="70" t="s">
        <v>53</v>
      </c>
      <c r="D87" s="71"/>
      <c r="E87" s="71"/>
      <c r="F87" s="71"/>
      <c r="G87" s="71"/>
    </row>
    <row r="88" spans="1:7" ht="15" thickBot="1"/>
    <row r="89" spans="1:7" ht="26.45" thickBot="1">
      <c r="A89" s="1">
        <v>11</v>
      </c>
      <c r="B89" s="87" t="s">
        <v>42</v>
      </c>
      <c r="C89" s="88" t="s">
        <v>43</v>
      </c>
      <c r="D89" s="88" t="s">
        <v>67</v>
      </c>
      <c r="E89" s="88" t="s">
        <v>68</v>
      </c>
      <c r="F89" s="88" t="s">
        <v>70</v>
      </c>
      <c r="G89" s="89" t="s">
        <v>46</v>
      </c>
    </row>
    <row r="90" spans="1:7" ht="26.45" thickBot="1">
      <c r="B90" s="90" t="s">
        <v>54</v>
      </c>
      <c r="C90" s="91" t="s">
        <v>55</v>
      </c>
      <c r="D90" s="92"/>
      <c r="E90" s="92"/>
      <c r="F90" s="92"/>
      <c r="G90" s="92"/>
    </row>
    <row r="91" spans="1:7" ht="15" thickBot="1">
      <c r="B91" s="90" t="s">
        <v>56</v>
      </c>
      <c r="C91" s="93" t="s">
        <v>57</v>
      </c>
      <c r="D91" s="94"/>
      <c r="E91" s="94"/>
      <c r="F91" s="94"/>
      <c r="G91" s="94"/>
    </row>
    <row r="92" spans="1:7" ht="15" thickBot="1"/>
    <row r="93" spans="1:7" ht="26.45" thickBot="1">
      <c r="A93" s="1">
        <v>12</v>
      </c>
      <c r="B93" s="95" t="s">
        <v>42</v>
      </c>
      <c r="C93" s="83" t="s">
        <v>43</v>
      </c>
      <c r="D93" s="83" t="s">
        <v>67</v>
      </c>
      <c r="E93" s="83" t="s">
        <v>68</v>
      </c>
      <c r="F93" s="83" t="s">
        <v>71</v>
      </c>
      <c r="G93" s="96" t="s">
        <v>46</v>
      </c>
    </row>
    <row r="94" spans="1:7" ht="26.45" thickBot="1">
      <c r="B94" s="97" t="s">
        <v>58</v>
      </c>
      <c r="C94" s="98" t="s">
        <v>72</v>
      </c>
      <c r="D94" s="99"/>
      <c r="E94" s="99"/>
      <c r="F94" s="100"/>
      <c r="G94" s="100"/>
    </row>
    <row r="97" spans="1:8">
      <c r="B97" s="134" t="s">
        <v>73</v>
      </c>
      <c r="C97" s="134"/>
      <c r="D97" s="134"/>
      <c r="E97" s="134"/>
      <c r="F97" s="134"/>
      <c r="G97" s="134"/>
      <c r="H97" s="134"/>
    </row>
    <row r="98" spans="1:8" ht="15.6">
      <c r="B98" s="135" t="s">
        <v>74</v>
      </c>
      <c r="C98" s="135"/>
      <c r="D98" s="135"/>
      <c r="E98" s="135"/>
      <c r="F98" s="135"/>
      <c r="G98" s="135"/>
      <c r="H98" s="135"/>
    </row>
    <row r="99" spans="1:8" ht="15" thickBot="1">
      <c r="A99" s="1">
        <v>12</v>
      </c>
      <c r="B99" s="101" t="s">
        <v>18</v>
      </c>
      <c r="C99" s="102" t="s">
        <v>75</v>
      </c>
      <c r="D99" s="102" t="s">
        <v>76</v>
      </c>
      <c r="E99" s="102" t="s">
        <v>77</v>
      </c>
      <c r="F99" s="102" t="s">
        <v>78</v>
      </c>
      <c r="G99" s="103" t="s">
        <v>79</v>
      </c>
    </row>
    <row r="100" spans="1:8">
      <c r="B100" s="136" t="s">
        <v>80</v>
      </c>
      <c r="C100" s="104" t="s">
        <v>48</v>
      </c>
      <c r="D100" s="105" t="s">
        <v>81</v>
      </c>
      <c r="E100" s="32" t="s">
        <v>82</v>
      </c>
      <c r="F100" s="33" t="s">
        <v>83</v>
      </c>
      <c r="G100" s="34"/>
    </row>
    <row r="101" spans="1:8">
      <c r="B101" s="137"/>
      <c r="C101" s="106" t="s">
        <v>48</v>
      </c>
      <c r="D101" s="107" t="s">
        <v>84</v>
      </c>
      <c r="E101" s="35" t="s">
        <v>85</v>
      </c>
      <c r="F101" s="36" t="s">
        <v>86</v>
      </c>
      <c r="G101" s="37"/>
    </row>
    <row r="102" spans="1:8">
      <c r="B102" s="137"/>
      <c r="C102" s="106" t="s">
        <v>48</v>
      </c>
      <c r="D102" s="107" t="s">
        <v>87</v>
      </c>
      <c r="E102" s="35" t="s">
        <v>88</v>
      </c>
      <c r="F102" s="36" t="s">
        <v>89</v>
      </c>
      <c r="G102" s="37"/>
    </row>
    <row r="103" spans="1:8">
      <c r="B103" s="137"/>
      <c r="C103" s="106" t="s">
        <v>48</v>
      </c>
      <c r="D103" s="107" t="s">
        <v>90</v>
      </c>
      <c r="E103" s="35" t="s">
        <v>91</v>
      </c>
      <c r="F103" s="36" t="s">
        <v>89</v>
      </c>
      <c r="G103" s="37"/>
    </row>
    <row r="104" spans="1:8">
      <c r="B104" s="137"/>
      <c r="C104" s="106" t="s">
        <v>48</v>
      </c>
      <c r="D104" s="107" t="s">
        <v>92</v>
      </c>
      <c r="E104" s="35" t="s">
        <v>93</v>
      </c>
      <c r="F104" s="36" t="s">
        <v>94</v>
      </c>
      <c r="G104" s="37"/>
    </row>
    <row r="105" spans="1:8">
      <c r="B105" s="137"/>
      <c r="C105" s="106" t="s">
        <v>48</v>
      </c>
      <c r="D105" s="107" t="s">
        <v>95</v>
      </c>
      <c r="E105" s="35" t="s">
        <v>96</v>
      </c>
      <c r="F105" s="36" t="s">
        <v>89</v>
      </c>
      <c r="G105" s="37"/>
    </row>
    <row r="106" spans="1:8">
      <c r="B106" s="137"/>
      <c r="C106" s="106" t="s">
        <v>48</v>
      </c>
      <c r="D106" s="107" t="s">
        <v>97</v>
      </c>
      <c r="E106" s="35" t="s">
        <v>98</v>
      </c>
      <c r="F106" s="36" t="s">
        <v>94</v>
      </c>
      <c r="G106" s="37"/>
    </row>
    <row r="107" spans="1:8">
      <c r="B107" s="137"/>
      <c r="C107" s="106" t="s">
        <v>48</v>
      </c>
      <c r="D107" s="107" t="s">
        <v>99</v>
      </c>
      <c r="E107" s="35" t="s">
        <v>100</v>
      </c>
      <c r="F107" s="36" t="s">
        <v>89</v>
      </c>
      <c r="G107" s="37"/>
    </row>
    <row r="108" spans="1:8">
      <c r="B108" s="137"/>
      <c r="C108" s="106" t="s">
        <v>48</v>
      </c>
      <c r="D108" s="108" t="s">
        <v>101</v>
      </c>
      <c r="E108" s="35" t="s">
        <v>102</v>
      </c>
      <c r="F108" s="36" t="s">
        <v>103</v>
      </c>
      <c r="G108" s="37"/>
    </row>
    <row r="109" spans="1:8">
      <c r="B109" s="137"/>
      <c r="C109" s="104" t="s">
        <v>50</v>
      </c>
      <c r="D109" s="105" t="s">
        <v>104</v>
      </c>
      <c r="E109" s="32" t="s">
        <v>105</v>
      </c>
      <c r="F109" s="33" t="s">
        <v>83</v>
      </c>
      <c r="G109" s="34"/>
    </row>
    <row r="110" spans="1:8">
      <c r="B110" s="137"/>
      <c r="C110" s="106" t="s">
        <v>50</v>
      </c>
      <c r="D110" s="107" t="s">
        <v>106</v>
      </c>
      <c r="E110" s="35" t="s">
        <v>107</v>
      </c>
      <c r="F110" s="36" t="s">
        <v>103</v>
      </c>
      <c r="G110" s="37"/>
    </row>
    <row r="111" spans="1:8">
      <c r="B111" s="137"/>
      <c r="C111" s="106" t="s">
        <v>50</v>
      </c>
      <c r="D111" s="107" t="s">
        <v>108</v>
      </c>
      <c r="E111" s="35" t="s">
        <v>109</v>
      </c>
      <c r="F111" s="36" t="s">
        <v>86</v>
      </c>
      <c r="G111" s="37"/>
    </row>
    <row r="112" spans="1:8">
      <c r="B112" s="137"/>
      <c r="C112" s="106" t="s">
        <v>50</v>
      </c>
      <c r="D112" s="108" t="s">
        <v>110</v>
      </c>
      <c r="E112" s="35" t="s">
        <v>111</v>
      </c>
      <c r="F112" s="36" t="s">
        <v>86</v>
      </c>
      <c r="G112" s="37"/>
    </row>
    <row r="113" spans="2:7">
      <c r="B113" s="137"/>
      <c r="C113" s="106" t="s">
        <v>50</v>
      </c>
      <c r="D113" s="108" t="s">
        <v>112</v>
      </c>
      <c r="E113" s="35" t="s">
        <v>113</v>
      </c>
      <c r="F113" s="36" t="s">
        <v>114</v>
      </c>
      <c r="G113" s="37"/>
    </row>
    <row r="114" spans="2:7">
      <c r="B114" s="137"/>
      <c r="C114" s="106" t="s">
        <v>50</v>
      </c>
      <c r="D114" s="107" t="s">
        <v>115</v>
      </c>
      <c r="E114" s="35" t="s">
        <v>116</v>
      </c>
      <c r="F114" s="36" t="s">
        <v>86</v>
      </c>
      <c r="G114" s="37"/>
    </row>
    <row r="115" spans="2:7">
      <c r="B115" s="137"/>
      <c r="C115" s="106" t="s">
        <v>50</v>
      </c>
      <c r="D115" s="107" t="s">
        <v>117</v>
      </c>
      <c r="E115" s="35" t="s">
        <v>118</v>
      </c>
      <c r="F115" s="36" t="s">
        <v>94</v>
      </c>
      <c r="G115" s="37"/>
    </row>
    <row r="116" spans="2:7">
      <c r="B116" s="137"/>
      <c r="C116" s="104" t="s">
        <v>52</v>
      </c>
      <c r="D116" s="105" t="s">
        <v>119</v>
      </c>
      <c r="E116" s="32" t="s">
        <v>120</v>
      </c>
      <c r="F116" s="33" t="s">
        <v>121</v>
      </c>
      <c r="G116" s="34"/>
    </row>
    <row r="117" spans="2:7">
      <c r="B117" s="137"/>
      <c r="C117" s="106" t="s">
        <v>52</v>
      </c>
      <c r="D117" s="107" t="s">
        <v>122</v>
      </c>
      <c r="E117" s="35" t="s">
        <v>123</v>
      </c>
      <c r="F117" s="36" t="s">
        <v>94</v>
      </c>
      <c r="G117" s="37"/>
    </row>
    <row r="118" spans="2:7">
      <c r="B118" s="137"/>
      <c r="C118" s="106" t="s">
        <v>52</v>
      </c>
      <c r="D118" s="107" t="s">
        <v>124</v>
      </c>
      <c r="E118" s="35" t="s">
        <v>125</v>
      </c>
      <c r="F118" s="36" t="s">
        <v>103</v>
      </c>
      <c r="G118" s="37"/>
    </row>
    <row r="119" spans="2:7">
      <c r="B119" s="137"/>
      <c r="C119" s="106" t="s">
        <v>52</v>
      </c>
      <c r="D119" s="107" t="s">
        <v>126</v>
      </c>
      <c r="E119" s="35" t="s">
        <v>127</v>
      </c>
      <c r="F119" s="36" t="s">
        <v>103</v>
      </c>
      <c r="G119" s="37"/>
    </row>
    <row r="120" spans="2:7">
      <c r="B120" s="137"/>
      <c r="C120" s="106" t="s">
        <v>52</v>
      </c>
      <c r="D120" s="107" t="s">
        <v>128</v>
      </c>
      <c r="E120" s="35" t="s">
        <v>129</v>
      </c>
      <c r="F120" s="36" t="s">
        <v>86</v>
      </c>
      <c r="G120" s="37"/>
    </row>
    <row r="121" spans="2:7">
      <c r="B121" s="137"/>
      <c r="C121" s="106" t="s">
        <v>52</v>
      </c>
      <c r="D121" s="109" t="s">
        <v>130</v>
      </c>
      <c r="E121" s="35" t="s">
        <v>131</v>
      </c>
      <c r="F121" s="36" t="s">
        <v>94</v>
      </c>
      <c r="G121" s="37"/>
    </row>
    <row r="122" spans="2:7">
      <c r="B122" s="137"/>
      <c r="C122" s="106" t="s">
        <v>52</v>
      </c>
      <c r="D122" s="109" t="s">
        <v>132</v>
      </c>
      <c r="E122" s="35" t="s">
        <v>133</v>
      </c>
      <c r="F122" s="36" t="s">
        <v>94</v>
      </c>
      <c r="G122" s="37"/>
    </row>
    <row r="123" spans="2:7">
      <c r="B123" s="137"/>
      <c r="C123" s="106" t="s">
        <v>52</v>
      </c>
      <c r="D123" s="107" t="s">
        <v>134</v>
      </c>
      <c r="E123" s="35" t="s">
        <v>135</v>
      </c>
      <c r="F123" s="36" t="s">
        <v>94</v>
      </c>
      <c r="G123" s="37"/>
    </row>
    <row r="124" spans="2:7" ht="15" thickBot="1">
      <c r="B124" s="138"/>
      <c r="C124" s="106" t="s">
        <v>52</v>
      </c>
      <c r="D124" s="109" t="s">
        <v>136</v>
      </c>
      <c r="E124" s="35" t="s">
        <v>137</v>
      </c>
      <c r="F124" s="36" t="s">
        <v>89</v>
      </c>
      <c r="G124" s="37"/>
    </row>
    <row r="125" spans="2:7">
      <c r="B125" s="136" t="s">
        <v>138</v>
      </c>
      <c r="C125" s="104" t="s">
        <v>139</v>
      </c>
      <c r="D125" s="105" t="s">
        <v>140</v>
      </c>
      <c r="E125" s="32" t="s">
        <v>141</v>
      </c>
      <c r="F125" s="33" t="s">
        <v>83</v>
      </c>
      <c r="G125" s="34"/>
    </row>
    <row r="126" spans="2:7">
      <c r="B126" s="137"/>
      <c r="C126" s="110" t="s">
        <v>54</v>
      </c>
      <c r="D126" s="108" t="s">
        <v>142</v>
      </c>
      <c r="E126" s="35" t="s">
        <v>143</v>
      </c>
      <c r="F126" s="36" t="s">
        <v>103</v>
      </c>
      <c r="G126" s="37"/>
    </row>
    <row r="127" spans="2:7">
      <c r="B127" s="137"/>
      <c r="C127" s="110" t="s">
        <v>54</v>
      </c>
      <c r="D127" s="108" t="s">
        <v>101</v>
      </c>
      <c r="E127" s="35" t="s">
        <v>144</v>
      </c>
      <c r="F127" s="36" t="s">
        <v>103</v>
      </c>
      <c r="G127" s="37"/>
    </row>
    <row r="128" spans="2:7">
      <c r="B128" s="137"/>
      <c r="C128" s="110" t="s">
        <v>54</v>
      </c>
      <c r="D128" s="108" t="s">
        <v>145</v>
      </c>
      <c r="E128" s="35" t="s">
        <v>146</v>
      </c>
      <c r="F128" s="36" t="s">
        <v>103</v>
      </c>
      <c r="G128" s="37"/>
    </row>
    <row r="129" spans="2:8">
      <c r="B129" s="137"/>
      <c r="C129" s="110" t="s">
        <v>54</v>
      </c>
      <c r="D129" s="108" t="s">
        <v>147</v>
      </c>
      <c r="E129" s="35" t="s">
        <v>148</v>
      </c>
      <c r="F129" s="36" t="s">
        <v>149</v>
      </c>
      <c r="G129" s="37"/>
    </row>
    <row r="130" spans="2:8">
      <c r="B130" s="137"/>
      <c r="C130" s="110" t="s">
        <v>54</v>
      </c>
      <c r="D130" s="108" t="s">
        <v>150</v>
      </c>
      <c r="E130" s="35" t="s">
        <v>151</v>
      </c>
      <c r="F130" s="36" t="s">
        <v>94</v>
      </c>
      <c r="G130" s="37"/>
    </row>
    <row r="131" spans="2:8">
      <c r="B131" s="137"/>
      <c r="C131" s="110" t="s">
        <v>54</v>
      </c>
      <c r="D131" s="108" t="s">
        <v>152</v>
      </c>
      <c r="E131" s="35" t="s">
        <v>153</v>
      </c>
      <c r="F131" s="36" t="s">
        <v>94</v>
      </c>
      <c r="G131" s="38"/>
    </row>
    <row r="132" spans="2:8">
      <c r="B132" s="137"/>
      <c r="C132" s="110" t="s">
        <v>54</v>
      </c>
      <c r="D132" s="108" t="s">
        <v>154</v>
      </c>
      <c r="E132" s="35" t="s">
        <v>155</v>
      </c>
      <c r="F132" s="36" t="s">
        <v>103</v>
      </c>
      <c r="G132" s="38"/>
    </row>
    <row r="133" spans="2:8">
      <c r="B133" s="137"/>
      <c r="C133" s="104" t="s">
        <v>56</v>
      </c>
      <c r="D133" s="105" t="s">
        <v>156</v>
      </c>
      <c r="E133" s="32" t="s">
        <v>157</v>
      </c>
      <c r="F133" s="33" t="s">
        <v>83</v>
      </c>
      <c r="G133" s="34"/>
    </row>
    <row r="134" spans="2:8">
      <c r="B134" s="137"/>
      <c r="C134" s="110" t="s">
        <v>56</v>
      </c>
      <c r="D134" s="108" t="s">
        <v>158</v>
      </c>
      <c r="E134" s="35" t="s">
        <v>159</v>
      </c>
      <c r="F134" s="36" t="s">
        <v>86</v>
      </c>
      <c r="G134" s="37"/>
    </row>
    <row r="135" spans="2:8">
      <c r="B135" s="137"/>
      <c r="C135" s="110" t="s">
        <v>56</v>
      </c>
      <c r="D135" s="108" t="s">
        <v>160</v>
      </c>
      <c r="E135" s="35" t="s">
        <v>161</v>
      </c>
      <c r="F135" s="36" t="s">
        <v>103</v>
      </c>
      <c r="G135" s="37"/>
    </row>
    <row r="136" spans="2:8">
      <c r="B136" s="137"/>
      <c r="C136" s="110" t="s">
        <v>56</v>
      </c>
      <c r="D136" s="108" t="s">
        <v>162</v>
      </c>
      <c r="E136" s="35" t="s">
        <v>163</v>
      </c>
      <c r="F136" s="36" t="s">
        <v>149</v>
      </c>
      <c r="G136" s="37"/>
    </row>
    <row r="137" spans="2:8">
      <c r="B137" s="137"/>
      <c r="C137" s="110" t="s">
        <v>56</v>
      </c>
      <c r="D137" s="108" t="s">
        <v>164</v>
      </c>
      <c r="E137" s="35" t="s">
        <v>165</v>
      </c>
      <c r="F137" s="36" t="s">
        <v>103</v>
      </c>
      <c r="G137" s="37"/>
    </row>
    <row r="138" spans="2:8">
      <c r="B138" s="137"/>
      <c r="C138" s="110" t="s">
        <v>56</v>
      </c>
      <c r="D138" s="108" t="s">
        <v>166</v>
      </c>
      <c r="E138" s="35" t="s">
        <v>167</v>
      </c>
      <c r="F138" s="36" t="s">
        <v>89</v>
      </c>
      <c r="G138" s="37"/>
    </row>
    <row r="139" spans="2:8" ht="15" thickBot="1">
      <c r="B139" s="138"/>
      <c r="C139" s="110" t="s">
        <v>56</v>
      </c>
      <c r="D139" s="108" t="s">
        <v>168</v>
      </c>
      <c r="E139" s="35" t="s">
        <v>169</v>
      </c>
      <c r="F139" s="36" t="s">
        <v>149</v>
      </c>
      <c r="G139" s="37"/>
    </row>
    <row r="140" spans="2:8">
      <c r="B140" s="136" t="s">
        <v>170</v>
      </c>
      <c r="C140" s="104" t="s">
        <v>171</v>
      </c>
      <c r="D140" s="105" t="s">
        <v>172</v>
      </c>
      <c r="E140" s="32" t="s">
        <v>173</v>
      </c>
      <c r="F140" s="33" t="s">
        <v>83</v>
      </c>
      <c r="G140" s="34"/>
    </row>
    <row r="141" spans="2:8">
      <c r="B141" s="137"/>
      <c r="C141" s="110" t="s">
        <v>58</v>
      </c>
      <c r="D141" s="108" t="s">
        <v>174</v>
      </c>
      <c r="E141" s="35" t="s">
        <v>175</v>
      </c>
      <c r="F141" s="36" t="s">
        <v>89</v>
      </c>
      <c r="G141" s="37">
        <v>4</v>
      </c>
    </row>
    <row r="142" spans="2:8">
      <c r="B142" s="137"/>
      <c r="C142" s="110" t="s">
        <v>58</v>
      </c>
      <c r="D142" s="108" t="s">
        <v>176</v>
      </c>
      <c r="E142" s="35" t="s">
        <v>177</v>
      </c>
      <c r="F142" s="36" t="s">
        <v>86</v>
      </c>
      <c r="G142" s="37">
        <v>5</v>
      </c>
      <c r="H142" s="39" t="s">
        <v>14</v>
      </c>
    </row>
    <row r="143" spans="2:8">
      <c r="B143" s="137"/>
      <c r="C143" s="110" t="s">
        <v>58</v>
      </c>
      <c r="D143" s="108" t="s">
        <v>178</v>
      </c>
      <c r="E143" s="35" t="s">
        <v>179</v>
      </c>
      <c r="F143" s="36" t="s">
        <v>89</v>
      </c>
      <c r="G143" s="37">
        <v>2</v>
      </c>
    </row>
    <row r="144" spans="2:8">
      <c r="B144" s="137"/>
      <c r="C144" s="110" t="s">
        <v>58</v>
      </c>
      <c r="D144" s="108" t="s">
        <v>180</v>
      </c>
      <c r="E144" s="35" t="s">
        <v>181</v>
      </c>
      <c r="F144" s="36" t="s">
        <v>86</v>
      </c>
      <c r="G144" s="37">
        <v>15</v>
      </c>
    </row>
    <row r="145" spans="1:7">
      <c r="B145" s="137"/>
      <c r="C145" s="110" t="s">
        <v>58</v>
      </c>
      <c r="D145" s="109" t="s">
        <v>182</v>
      </c>
      <c r="E145" s="35" t="s">
        <v>183</v>
      </c>
      <c r="F145" s="36" t="s">
        <v>94</v>
      </c>
      <c r="G145" s="37">
        <v>3</v>
      </c>
    </row>
    <row r="146" spans="1:7">
      <c r="B146" s="137"/>
      <c r="C146" s="110" t="s">
        <v>58</v>
      </c>
      <c r="D146" s="109" t="s">
        <v>184</v>
      </c>
      <c r="E146" s="35" t="s">
        <v>185</v>
      </c>
      <c r="F146" s="36" t="s">
        <v>89</v>
      </c>
      <c r="G146" s="37">
        <v>4</v>
      </c>
    </row>
    <row r="147" spans="1:7" ht="15" thickBot="1">
      <c r="B147" s="139"/>
      <c r="C147" s="109" t="s">
        <v>58</v>
      </c>
      <c r="D147" s="109" t="s">
        <v>186</v>
      </c>
      <c r="E147" s="35" t="s">
        <v>187</v>
      </c>
      <c r="F147" s="36" t="s">
        <v>86</v>
      </c>
      <c r="G147" s="37">
        <v>9</v>
      </c>
    </row>
    <row r="148" spans="1:7">
      <c r="B148" s="39" t="s">
        <v>188</v>
      </c>
      <c r="G148" s="39">
        <f>SUM(G141:G147)</f>
        <v>42</v>
      </c>
    </row>
    <row r="150" spans="1:7" ht="15.6">
      <c r="B150" s="2" t="s">
        <v>189</v>
      </c>
    </row>
    <row r="152" spans="1:7">
      <c r="A152" s="1">
        <v>14</v>
      </c>
      <c r="B152" s="111"/>
      <c r="C152" s="171" t="s">
        <v>8</v>
      </c>
      <c r="D152" s="171"/>
    </row>
    <row r="153" spans="1:7" ht="15" thickBot="1">
      <c r="B153" s="112"/>
      <c r="C153" s="113" t="s">
        <v>190</v>
      </c>
      <c r="D153" s="113" t="s">
        <v>191</v>
      </c>
    </row>
    <row r="154" spans="1:7">
      <c r="B154" s="140" t="s">
        <v>19</v>
      </c>
      <c r="C154" s="143" t="s">
        <v>192</v>
      </c>
      <c r="D154" s="114"/>
    </row>
    <row r="155" spans="1:7">
      <c r="B155" s="141"/>
      <c r="C155" s="144"/>
      <c r="D155" s="115"/>
    </row>
    <row r="156" spans="1:7">
      <c r="B156" s="141"/>
      <c r="C156" s="144"/>
      <c r="D156" s="130" t="s">
        <v>192</v>
      </c>
    </row>
    <row r="157" spans="1:7">
      <c r="B157" s="141"/>
      <c r="C157" s="144"/>
      <c r="D157" s="115"/>
    </row>
    <row r="158" spans="1:7" ht="15" thickBot="1">
      <c r="B158" s="142"/>
      <c r="C158" s="145"/>
      <c r="D158" s="116"/>
    </row>
    <row r="159" spans="1:7">
      <c r="B159" s="146" t="s">
        <v>20</v>
      </c>
      <c r="C159" s="172" t="s">
        <v>192</v>
      </c>
      <c r="D159" s="131" t="s">
        <v>192</v>
      </c>
    </row>
    <row r="160" spans="1:7">
      <c r="B160" s="147"/>
      <c r="C160" s="173"/>
      <c r="D160" s="132"/>
    </row>
    <row r="161" spans="1:4">
      <c r="B161" s="147"/>
      <c r="C161" s="173"/>
      <c r="D161" s="132"/>
    </row>
    <row r="162" spans="1:4">
      <c r="B162" s="147"/>
      <c r="C162" s="173"/>
      <c r="D162" s="132"/>
    </row>
    <row r="163" spans="1:4">
      <c r="B163" s="147"/>
      <c r="C163" s="173"/>
      <c r="D163" s="132"/>
    </row>
    <row r="164" spans="1:4" ht="15" thickBot="1">
      <c r="B164" s="148"/>
      <c r="C164" s="174"/>
      <c r="D164" s="133"/>
    </row>
    <row r="165" spans="1:4" ht="255" customHeight="1" thickBot="1">
      <c r="B165" s="117" t="s">
        <v>21</v>
      </c>
      <c r="C165" s="127" t="s">
        <v>193</v>
      </c>
      <c r="D165" s="129" t="s">
        <v>194</v>
      </c>
    </row>
    <row r="166" spans="1:4" ht="15" thickBot="1">
      <c r="B166" s="118" t="s">
        <v>5</v>
      </c>
      <c r="C166" s="118"/>
      <c r="D166" s="118"/>
    </row>
    <row r="168" spans="1:4">
      <c r="B168" s="122" t="s">
        <v>195</v>
      </c>
    </row>
    <row r="170" spans="1:4">
      <c r="A170" s="1">
        <v>14</v>
      </c>
      <c r="B170" s="153" t="s">
        <v>196</v>
      </c>
      <c r="C170" s="154" t="s">
        <v>197</v>
      </c>
    </row>
    <row r="171" spans="1:4">
      <c r="B171" s="153"/>
      <c r="C171" s="153"/>
    </row>
    <row r="172" spans="1:4" ht="18.95" thickBot="1">
      <c r="B172" s="120" t="s">
        <v>198</v>
      </c>
      <c r="C172" s="121">
        <v>26</v>
      </c>
    </row>
    <row r="173" spans="1:4" ht="18.95" thickBot="1">
      <c r="B173" s="120" t="s">
        <v>199</v>
      </c>
      <c r="C173" s="121"/>
    </row>
    <row r="174" spans="1:4" ht="18.95" thickBot="1">
      <c r="B174" s="120" t="s">
        <v>200</v>
      </c>
      <c r="C174" s="121">
        <v>15</v>
      </c>
    </row>
    <row r="175" spans="1:4" ht="18.95" thickBot="1">
      <c r="B175" s="120" t="s">
        <v>201</v>
      </c>
      <c r="C175" s="121"/>
    </row>
    <row r="176" spans="1:4" ht="18.95" thickBot="1">
      <c r="B176" s="120" t="s">
        <v>202</v>
      </c>
      <c r="C176" s="121"/>
    </row>
    <row r="177" spans="2:4" ht="18.95" thickBot="1">
      <c r="B177" s="120" t="s">
        <v>203</v>
      </c>
      <c r="C177" s="121"/>
    </row>
    <row r="178" spans="2:4" ht="18.95" thickBot="1">
      <c r="B178" s="120" t="s">
        <v>197</v>
      </c>
      <c r="C178" s="121">
        <v>41</v>
      </c>
      <c r="D178" s="39" t="s">
        <v>14</v>
      </c>
    </row>
    <row r="179" spans="2:4">
      <c r="B179" s="39" t="s">
        <v>204</v>
      </c>
    </row>
  </sheetData>
  <mergeCells count="35">
    <mergeCell ref="G73:G74"/>
    <mergeCell ref="C33:C37"/>
    <mergeCell ref="B59:C59"/>
    <mergeCell ref="B73:B74"/>
    <mergeCell ref="B33:B37"/>
    <mergeCell ref="E33:E37"/>
    <mergeCell ref="F33:F37"/>
    <mergeCell ref="C73:C74"/>
    <mergeCell ref="D73:D74"/>
    <mergeCell ref="E73:E74"/>
    <mergeCell ref="B2:I2"/>
    <mergeCell ref="I33:I37"/>
    <mergeCell ref="B170:B171"/>
    <mergeCell ref="C170:C171"/>
    <mergeCell ref="B6:C6"/>
    <mergeCell ref="B4:C4"/>
    <mergeCell ref="B11:C11"/>
    <mergeCell ref="B30:K30"/>
    <mergeCell ref="C31:E31"/>
    <mergeCell ref="F31:H31"/>
    <mergeCell ref="I31:K31"/>
    <mergeCell ref="C77:C78"/>
    <mergeCell ref="C152:D152"/>
    <mergeCell ref="J33:J37"/>
    <mergeCell ref="C159:C164"/>
    <mergeCell ref="K33:K37"/>
    <mergeCell ref="D159:D164"/>
    <mergeCell ref="B97:H97"/>
    <mergeCell ref="B98:H98"/>
    <mergeCell ref="B100:B124"/>
    <mergeCell ref="B125:B139"/>
    <mergeCell ref="B140:B147"/>
    <mergeCell ref="B154:B158"/>
    <mergeCell ref="C154:C158"/>
    <mergeCell ref="B159:B164"/>
  </mergeCells>
  <conditionalFormatting sqref="A152 A6 A13 A30 A44 A51 A59 A66 A71 A76 A84 A89 A93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9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70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21D033-04B2-427D-BB7D-40C9B0492CA2}"/>
</file>

<file path=customXml/itemProps2.xml><?xml version="1.0" encoding="utf-8"?>
<ds:datastoreItem xmlns:ds="http://schemas.openxmlformats.org/officeDocument/2006/customXml" ds:itemID="{A24E5979-4C4C-4EB4-88A7-D04F756B834B}"/>
</file>

<file path=customXml/itemProps3.xml><?xml version="1.0" encoding="utf-8"?>
<ds:datastoreItem xmlns:ds="http://schemas.openxmlformats.org/officeDocument/2006/customXml" ds:itemID="{274A3620-4B77-4E46-B3CB-1F68851D3B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2025-01-14T09:40:40Z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