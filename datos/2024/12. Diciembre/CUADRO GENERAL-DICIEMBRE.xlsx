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0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unatperu.sharepoint.com/sites/i-ni/7U7000/Productividad/2024/12. Diciembre/"/>
    </mc:Choice>
  </mc:AlternateContent>
  <xr:revisionPtr revIDLastSave="251" documentId="13_ncr:1_{A86C1AA8-A67C-4834-943C-F2D8BD6BE1CB}" xr6:coauthVersionLast="47" xr6:coauthVersionMax="47" xr10:uidLastSave="{ACBAC7A7-7B2B-43F1-AFDA-2E851EC9BD3D}"/>
  <bookViews>
    <workbookView xWindow="-110" yWindow="-110" windowWidth="19420" windowHeight="10420" xr2:uid="{2EFA1358-0385-4213-83A5-14E931E4CB47}"/>
  </bookViews>
  <sheets>
    <sheet name="GAFA" sheetId="1" r:id="rId1"/>
  </sheets>
  <definedNames>
    <definedName name="_xlnm._FilterDatabase" localSheetId="0" hidden="1">GAFA!$B$83:$G$83</definedName>
  </definedNames>
  <calcPr calcId="191028" calcCompleted="0"/>
  <pivotCaches>
    <pivotCache cacheId="4136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8" i="1" l="1"/>
  <c r="D18" i="1"/>
  <c r="C18" i="1"/>
  <c r="G54" i="1"/>
  <c r="G55" i="1"/>
  <c r="G53" i="1"/>
  <c r="C26" i="1" l="1"/>
  <c r="C17" i="1"/>
  <c r="C10" i="1" l="1"/>
  <c r="G133" i="1" l="1"/>
  <c r="G62" i="1"/>
  <c r="E17" i="1"/>
  <c r="E10" i="1"/>
  <c r="D10" i="1"/>
  <c r="D17" i="1"/>
  <c r="G59" i="1"/>
  <c r="G58" i="1"/>
  <c r="G124" i="1"/>
  <c r="C154" i="1"/>
</calcChain>
</file>

<file path=xl/sharedStrings.xml><?xml version="1.0" encoding="utf-8"?>
<sst xmlns="http://schemas.openxmlformats.org/spreadsheetml/2006/main" count="273" uniqueCount="166">
  <si>
    <t>COMITÉ INI</t>
  </si>
  <si>
    <t>STOCK DE DOCUMENTOS</t>
  </si>
  <si>
    <t>DCCI</t>
  </si>
  <si>
    <t>DCCII</t>
  </si>
  <si>
    <t>DCP</t>
  </si>
  <si>
    <t>FONDO</t>
  </si>
  <si>
    <t>(*)</t>
  </si>
  <si>
    <t>ADMISIBILIDAD</t>
  </si>
  <si>
    <t>INGRESADO</t>
  </si>
  <si>
    <t>TOTAL</t>
  </si>
  <si>
    <t>(*) Incluye 5 casos de DCCII</t>
  </si>
  <si>
    <t xml:space="preserve">PRODUCTIVIDAD RECLAMOS </t>
  </si>
  <si>
    <t>DIVISIÓN DE CONTROL CONCURRENTE-I</t>
  </si>
  <si>
    <t>DIVISIÓN DE CONTROL CONCURRENTE-II</t>
  </si>
  <si>
    <t>DIVISIÓN DE CONTROL POSTERIOR</t>
  </si>
  <si>
    <t>Reclamos resueltos</t>
  </si>
  <si>
    <t>Resolutor</t>
  </si>
  <si>
    <t>Producción Promedio</t>
  </si>
  <si>
    <t xml:space="preserve"> (*) Incluye: 22 casos orginen INCA, 05 Casos origen DCCII</t>
  </si>
  <si>
    <t>PRODUCTIVIDAD (LABORES ADICIONALES)</t>
  </si>
  <si>
    <t>PRODUCCIÓN</t>
  </si>
  <si>
    <t>UUOO</t>
  </si>
  <si>
    <t>MATERIA</t>
  </si>
  <si>
    <t>Atencion informes de demanda</t>
  </si>
  <si>
    <t>MEJORA LC</t>
  </si>
  <si>
    <t>MEJORA (IAMC)</t>
  </si>
  <si>
    <t xml:space="preserve">PRODUCTO RESUELTO </t>
  </si>
  <si>
    <t>RESOLUTOR</t>
  </si>
  <si>
    <t>PRODUCCIÓN PROMEDIO</t>
  </si>
  <si>
    <t>PROGRAMACIÓN NOV</t>
  </si>
  <si>
    <t>Exp</t>
  </si>
  <si>
    <t>Columna1</t>
  </si>
  <si>
    <t>STOCK VENCIDOS</t>
  </si>
  <si>
    <t>VENCIDO +9 MESES</t>
  </si>
  <si>
    <t>9 MESES</t>
  </si>
  <si>
    <t>8 MESES</t>
  </si>
  <si>
    <t>7 MESES</t>
  </si>
  <si>
    <t>1 *</t>
  </si>
  <si>
    <t xml:space="preserve">* Remitido a la DCCI vencido el plazo: </t>
  </si>
  <si>
    <t>NO GESTIONABLE Y REINGRESADOS</t>
  </si>
  <si>
    <t>NO GESTIONABLE</t>
  </si>
  <si>
    <t xml:space="preserve">REINGRESADOS </t>
  </si>
  <si>
    <t>PRODUCTIVIDAD POR SUPERVISIÓN</t>
  </si>
  <si>
    <t>Supervisión</t>
  </si>
  <si>
    <t>Nombre y apellido</t>
  </si>
  <si>
    <t>Resolución aplicada</t>
  </si>
  <si>
    <t>Resolutor efectivo</t>
  </si>
  <si>
    <t>Complejidad</t>
  </si>
  <si>
    <t>Producción promedio</t>
  </si>
  <si>
    <t>7U7101</t>
  </si>
  <si>
    <t>Allison Castro</t>
  </si>
  <si>
    <t>7U7102</t>
  </si>
  <si>
    <t>Teresita Quezada</t>
  </si>
  <si>
    <t>7U7103</t>
  </si>
  <si>
    <t>Angelita Santillan</t>
  </si>
  <si>
    <t>7U7201</t>
  </si>
  <si>
    <t>Yessenia Salcedo</t>
  </si>
  <si>
    <t>7U7202</t>
  </si>
  <si>
    <t>Alberto Munive</t>
  </si>
  <si>
    <t>7U7301</t>
  </si>
  <si>
    <t xml:space="preserve">Cynthia Sánchez Ferrer </t>
  </si>
  <si>
    <t>Alta 5
Mediana 22</t>
  </si>
  <si>
    <t>(*) Incluye: 22 casos orginen INCA, 05 Casos origen DCCII</t>
  </si>
  <si>
    <t>PROYECTADO Y NO APLICADO</t>
  </si>
  <si>
    <t xml:space="preserve">Resolución proyectada </t>
  </si>
  <si>
    <r>
      <t>Resolución</t>
    </r>
    <r>
      <rPr>
        <b/>
        <u/>
        <sz val="10"/>
        <color rgb="FFFFFFFF"/>
        <rFont val="Calibri Light"/>
        <family val="2"/>
      </rPr>
      <t xml:space="preserve"> NO </t>
    </r>
    <r>
      <rPr>
        <b/>
        <sz val="10"/>
        <color rgb="FFFFFFFF"/>
        <rFont val="Calibri Light"/>
        <family val="2"/>
      </rPr>
      <t>aplicada</t>
    </r>
    <r>
      <rPr>
        <b/>
        <u/>
        <sz val="10"/>
        <color rgb="FFFFFFFF"/>
        <rFont val="Calibri Light"/>
        <family val="2"/>
      </rPr>
      <t xml:space="preserve"> </t>
    </r>
  </si>
  <si>
    <t xml:space="preserve">Motivo </t>
  </si>
  <si>
    <t xml:space="preserve"> Coordinacion con el  area origen</t>
  </si>
  <si>
    <r>
      <t>Resolución</t>
    </r>
    <r>
      <rPr>
        <b/>
        <u/>
        <sz val="10"/>
        <color rgb="FFFFFFFF"/>
        <rFont val="Calibri Light"/>
        <family val="2"/>
        <scheme val="major"/>
      </rPr>
      <t xml:space="preserve"> </t>
    </r>
    <r>
      <rPr>
        <b/>
        <sz val="10"/>
        <color rgb="FFFFFFFF"/>
        <rFont val="Calibri Light"/>
        <family val="2"/>
        <scheme val="major"/>
      </rPr>
      <t>aplicada</t>
    </r>
    <r>
      <rPr>
        <b/>
        <u/>
        <sz val="10"/>
        <color rgb="FFFFFFFF"/>
        <rFont val="Calibri Light"/>
        <family val="2"/>
        <scheme val="major"/>
      </rPr>
      <t xml:space="preserve"> </t>
    </r>
  </si>
  <si>
    <t xml:space="preserve">      Motivo</t>
  </si>
  <si>
    <t>AlbertoMunive</t>
  </si>
  <si>
    <t>Motivo</t>
  </si>
  <si>
    <t>Cynthia Sánchez Ferrer</t>
  </si>
  <si>
    <t>Resolutor/supervisión</t>
  </si>
  <si>
    <t>Cantidad de resoluciones</t>
  </si>
  <si>
    <t>5569-GLADYS ANGELITA, SANTILLAN VALDIVIA</t>
  </si>
  <si>
    <t>2858-JULIO RAMIRO, CASTAÑEDA CALDERON</t>
  </si>
  <si>
    <t>4770-MARITZA, MOLLINEDO CATUNTA</t>
  </si>
  <si>
    <t>5556-JORGE LUIS, SANCHEZ TORRES</t>
  </si>
  <si>
    <t>7330-TANIA ELENA, ROSALES OCHOA</t>
  </si>
  <si>
    <t>7611-AZHIR YUSSEF, SANDOVAL GUEVARA</t>
  </si>
  <si>
    <t>7661-LUIS ALBERTO, CORDOVA MEZA</t>
  </si>
  <si>
    <t>7674-ANDRES EDUARDO, ANGULO FARFAN</t>
  </si>
  <si>
    <t>7625-TERESITA MILAGROS, QUEZADA VILLAR</t>
  </si>
  <si>
    <t>2968-MARIA LUISA, CHIRE TUNQUE</t>
  </si>
  <si>
    <t>3977-WILLIAN ARNALDO, GODOY ESCALANTE</t>
  </si>
  <si>
    <t>4504-HUGO ALBERTO, JIMENEZ SUCLLA</t>
  </si>
  <si>
    <t>4949-JAVIER GUSTAVO, OYARSE CRUZ</t>
  </si>
  <si>
    <t>7324-ZAIRA, CARBAJAL JARA</t>
  </si>
  <si>
    <t>7649-ALLISON ERIKA, CASTRO LAGOS</t>
  </si>
  <si>
    <t>2900-CAROLINA MARCELA, CAVERO CARRION</t>
  </si>
  <si>
    <t>3085-EDGAR FERNANDO, COSIO JARA</t>
  </si>
  <si>
    <t>3284-ANA MARIA, DIAZ JURADO</t>
  </si>
  <si>
    <t>4561-CESAR VICTOR, LINARES ALCANTARA</t>
  </si>
  <si>
    <t>5534-CELSO FELIX, SANCHEZ GARRIDO</t>
  </si>
  <si>
    <t>5565-VICTORIA AGUSTINA, SANTA CRUZ MARTINEZ</t>
  </si>
  <si>
    <t>Total general</t>
  </si>
  <si>
    <t>7U7200 DIVISION DE CONTROL CONCURRENTE II</t>
  </si>
  <si>
    <t xml:space="preserve">7U7201 </t>
  </si>
  <si>
    <t>7587</t>
  </si>
  <si>
    <t>Yessenia Salcedo Diaz</t>
  </si>
  <si>
    <t>Supervisor 2</t>
  </si>
  <si>
    <t>7342</t>
  </si>
  <si>
    <t>Juan Cuya Velarde</t>
  </si>
  <si>
    <t>Especialista 3</t>
  </si>
  <si>
    <t>4644</t>
  </si>
  <si>
    <t>Carlos Malaga Portocarrero</t>
  </si>
  <si>
    <t>AO21</t>
  </si>
  <si>
    <t>Renierd Rios Gomez</t>
  </si>
  <si>
    <t>CAS</t>
  </si>
  <si>
    <t>7211</t>
  </si>
  <si>
    <t>Roberto Rivarola Hidalgo</t>
  </si>
  <si>
    <t>Especialista 2</t>
  </si>
  <si>
    <t>7624</t>
  </si>
  <si>
    <t>Poul Valdivia Charca</t>
  </si>
  <si>
    <t>5844</t>
  </si>
  <si>
    <t>Richard Vela Nuñez</t>
  </si>
  <si>
    <t>4840</t>
  </si>
  <si>
    <t>Alberto Munive Bisetti</t>
  </si>
  <si>
    <t>2423</t>
  </si>
  <si>
    <t>Cecilia Acosta Salazar</t>
  </si>
  <si>
    <t>Especialista 4</t>
  </si>
  <si>
    <t>7326</t>
  </si>
  <si>
    <t>Lydia Arestegui Pereyra</t>
  </si>
  <si>
    <t>AT75</t>
  </si>
  <si>
    <t>Victoria Flores Alvitez</t>
  </si>
  <si>
    <t>7151</t>
  </si>
  <si>
    <t>Lourdes Pretel Noblecilla</t>
  </si>
  <si>
    <t>3511</t>
  </si>
  <si>
    <t>Luis Figueroa Santa Cruz</t>
  </si>
  <si>
    <t>5749</t>
  </si>
  <si>
    <t>Wilder Ulloa Ascencio</t>
  </si>
  <si>
    <t>Especialista 5</t>
  </si>
  <si>
    <t>4569</t>
  </si>
  <si>
    <t xml:space="preserve">Jose Linarez Amacifuen </t>
  </si>
  <si>
    <t>TOTAL DCCII</t>
  </si>
  <si>
    <t>7U7300 DIVISION DE CONTROL POSTERIOR</t>
  </si>
  <si>
    <t xml:space="preserve">7U7301 </t>
  </si>
  <si>
    <t>6740</t>
  </si>
  <si>
    <t xml:space="preserve">Cynthia Sanchez Ferrer  </t>
  </si>
  <si>
    <t>Supervisor 1</t>
  </si>
  <si>
    <t>2694</t>
  </si>
  <si>
    <t>Gustavo Bernuy Nuñez</t>
  </si>
  <si>
    <t>4700</t>
  </si>
  <si>
    <t>Carlos Mauro Sampen</t>
  </si>
  <si>
    <t>5730</t>
  </si>
  <si>
    <t>Marco Tregear Jimenez</t>
  </si>
  <si>
    <t>7148</t>
  </si>
  <si>
    <t>Jesús García Rodríguez</t>
  </si>
  <si>
    <t>7660</t>
  </si>
  <si>
    <t>Marco Fournier Castillo</t>
  </si>
  <si>
    <t>4594</t>
  </si>
  <si>
    <t>Carlos Lopez Cornelio</t>
  </si>
  <si>
    <t>4990</t>
  </si>
  <si>
    <t xml:space="preserve">Cecilia Pantoja Urizar Garfias </t>
  </si>
  <si>
    <t>ITOP REPORTADOS-DICIEMBRE 2024</t>
  </si>
  <si>
    <t>Julio</t>
  </si>
  <si>
    <t>N° ITOP</t>
  </si>
  <si>
    <t> ASUNTO</t>
  </si>
  <si>
    <t>RESULTADOS DE RECLAMO</t>
  </si>
  <si>
    <t>ESTADO</t>
  </si>
  <si>
    <t>Infundado</t>
  </si>
  <si>
    <t>Fundado/F.P</t>
  </si>
  <si>
    <t>Nulidad</t>
  </si>
  <si>
    <t>Total</t>
  </si>
  <si>
    <t>Carece de Objeto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</si>
</sst>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8">
    <font>
      <sz val="11"/>
      <color theme="1"/>
      <name val="Calibri"/>
      <family val="2"/>
      <scheme val="minor"/>
    </font>
    <font>
      <sz val="11"/>
      <color theme="1"/>
      <name val="Calibri Light"/>
      <family val="2"/>
      <scheme val="major"/>
    </font>
    <font>
      <b/>
      <sz val="12"/>
      <color theme="1"/>
      <name val="Calibri Light"/>
      <family val="2"/>
      <scheme val="major"/>
    </font>
    <font>
      <b/>
      <sz val="10"/>
      <color rgb="FF000000"/>
      <name val="Calibri Light"/>
      <family val="2"/>
      <scheme val="major"/>
    </font>
    <font>
      <sz val="10"/>
      <color rgb="FF000000"/>
      <name val="Calibri Light"/>
      <family val="2"/>
      <scheme val="major"/>
    </font>
    <font>
      <sz val="10"/>
      <color theme="1"/>
      <name val="Calibri Light"/>
      <family val="2"/>
      <scheme val="major"/>
    </font>
    <font>
      <b/>
      <sz val="10"/>
      <color rgb="FFFFFFFF"/>
      <name val="Calibri Light"/>
      <family val="2"/>
      <scheme val="major"/>
    </font>
    <font>
      <b/>
      <sz val="10"/>
      <color theme="1"/>
      <name val="Calibri Light"/>
      <family val="2"/>
      <scheme val="major"/>
    </font>
    <font>
      <sz val="10"/>
      <name val="Calibri Light"/>
      <family val="2"/>
      <scheme val="major"/>
    </font>
    <font>
      <b/>
      <u/>
      <sz val="10"/>
      <color rgb="FFFFFFFF"/>
      <name val="Calibri Light"/>
      <family val="2"/>
      <scheme val="major"/>
    </font>
    <font>
      <sz val="12"/>
      <color theme="1"/>
      <name val="Calibri Light"/>
      <family val="2"/>
      <scheme val="major"/>
    </font>
    <font>
      <b/>
      <sz val="11"/>
      <color theme="1"/>
      <name val="Calibri Light"/>
      <family val="2"/>
      <scheme val="major"/>
    </font>
    <font>
      <b/>
      <sz val="10"/>
      <color rgb="FFFF0000"/>
      <name val="Calibri Light"/>
      <family val="2"/>
      <scheme val="major"/>
    </font>
    <font>
      <sz val="10"/>
      <color rgb="FFFF0000"/>
      <name val="Calibri Light"/>
      <family val="2"/>
      <scheme val="major"/>
    </font>
    <font>
      <sz val="8"/>
      <color rgb="FF000000"/>
      <name val="Calibri Light"/>
      <family val="2"/>
      <scheme val="major"/>
    </font>
    <font>
      <b/>
      <sz val="10"/>
      <color rgb="FF000000"/>
      <name val="Calibri Light"/>
      <family val="2"/>
    </font>
    <font>
      <sz val="10"/>
      <color rgb="FF000000"/>
      <name val="Calibri Light"/>
      <family val="2"/>
    </font>
    <font>
      <b/>
      <sz val="10"/>
      <color rgb="FFFFFFFF"/>
      <name val="Calibri Light"/>
      <family val="2"/>
    </font>
    <font>
      <b/>
      <u/>
      <sz val="10"/>
      <color rgb="FFFFFFFF"/>
      <name val="Calibri Light"/>
      <family val="2"/>
    </font>
    <font>
      <b/>
      <sz val="11"/>
      <color rgb="FF3F3F3F"/>
      <name val="Calibri"/>
      <family val="2"/>
      <scheme val="minor"/>
    </font>
    <font>
      <sz val="8"/>
      <color rgb="FF000000"/>
      <name val="Arial Nova"/>
      <family val="2"/>
    </font>
    <font>
      <b/>
      <sz val="14"/>
      <color rgb="FF3F3F3F"/>
      <name val="Calibri"/>
      <family val="2"/>
      <scheme val="minor"/>
    </font>
    <font>
      <b/>
      <sz val="14"/>
      <color theme="1"/>
      <name val="Calibri Light"/>
      <family val="2"/>
      <scheme val="major"/>
    </font>
    <font>
      <sz val="14"/>
      <color theme="1"/>
      <name val="Calibri Light"/>
      <family val="2"/>
      <scheme val="major"/>
    </font>
    <font>
      <sz val="14"/>
      <color rgb="FF000000"/>
      <name val="Calibri Light"/>
      <family val="2"/>
    </font>
    <font>
      <b/>
      <sz val="14"/>
      <color rgb="FF000000"/>
      <name val="Calibri Light"/>
      <family val="2"/>
      <scheme val="major"/>
    </font>
    <font>
      <b/>
      <sz val="14"/>
      <color rgb="FF833C0C"/>
      <name val="Calibri Light"/>
      <family val="2"/>
      <scheme val="major"/>
    </font>
    <font>
      <b/>
      <sz val="14"/>
      <color rgb="FF3F3F3F"/>
      <name val="Calibri Light"/>
      <family val="2"/>
    </font>
    <font>
      <sz val="11"/>
      <color rgb="FF000000"/>
      <name val="Calibri"/>
      <family val="2"/>
    </font>
    <font>
      <b/>
      <sz val="12"/>
      <color rgb="FFFFFFFF"/>
      <name val="Calibri Light"/>
      <family val="2"/>
      <scheme val="major"/>
    </font>
    <font>
      <sz val="12"/>
      <color rgb="FF000000"/>
      <name val="Calibri Light"/>
      <family val="2"/>
    </font>
    <font>
      <sz val="12"/>
      <color rgb="FF000000"/>
      <name val="Calibri Light"/>
      <family val="2"/>
      <scheme val="major"/>
    </font>
    <font>
      <sz val="14"/>
      <color rgb="FF000000"/>
      <name val="Calibri Light"/>
      <family val="2"/>
      <scheme val="major"/>
    </font>
    <font>
      <b/>
      <sz val="14"/>
      <color rgb="FF000000"/>
      <name val="Calibri Light"/>
      <family val="2"/>
    </font>
    <font>
      <sz val="14"/>
      <name val="Calibri Light"/>
      <family val="2"/>
    </font>
    <font>
      <b/>
      <sz val="14"/>
      <color rgb="FF3F3F3F"/>
      <name val="Calibri"/>
      <family val="2"/>
    </font>
    <font>
      <sz val="11"/>
      <color rgb="FF000000"/>
      <name val="Calibri Light"/>
      <family val="2"/>
    </font>
    <font>
      <sz val="11"/>
      <color rgb="FF000000"/>
      <name val="Calibri Light"/>
      <family val="2"/>
      <scheme val="major"/>
    </font>
  </fonts>
  <fills count="32">
    <fill>
      <patternFill patternType="none"/>
    </fill>
    <fill>
      <patternFill patternType="gray125"/>
    </fill>
    <fill>
      <patternFill patternType="solid">
        <fgColor rgb="FF5B9BD5"/>
        <bgColor indexed="64"/>
      </patternFill>
    </fill>
    <fill>
      <patternFill patternType="solid">
        <fgColor rgb="FFDEEAF6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9DC3E6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C5E0B4"/>
        <bgColor indexed="64"/>
      </patternFill>
    </fill>
    <fill>
      <patternFill patternType="solid">
        <fgColor rgb="FFBDD6EE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E8CB"/>
        <bgColor indexed="64"/>
      </patternFill>
    </fill>
    <fill>
      <patternFill patternType="solid">
        <fgColor rgb="FFFFF4E7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C5E0B3"/>
        <bgColor indexed="64"/>
      </patternFill>
    </fill>
    <fill>
      <patternFill patternType="solid">
        <fgColor rgb="FFFFE59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BF1E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DEEAF6"/>
        <bgColor rgb="FF000000"/>
      </patternFill>
    </fill>
    <fill>
      <patternFill patternType="solid">
        <fgColor rgb="FFBDD6EE"/>
        <bgColor rgb="FF000000"/>
      </patternFill>
    </fill>
    <fill>
      <patternFill patternType="solid">
        <fgColor rgb="FFF2F2F2"/>
      </patternFill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E8CB"/>
        <bgColor rgb="FF000000"/>
      </patternFill>
    </fill>
    <fill>
      <patternFill patternType="solid">
        <fgColor rgb="FFFFF4E7"/>
        <bgColor rgb="FF000000"/>
      </patternFill>
    </fill>
    <fill>
      <patternFill patternType="solid">
        <fgColor rgb="FFFFE599"/>
        <bgColor rgb="FF000000"/>
      </patternFill>
    </fill>
    <fill>
      <patternFill patternType="solid">
        <fgColor rgb="FFFFF2CC"/>
        <bgColor rgb="FF000000"/>
      </patternFill>
    </fill>
    <fill>
      <patternFill patternType="solid">
        <fgColor rgb="FFDDEBF7"/>
        <bgColor rgb="FF000000"/>
      </patternFill>
    </fill>
    <fill>
      <patternFill patternType="solid">
        <fgColor rgb="FFC5E0B3"/>
        <bgColor rgb="FF000000"/>
      </patternFill>
    </fill>
    <fill>
      <patternFill patternType="solid">
        <fgColor theme="0"/>
        <bgColor indexed="64"/>
      </patternFill>
    </fill>
  </fills>
  <borders count="85">
    <border>
      <left/>
      <right/>
      <top/>
      <bottom/>
      <diagonal/>
    </border>
    <border>
      <left style="medium">
        <color rgb="FF5B9BD5"/>
      </left>
      <right/>
      <top style="medium">
        <color rgb="FF5B9BD5"/>
      </top>
      <bottom style="medium">
        <color rgb="FF5B9BD5"/>
      </bottom>
      <diagonal/>
    </border>
    <border>
      <left style="medium">
        <color rgb="FF9CC2E5"/>
      </left>
      <right style="medium">
        <color rgb="FF9CC2E5"/>
      </right>
      <top style="medium">
        <color rgb="FF5B9BD5"/>
      </top>
      <bottom style="medium">
        <color rgb="FF9CC2E5"/>
      </bottom>
      <diagonal/>
    </border>
    <border>
      <left style="medium">
        <color rgb="FF9CC2E5"/>
      </left>
      <right style="medium">
        <color rgb="FF9CC2E5"/>
      </right>
      <top style="medium">
        <color rgb="FF9CC2E5"/>
      </top>
      <bottom style="medium">
        <color rgb="FF9CC2E5"/>
      </bottom>
      <diagonal/>
    </border>
    <border>
      <left style="medium">
        <color theme="8" tint="0.39994506668294322"/>
      </left>
      <right/>
      <top style="medium">
        <color theme="8" tint="0.39994506668294322"/>
      </top>
      <bottom style="medium">
        <color theme="8" tint="0.39994506668294322"/>
      </bottom>
      <diagonal/>
    </border>
    <border>
      <left style="medium">
        <color theme="8" tint="0.39994506668294322"/>
      </left>
      <right style="medium">
        <color rgb="FF8EAADB"/>
      </right>
      <top style="medium">
        <color theme="8" tint="0.39994506668294322"/>
      </top>
      <bottom style="medium">
        <color theme="8" tint="0.39994506668294322"/>
      </bottom>
      <diagonal/>
    </border>
    <border>
      <left/>
      <right style="medium">
        <color theme="8" tint="0.39994506668294322"/>
      </right>
      <top/>
      <bottom style="medium">
        <color theme="8" tint="0.39994506668294322"/>
      </bottom>
      <diagonal/>
    </border>
    <border>
      <left style="medium">
        <color rgb="FFFFFFFF"/>
      </left>
      <right/>
      <top style="medium">
        <color rgb="FFFFFFFF"/>
      </top>
      <bottom style="medium">
        <color rgb="FFFFFFFF"/>
      </bottom>
      <diagonal/>
    </border>
    <border>
      <left/>
      <right/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/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rgb="FFFFFFFF"/>
      </bottom>
      <diagonal/>
    </border>
    <border>
      <left/>
      <right/>
      <top style="medium">
        <color indexed="64"/>
      </top>
      <bottom style="medium">
        <color rgb="FFFFFFFF"/>
      </bottom>
      <diagonal/>
    </border>
    <border>
      <left style="medium">
        <color indexed="64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indexed="64"/>
      </left>
      <right style="medium">
        <color rgb="FFFFFFFF"/>
      </right>
      <top style="medium">
        <color rgb="FFFFFFFF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rgb="FF9CC2E5"/>
      </left>
      <right style="medium">
        <color indexed="64"/>
      </right>
      <top style="medium">
        <color rgb="FF9CC2E5"/>
      </top>
      <bottom style="medium">
        <color rgb="FF9CC2E5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9CC2E5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9CC2E5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medium">
        <color rgb="FFFFFFFF"/>
      </left>
      <right style="medium">
        <color rgb="FFFFFFFF"/>
      </right>
      <top style="thick">
        <color rgb="FFFFFFFF"/>
      </top>
      <bottom style="medium">
        <color rgb="FFFFFFFF"/>
      </bottom>
      <diagonal/>
    </border>
    <border>
      <left style="medium">
        <color rgb="FF70AD47"/>
      </left>
      <right style="medium">
        <color rgb="FF70AD47"/>
      </right>
      <top style="medium">
        <color rgb="FF70AD47"/>
      </top>
      <bottom style="medium">
        <color rgb="FF70AD47"/>
      </bottom>
      <diagonal/>
    </border>
    <border>
      <left style="medium">
        <color rgb="FF70AD47"/>
      </left>
      <right style="medium">
        <color rgb="FF70AD47"/>
      </right>
      <top style="medium">
        <color rgb="FF70AD47"/>
      </top>
      <bottom/>
      <diagonal/>
    </border>
    <border>
      <left style="medium">
        <color rgb="FF70AD47"/>
      </left>
      <right style="medium">
        <color rgb="FF70AD47"/>
      </right>
      <top/>
      <bottom style="medium">
        <color rgb="FF70AD4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9CC2E5"/>
      </left>
      <right style="medium">
        <color rgb="FF9CC2E5"/>
      </right>
      <top/>
      <bottom style="medium">
        <color rgb="FF9CC2E5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rgb="FF9BC2E6"/>
      </right>
      <top style="medium">
        <color rgb="FF9BC2E6"/>
      </top>
      <bottom style="medium">
        <color rgb="FF9BC2E6"/>
      </bottom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 style="thin">
        <color rgb="FF3F3F3F"/>
      </right>
      <top/>
      <bottom style="thin">
        <color rgb="FF000000"/>
      </bottom>
      <diagonal/>
    </border>
    <border>
      <left style="thin">
        <color rgb="FF3F3F3F"/>
      </left>
      <right style="thin">
        <color rgb="FF3F3F3F"/>
      </right>
      <top/>
      <bottom style="thin">
        <color rgb="FF000000"/>
      </bottom>
      <diagonal/>
    </border>
    <border>
      <left style="thin">
        <color rgb="FF3F3F3F"/>
      </left>
      <right/>
      <top/>
      <bottom style="thin">
        <color rgb="FF000000"/>
      </bottom>
      <diagonal/>
    </border>
    <border>
      <left/>
      <right style="thin">
        <color rgb="FF3F3F3F"/>
      </right>
      <top style="thin">
        <color rgb="FF000000"/>
      </top>
      <bottom style="thin">
        <color rgb="FF000000"/>
      </bottom>
      <diagonal/>
    </border>
    <border>
      <left style="thin">
        <color rgb="FF3F3F3F"/>
      </left>
      <right style="thin">
        <color rgb="FF3F3F3F"/>
      </right>
      <top style="thin">
        <color rgb="FF000000"/>
      </top>
      <bottom style="thin">
        <color rgb="FF000000"/>
      </bottom>
      <diagonal/>
    </border>
    <border>
      <left style="thin">
        <color rgb="FF3F3F3F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3F3F3F"/>
      </right>
      <top style="thin">
        <color rgb="FF000000"/>
      </top>
      <bottom/>
      <diagonal/>
    </border>
    <border>
      <left style="thin">
        <color rgb="FF3F3F3F"/>
      </left>
      <right style="thin">
        <color rgb="FF3F3F3F"/>
      </right>
      <top style="thin">
        <color rgb="FF000000"/>
      </top>
      <bottom/>
      <diagonal/>
    </border>
    <border>
      <left style="thin">
        <color rgb="FF3F3F3F"/>
      </left>
      <right/>
      <top style="thin">
        <color rgb="FF000000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rgb="FF9CC2E5"/>
      </left>
      <right style="medium">
        <color indexed="64"/>
      </right>
      <top style="medium">
        <color rgb="FF9CC2E5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rgb="FF9CC2E5"/>
      </left>
      <right style="medium">
        <color rgb="FF9BC2E6"/>
      </right>
      <top style="medium">
        <color rgb="FF9BC2E6"/>
      </top>
      <bottom style="medium">
        <color rgb="FF9BC2E6"/>
      </bottom>
      <diagonal/>
    </border>
    <border>
      <left style="medium">
        <color rgb="FF9CC2E5"/>
      </left>
      <right style="medium">
        <color rgb="FF9BC2E6"/>
      </right>
      <top/>
      <bottom style="medium">
        <color rgb="FF9BC2E6"/>
      </bottom>
      <diagonal/>
    </border>
    <border>
      <left/>
      <right style="medium">
        <color rgb="FFFFFFFF"/>
      </right>
      <top/>
      <bottom style="medium">
        <color rgb="FFFFFFFF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rgb="FF9BC2E6"/>
      </right>
      <top/>
      <bottom style="medium">
        <color rgb="FF9BC2E6"/>
      </bottom>
      <diagonal/>
    </border>
    <border>
      <left/>
      <right style="medium">
        <color rgb="FFFFFFFF"/>
      </right>
      <top style="thick">
        <color rgb="FFFFFFFF"/>
      </top>
      <bottom style="medium">
        <color rgb="FFFFFFFF"/>
      </bottom>
      <diagonal/>
    </border>
    <border>
      <left/>
      <right style="medium">
        <color rgb="FFFFFFFF"/>
      </right>
      <top style="medium">
        <color rgb="FFFFFFFF"/>
      </top>
      <bottom/>
      <diagonal/>
    </border>
    <border>
      <left/>
      <right style="medium">
        <color rgb="FFFFFFFF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rgb="FFFFFFFF"/>
      </bottom>
      <diagonal/>
    </border>
    <border>
      <left/>
      <right style="medium">
        <color indexed="64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indexed="64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indexed="64"/>
      </right>
      <top style="medium">
        <color rgb="FFFFFFFF"/>
      </top>
      <bottom/>
      <diagonal/>
    </border>
    <border>
      <left style="medium">
        <color indexed="64"/>
      </left>
      <right style="medium">
        <color rgb="FFFFFFFF"/>
      </right>
      <top style="medium">
        <color rgb="FFFFFFFF"/>
      </top>
      <bottom style="medium">
        <color indexed="64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indexed="64"/>
      </bottom>
      <diagonal/>
    </border>
    <border>
      <left style="medium">
        <color rgb="FFFFFFFF"/>
      </left>
      <right style="medium">
        <color indexed="64"/>
      </right>
      <top style="medium">
        <color rgb="FFFFFFFF"/>
      </top>
      <bottom style="medium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9" fillId="22" borderId="47" applyNumberFormat="0" applyAlignment="0" applyProtection="0"/>
  </cellStyleXfs>
  <cellXfs count="254">
    <xf numFmtId="0" fontId="0" fillId="0" borderId="0" xfId="0"/>
    <xf numFmtId="0" fontId="1" fillId="0" borderId="0" xfId="0" applyFont="1"/>
    <xf numFmtId="0" fontId="2" fillId="0" borderId="0" xfId="0" applyFont="1"/>
    <xf numFmtId="0" fontId="3" fillId="6" borderId="15" xfId="0" applyFont="1" applyFill="1" applyBorder="1" applyAlignment="1">
      <alignment horizontal="center" vertical="center" wrapText="1" readingOrder="1"/>
    </xf>
    <xf numFmtId="0" fontId="3" fillId="7" borderId="9" xfId="0" applyFont="1" applyFill="1" applyBorder="1" applyAlignment="1">
      <alignment horizontal="center" vertical="center" wrapText="1" readingOrder="1"/>
    </xf>
    <xf numFmtId="0" fontId="3" fillId="8" borderId="9" xfId="0" applyFont="1" applyFill="1" applyBorder="1" applyAlignment="1">
      <alignment horizontal="center" vertical="center" wrapText="1" readingOrder="1"/>
    </xf>
    <xf numFmtId="0" fontId="3" fillId="9" borderId="9" xfId="0" applyFont="1" applyFill="1" applyBorder="1" applyAlignment="1">
      <alignment horizontal="center" vertical="center" wrapText="1" readingOrder="1"/>
    </xf>
    <xf numFmtId="0" fontId="4" fillId="7" borderId="9" xfId="0" applyFont="1" applyFill="1" applyBorder="1" applyAlignment="1">
      <alignment horizontal="center" vertical="center" wrapText="1" readingOrder="1"/>
    </xf>
    <xf numFmtId="0" fontId="4" fillId="8" borderId="9" xfId="0" applyFont="1" applyFill="1" applyBorder="1" applyAlignment="1">
      <alignment horizontal="center" vertical="center" wrapText="1" readingOrder="1"/>
    </xf>
    <xf numFmtId="0" fontId="4" fillId="9" borderId="9" xfId="0" applyFont="1" applyFill="1" applyBorder="1" applyAlignment="1">
      <alignment horizontal="center" vertical="center" wrapText="1" readingOrder="1"/>
    </xf>
    <xf numFmtId="0" fontId="6" fillId="2" borderId="20" xfId="0" applyFont="1" applyFill="1" applyBorder="1" applyAlignment="1">
      <alignment horizontal="center" vertical="center" wrapText="1" readingOrder="1"/>
    </xf>
    <xf numFmtId="0" fontId="3" fillId="3" borderId="21" xfId="0" applyFont="1" applyFill="1" applyBorder="1" applyAlignment="1">
      <alignment horizontal="center" vertical="center" wrapText="1" readingOrder="1"/>
    </xf>
    <xf numFmtId="0" fontId="3" fillId="3" borderId="22" xfId="0" applyFont="1" applyFill="1" applyBorder="1" applyAlignment="1">
      <alignment horizontal="center" vertical="center" wrapText="1" readingOrder="1"/>
    </xf>
    <xf numFmtId="0" fontId="5" fillId="0" borderId="0" xfId="0" applyFont="1"/>
    <xf numFmtId="0" fontId="7" fillId="0" borderId="0" xfId="0" applyFont="1" applyAlignment="1">
      <alignment horizontal="center"/>
    </xf>
    <xf numFmtId="0" fontId="4" fillId="3" borderId="2" xfId="0" applyFont="1" applyFill="1" applyBorder="1" applyAlignment="1">
      <alignment horizontal="left" vertical="center" wrapText="1" readingOrder="1"/>
    </xf>
    <xf numFmtId="0" fontId="3" fillId="3" borderId="2" xfId="0" applyFont="1" applyFill="1" applyBorder="1" applyAlignment="1">
      <alignment horizontal="center" vertical="center" wrapText="1" readingOrder="1"/>
    </xf>
    <xf numFmtId="0" fontId="4" fillId="0" borderId="3" xfId="0" applyFont="1" applyBorder="1" applyAlignment="1">
      <alignment horizontal="left" vertical="center" wrapText="1" readingOrder="1"/>
    </xf>
    <xf numFmtId="0" fontId="3" fillId="0" borderId="3" xfId="0" applyFont="1" applyBorder="1" applyAlignment="1">
      <alignment horizontal="center" vertical="center" wrapText="1" readingOrder="1"/>
    </xf>
    <xf numFmtId="0" fontId="4" fillId="3" borderId="3" xfId="0" applyFont="1" applyFill="1" applyBorder="1" applyAlignment="1">
      <alignment horizontal="left" vertical="center" wrapText="1" readingOrder="1"/>
    </xf>
    <xf numFmtId="0" fontId="3" fillId="3" borderId="3" xfId="0" applyFont="1" applyFill="1" applyBorder="1" applyAlignment="1">
      <alignment horizontal="center" vertical="center" wrapText="1" readingOrder="1"/>
    </xf>
    <xf numFmtId="0" fontId="3" fillId="4" borderId="5" xfId="0" applyFont="1" applyFill="1" applyBorder="1" applyAlignment="1">
      <alignment vertical="center" wrapText="1"/>
    </xf>
    <xf numFmtId="0" fontId="3" fillId="0" borderId="5" xfId="0" applyFont="1" applyBorder="1" applyAlignment="1">
      <alignment vertical="center" wrapText="1"/>
    </xf>
    <xf numFmtId="0" fontId="3" fillId="3" borderId="2" xfId="0" applyFont="1" applyFill="1" applyBorder="1" applyAlignment="1">
      <alignment horizontal="left" vertical="center" wrapText="1" readingOrder="1"/>
    </xf>
    <xf numFmtId="0" fontId="3" fillId="0" borderId="3" xfId="0" applyFont="1" applyBorder="1" applyAlignment="1">
      <alignment horizontal="left" vertical="center" wrapText="1" readingOrder="1"/>
    </xf>
    <xf numFmtId="0" fontId="3" fillId="3" borderId="3" xfId="0" applyFont="1" applyFill="1" applyBorder="1" applyAlignment="1">
      <alignment horizontal="left" vertical="center" wrapText="1" readingOrder="1"/>
    </xf>
    <xf numFmtId="0" fontId="6" fillId="2" borderId="7" xfId="0" applyFont="1" applyFill="1" applyBorder="1" applyAlignment="1">
      <alignment horizontal="center" vertical="center" wrapText="1" readingOrder="1"/>
    </xf>
    <xf numFmtId="0" fontId="6" fillId="2" borderId="8" xfId="0" applyFont="1" applyFill="1" applyBorder="1" applyAlignment="1">
      <alignment horizontal="center" vertical="center" wrapText="1" readingOrder="1"/>
    </xf>
    <xf numFmtId="0" fontId="6" fillId="2" borderId="10" xfId="0" applyFont="1" applyFill="1" applyBorder="1" applyAlignment="1">
      <alignment horizontal="center" vertical="center" wrapText="1" readingOrder="1"/>
    </xf>
    <xf numFmtId="0" fontId="6" fillId="2" borderId="9" xfId="0" applyFont="1" applyFill="1" applyBorder="1" applyAlignment="1">
      <alignment horizontal="center" vertical="center" wrapText="1" readingOrder="1"/>
    </xf>
    <xf numFmtId="0" fontId="6" fillId="14" borderId="8" xfId="0" applyFont="1" applyFill="1" applyBorder="1" applyAlignment="1">
      <alignment horizontal="center" vertical="center" wrapText="1" readingOrder="1"/>
    </xf>
    <xf numFmtId="0" fontId="6" fillId="11" borderId="7" xfId="0" applyFont="1" applyFill="1" applyBorder="1" applyAlignment="1">
      <alignment horizontal="left" vertical="center" wrapText="1" readingOrder="1"/>
    </xf>
    <xf numFmtId="0" fontId="6" fillId="11" borderId="8" xfId="0" applyFont="1" applyFill="1" applyBorder="1" applyAlignment="1">
      <alignment horizontal="center" vertical="center" wrapText="1" readingOrder="1"/>
    </xf>
    <xf numFmtId="0" fontId="6" fillId="11" borderId="10" xfId="0" applyFont="1" applyFill="1" applyBorder="1" applyAlignment="1">
      <alignment horizontal="center" vertical="center" wrapText="1" readingOrder="1"/>
    </xf>
    <xf numFmtId="0" fontId="6" fillId="11" borderId="9" xfId="0" applyFont="1" applyFill="1" applyBorder="1" applyAlignment="1">
      <alignment horizontal="center" vertical="center" wrapText="1" readingOrder="1"/>
    </xf>
    <xf numFmtId="0" fontId="4" fillId="16" borderId="9" xfId="0" applyFont="1" applyFill="1" applyBorder="1" applyAlignment="1">
      <alignment horizontal="left" vertical="center" wrapText="1" readingOrder="1"/>
    </xf>
    <xf numFmtId="0" fontId="4" fillId="16" borderId="9" xfId="0" applyFont="1" applyFill="1" applyBorder="1" applyAlignment="1">
      <alignment horizontal="center" vertical="center" wrapText="1" readingOrder="1"/>
    </xf>
    <xf numFmtId="0" fontId="4" fillId="17" borderId="9" xfId="0" applyFont="1" applyFill="1" applyBorder="1" applyAlignment="1">
      <alignment horizontal="left" vertical="center" wrapText="1" readingOrder="1"/>
    </xf>
    <xf numFmtId="0" fontId="4" fillId="17" borderId="9" xfId="0" applyFont="1" applyFill="1" applyBorder="1" applyAlignment="1">
      <alignment horizontal="center" vertical="center" wrapText="1" readingOrder="1"/>
    </xf>
    <xf numFmtId="0" fontId="6" fillId="14" borderId="7" xfId="0" applyFont="1" applyFill="1" applyBorder="1" applyAlignment="1">
      <alignment horizontal="left" vertical="center" wrapText="1" readingOrder="1"/>
    </xf>
    <xf numFmtId="0" fontId="6" fillId="14" borderId="10" xfId="0" applyFont="1" applyFill="1" applyBorder="1" applyAlignment="1">
      <alignment horizontal="center" vertical="center" wrapText="1" readingOrder="1"/>
    </xf>
    <xf numFmtId="0" fontId="6" fillId="14" borderId="9" xfId="0" applyFont="1" applyFill="1" applyBorder="1" applyAlignment="1">
      <alignment horizontal="center" vertical="center" wrapText="1" readingOrder="1"/>
    </xf>
    <xf numFmtId="0" fontId="4" fillId="15" borderId="9" xfId="0" applyFont="1" applyFill="1" applyBorder="1" applyAlignment="1">
      <alignment horizontal="left" vertical="center" wrapText="1" readingOrder="1"/>
    </xf>
    <xf numFmtId="0" fontId="4" fillId="15" borderId="9" xfId="0" applyFont="1" applyFill="1" applyBorder="1" applyAlignment="1">
      <alignment horizontal="center" vertical="center" wrapText="1" readingOrder="1"/>
    </xf>
    <xf numFmtId="0" fontId="8" fillId="15" borderId="9" xfId="0" applyFont="1" applyFill="1" applyBorder="1" applyAlignment="1">
      <alignment horizontal="center" vertical="top" wrapText="1"/>
    </xf>
    <xf numFmtId="0" fontId="3" fillId="18" borderId="28" xfId="0" applyFont="1" applyFill="1" applyBorder="1" applyAlignment="1">
      <alignment horizontal="left" vertical="center" wrapText="1" readingOrder="1"/>
    </xf>
    <xf numFmtId="0" fontId="3" fillId="0" borderId="27" xfId="0" applyFont="1" applyBorder="1" applyAlignment="1">
      <alignment horizontal="left" vertical="center" wrapText="1" readingOrder="1"/>
    </xf>
    <xf numFmtId="0" fontId="3" fillId="0" borderId="27" xfId="0" applyFont="1" applyBorder="1" applyAlignment="1">
      <alignment horizontal="center" vertical="center" wrapText="1" readingOrder="1"/>
    </xf>
    <xf numFmtId="0" fontId="3" fillId="18" borderId="25" xfId="0" applyFont="1" applyFill="1" applyBorder="1" applyAlignment="1">
      <alignment horizontal="left" vertical="center" wrapText="1" readingOrder="1"/>
    </xf>
    <xf numFmtId="0" fontId="3" fillId="0" borderId="25" xfId="0" applyFont="1" applyBorder="1" applyAlignment="1">
      <alignment horizontal="left" vertical="center" wrapText="1" readingOrder="1"/>
    </xf>
    <xf numFmtId="0" fontId="10" fillId="0" borderId="0" xfId="0" applyFont="1"/>
    <xf numFmtId="0" fontId="11" fillId="0" borderId="0" xfId="0" applyFont="1"/>
    <xf numFmtId="17" fontId="6" fillId="5" borderId="6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 readingOrder="1"/>
    </xf>
    <xf numFmtId="0" fontId="2" fillId="0" borderId="0" xfId="0" applyFont="1" applyAlignment="1">
      <alignment horizontal="center"/>
    </xf>
    <xf numFmtId="0" fontId="3" fillId="18" borderId="28" xfId="0" applyFont="1" applyFill="1" applyBorder="1" applyAlignment="1">
      <alignment horizontal="center" vertical="center" wrapText="1" readingOrder="1"/>
    </xf>
    <xf numFmtId="0" fontId="3" fillId="0" borderId="26" xfId="0" applyFont="1" applyBorder="1" applyAlignment="1">
      <alignment horizontal="center" vertical="center" wrapText="1" readingOrder="1"/>
    </xf>
    <xf numFmtId="0" fontId="3" fillId="2" borderId="1" xfId="0" applyFont="1" applyFill="1" applyBorder="1" applyAlignment="1">
      <alignment vertical="center" wrapText="1" readingOrder="1"/>
    </xf>
    <xf numFmtId="0" fontId="12" fillId="0" borderId="0" xfId="0" applyFont="1"/>
    <xf numFmtId="0" fontId="13" fillId="0" borderId="0" xfId="0" applyFont="1"/>
    <xf numFmtId="0" fontId="14" fillId="18" borderId="25" xfId="0" applyFont="1" applyFill="1" applyBorder="1" applyAlignment="1">
      <alignment horizontal="left" vertical="top" wrapText="1" readingOrder="1"/>
    </xf>
    <xf numFmtId="0" fontId="3" fillId="2" borderId="1" xfId="0" applyFont="1" applyFill="1" applyBorder="1" applyAlignment="1">
      <alignment vertical="center" readingOrder="1"/>
    </xf>
    <xf numFmtId="0" fontId="3" fillId="18" borderId="26" xfId="0" applyFont="1" applyFill="1" applyBorder="1" applyAlignment="1">
      <alignment vertical="center" wrapText="1" readingOrder="1"/>
    </xf>
    <xf numFmtId="0" fontId="4" fillId="7" borderId="11" xfId="0" applyFont="1" applyFill="1" applyBorder="1" applyAlignment="1">
      <alignment vertical="center" wrapText="1" readingOrder="1"/>
    </xf>
    <xf numFmtId="0" fontId="4" fillId="8" borderId="11" xfId="0" applyFont="1" applyFill="1" applyBorder="1" applyAlignment="1">
      <alignment vertical="center" wrapText="1" readingOrder="1"/>
    </xf>
    <xf numFmtId="0" fontId="4" fillId="9" borderId="11" xfId="0" applyFont="1" applyFill="1" applyBorder="1" applyAlignment="1">
      <alignment vertical="center" wrapText="1" readingOrder="1"/>
    </xf>
    <xf numFmtId="0" fontId="6" fillId="2" borderId="4" xfId="0" applyFont="1" applyFill="1" applyBorder="1" applyAlignment="1">
      <alignment horizontal="center" vertical="center" wrapText="1"/>
    </xf>
    <xf numFmtId="0" fontId="3" fillId="6" borderId="16" xfId="0" applyFont="1" applyFill="1" applyBorder="1" applyAlignment="1">
      <alignment horizontal="left" vertical="center" wrapText="1" readingOrder="1"/>
    </xf>
    <xf numFmtId="0" fontId="3" fillId="6" borderId="15" xfId="0" applyFont="1" applyFill="1" applyBorder="1" applyAlignment="1">
      <alignment horizontal="left" vertical="center" wrapText="1" readingOrder="1"/>
    </xf>
    <xf numFmtId="0" fontId="5" fillId="0" borderId="0" xfId="0" applyFont="1" applyAlignment="1">
      <alignment horizontal="center" vertical="center"/>
    </xf>
    <xf numFmtId="0" fontId="8" fillId="15" borderId="9" xfId="0" applyFont="1" applyFill="1" applyBorder="1" applyAlignment="1">
      <alignment horizontal="center" vertical="center" wrapText="1"/>
    </xf>
    <xf numFmtId="0" fontId="4" fillId="18" borderId="25" xfId="0" applyFont="1" applyFill="1" applyBorder="1" applyAlignment="1">
      <alignment horizontal="center" vertical="center" wrapText="1" readingOrder="1"/>
    </xf>
    <xf numFmtId="0" fontId="3" fillId="0" borderId="0" xfId="0" applyFont="1" applyAlignment="1">
      <alignment horizontal="left" vertical="center" wrapText="1" readingOrder="1"/>
    </xf>
    <xf numFmtId="0" fontId="5" fillId="0" borderId="0" xfId="0" applyFont="1" applyAlignment="1">
      <alignment horizontal="centerContinuous"/>
    </xf>
    <xf numFmtId="0" fontId="2" fillId="0" borderId="0" xfId="0" applyFont="1" applyAlignment="1">
      <alignment horizontal="centerContinuous"/>
    </xf>
    <xf numFmtId="0" fontId="7" fillId="19" borderId="0" xfId="0" applyFont="1" applyFill="1" applyAlignment="1">
      <alignment horizontal="centerContinuous"/>
    </xf>
    <xf numFmtId="0" fontId="7" fillId="0" borderId="0" xfId="0" applyFont="1"/>
    <xf numFmtId="0" fontId="3" fillId="0" borderId="26" xfId="0" applyFont="1" applyBorder="1" applyAlignment="1">
      <alignment vertical="center" wrapText="1" readingOrder="1"/>
    </xf>
    <xf numFmtId="0" fontId="4" fillId="18" borderId="26" xfId="0" applyFont="1" applyFill="1" applyBorder="1" applyAlignment="1">
      <alignment horizontal="center" vertical="center" wrapText="1" readingOrder="1"/>
    </xf>
    <xf numFmtId="0" fontId="17" fillId="2" borderId="8" xfId="0" applyFont="1" applyFill="1" applyBorder="1" applyAlignment="1">
      <alignment horizontal="center" vertical="center" wrapText="1" readingOrder="1"/>
    </xf>
    <xf numFmtId="0" fontId="20" fillId="0" borderId="0" xfId="0" applyFont="1"/>
    <xf numFmtId="0" fontId="21" fillId="0" borderId="48" xfId="1" applyFont="1" applyFill="1" applyBorder="1" applyAlignment="1">
      <alignment vertical="center" wrapText="1"/>
    </xf>
    <xf numFmtId="0" fontId="21" fillId="0" borderId="49" xfId="1" applyFont="1" applyFill="1" applyBorder="1" applyAlignment="1">
      <alignment horizontal="center" vertical="center" wrapText="1"/>
    </xf>
    <xf numFmtId="0" fontId="21" fillId="0" borderId="50" xfId="1" applyFont="1" applyFill="1" applyBorder="1" applyAlignment="1">
      <alignment horizontal="center" vertical="center" wrapText="1"/>
    </xf>
    <xf numFmtId="0" fontId="21" fillId="23" borderId="51" xfId="1" applyFont="1" applyFill="1" applyBorder="1" applyAlignment="1">
      <alignment horizontal="left" vertical="center"/>
    </xf>
    <xf numFmtId="0" fontId="21" fillId="0" borderId="52" xfId="1" applyFont="1" applyFill="1" applyBorder="1" applyAlignment="1">
      <alignment horizontal="center" vertical="center"/>
    </xf>
    <xf numFmtId="0" fontId="21" fillId="0" borderId="53" xfId="1" applyFont="1" applyFill="1" applyBorder="1" applyAlignment="1">
      <alignment horizontal="center" vertical="center"/>
    </xf>
    <xf numFmtId="0" fontId="21" fillId="23" borderId="54" xfId="1" applyFont="1" applyFill="1" applyBorder="1" applyAlignment="1">
      <alignment horizontal="left" vertical="center"/>
    </xf>
    <xf numFmtId="0" fontId="21" fillId="0" borderId="55" xfId="1" applyFont="1" applyFill="1" applyBorder="1" applyAlignment="1">
      <alignment horizontal="center" vertical="center"/>
    </xf>
    <xf numFmtId="0" fontId="21" fillId="0" borderId="56" xfId="1" applyFont="1" applyFill="1" applyBorder="1" applyAlignment="1">
      <alignment horizontal="center" vertical="center"/>
    </xf>
    <xf numFmtId="49" fontId="22" fillId="19" borderId="31" xfId="0" applyNumberFormat="1" applyFont="1" applyFill="1" applyBorder="1" applyAlignment="1">
      <alignment horizontal="center" vertical="center" wrapText="1"/>
    </xf>
    <xf numFmtId="49" fontId="22" fillId="19" borderId="28" xfId="0" applyNumberFormat="1" applyFont="1" applyFill="1" applyBorder="1" applyAlignment="1">
      <alignment horizontal="center" vertical="center" wrapText="1"/>
    </xf>
    <xf numFmtId="49" fontId="22" fillId="19" borderId="28" xfId="0" applyNumberFormat="1" applyFont="1" applyFill="1" applyBorder="1" applyAlignment="1">
      <alignment vertical="center"/>
    </xf>
    <xf numFmtId="49" fontId="22" fillId="19" borderId="28" xfId="0" applyNumberFormat="1" applyFont="1" applyFill="1" applyBorder="1" applyAlignment="1">
      <alignment horizontal="left" vertical="center"/>
    </xf>
    <xf numFmtId="49" fontId="23" fillId="0" borderId="28" xfId="0" applyNumberFormat="1" applyFont="1" applyBorder="1" applyAlignment="1">
      <alignment vertical="center"/>
    </xf>
    <xf numFmtId="49" fontId="23" fillId="0" borderId="28" xfId="0" applyNumberFormat="1" applyFont="1" applyBorder="1" applyAlignment="1">
      <alignment horizontal="left" vertical="center"/>
    </xf>
    <xf numFmtId="49" fontId="22" fillId="0" borderId="29" xfId="0" applyNumberFormat="1" applyFont="1" applyBorder="1" applyAlignment="1">
      <alignment horizontal="center" vertical="center"/>
    </xf>
    <xf numFmtId="49" fontId="23" fillId="0" borderId="29" xfId="0" applyNumberFormat="1" applyFont="1" applyBorder="1" applyAlignment="1">
      <alignment vertical="center"/>
    </xf>
    <xf numFmtId="49" fontId="22" fillId="0" borderId="28" xfId="0" applyNumberFormat="1" applyFont="1" applyBorder="1" applyAlignment="1">
      <alignment horizontal="center" vertical="center"/>
    </xf>
    <xf numFmtId="49" fontId="22" fillId="0" borderId="39" xfId="0" applyNumberFormat="1" applyFont="1" applyBorder="1" applyAlignment="1">
      <alignment horizontal="center" vertical="center"/>
    </xf>
    <xf numFmtId="49" fontId="23" fillId="0" borderId="39" xfId="0" applyNumberFormat="1" applyFont="1" applyBorder="1" applyAlignment="1">
      <alignment vertical="center"/>
    </xf>
    <xf numFmtId="49" fontId="23" fillId="0" borderId="39" xfId="0" applyNumberFormat="1" applyFont="1" applyBorder="1" applyAlignment="1">
      <alignment horizontal="left" vertical="center"/>
    </xf>
    <xf numFmtId="0" fontId="22" fillId="0" borderId="40" xfId="0" applyFont="1" applyBorder="1" applyAlignment="1">
      <alignment horizontal="center" vertical="center"/>
    </xf>
    <xf numFmtId="49" fontId="22" fillId="19" borderId="36" xfId="0" applyNumberFormat="1" applyFont="1" applyFill="1" applyBorder="1" applyAlignment="1">
      <alignment horizontal="center" vertical="center" wrapText="1"/>
    </xf>
    <xf numFmtId="49" fontId="22" fillId="19" borderId="37" xfId="0" applyNumberFormat="1" applyFont="1" applyFill="1" applyBorder="1" applyAlignment="1">
      <alignment horizontal="center" vertical="center" wrapText="1"/>
    </xf>
    <xf numFmtId="49" fontId="22" fillId="19" borderId="37" xfId="0" applyNumberFormat="1" applyFont="1" applyFill="1" applyBorder="1" applyAlignment="1">
      <alignment vertical="center"/>
    </xf>
    <xf numFmtId="49" fontId="22" fillId="19" borderId="37" xfId="0" applyNumberFormat="1" applyFont="1" applyFill="1" applyBorder="1" applyAlignment="1">
      <alignment horizontal="left" vertical="center"/>
    </xf>
    <xf numFmtId="49" fontId="22" fillId="0" borderId="33" xfId="0" applyNumberFormat="1" applyFont="1" applyBorder="1" applyAlignment="1">
      <alignment horizontal="center" vertical="center"/>
    </xf>
    <xf numFmtId="49" fontId="22" fillId="0" borderId="38" xfId="0" applyNumberFormat="1" applyFont="1" applyBorder="1" applyAlignment="1">
      <alignment horizontal="center" vertical="center"/>
    </xf>
    <xf numFmtId="49" fontId="22" fillId="0" borderId="42" xfId="0" applyNumberFormat="1" applyFont="1" applyBorder="1" applyAlignment="1">
      <alignment horizontal="center" vertical="center"/>
    </xf>
    <xf numFmtId="49" fontId="23" fillId="0" borderId="42" xfId="0" applyNumberFormat="1" applyFont="1" applyBorder="1" applyAlignment="1">
      <alignment vertical="center"/>
    </xf>
    <xf numFmtId="0" fontId="25" fillId="0" borderId="18" xfId="0" applyFont="1" applyBorder="1" applyAlignment="1">
      <alignment horizontal="center" vertical="center" wrapText="1"/>
    </xf>
    <xf numFmtId="0" fontId="25" fillId="0" borderId="17" xfId="0" applyFont="1" applyBorder="1" applyAlignment="1">
      <alignment horizontal="center" vertical="center" wrapText="1"/>
    </xf>
    <xf numFmtId="0" fontId="26" fillId="0" borderId="19" xfId="0" applyFont="1" applyBorder="1" applyAlignment="1">
      <alignment horizontal="center" vertical="center" wrapText="1" readingOrder="1"/>
    </xf>
    <xf numFmtId="0" fontId="25" fillId="0" borderId="57" xfId="0" applyFont="1" applyBorder="1" applyAlignment="1">
      <alignment horizontal="center" vertical="center" wrapText="1"/>
    </xf>
    <xf numFmtId="0" fontId="26" fillId="0" borderId="58" xfId="0" applyFont="1" applyBorder="1" applyAlignment="1">
      <alignment horizontal="center" vertical="center" wrapText="1" readingOrder="1"/>
    </xf>
    <xf numFmtId="0" fontId="23" fillId="0" borderId="0" xfId="0" applyFont="1" applyAlignment="1">
      <alignment horizontal="center" vertical="center"/>
    </xf>
    <xf numFmtId="0" fontId="27" fillId="23" borderId="51" xfId="1" applyFont="1" applyFill="1" applyBorder="1" applyAlignment="1">
      <alignment horizontal="left" vertical="center"/>
    </xf>
    <xf numFmtId="0" fontId="15" fillId="20" borderId="2" xfId="0" applyFont="1" applyFill="1" applyBorder="1" applyAlignment="1">
      <alignment horizontal="center" wrapText="1" readingOrder="1"/>
    </xf>
    <xf numFmtId="0" fontId="15" fillId="0" borderId="30" xfId="0" applyFont="1" applyBorder="1" applyAlignment="1">
      <alignment horizontal="center" wrapText="1" readingOrder="1"/>
    </xf>
    <xf numFmtId="0" fontId="15" fillId="20" borderId="30" xfId="0" applyFont="1" applyFill="1" applyBorder="1" applyAlignment="1">
      <alignment horizontal="center" wrapText="1" readingOrder="1"/>
    </xf>
    <xf numFmtId="0" fontId="27" fillId="23" borderId="59" xfId="0" applyFont="1" applyFill="1" applyBorder="1" applyAlignment="1">
      <alignment horizontal="left" vertical="center"/>
    </xf>
    <xf numFmtId="0" fontId="27" fillId="0" borderId="59" xfId="0" applyFont="1" applyBorder="1" applyAlignment="1">
      <alignment horizontal="center" vertical="center"/>
    </xf>
    <xf numFmtId="0" fontId="23" fillId="0" borderId="44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49" fontId="22" fillId="0" borderId="0" xfId="0" applyNumberFormat="1" applyFont="1" applyAlignment="1">
      <alignment horizontal="center" vertical="center" wrapText="1"/>
    </xf>
    <xf numFmtId="49" fontId="23" fillId="0" borderId="0" xfId="0" applyNumberFormat="1" applyFont="1" applyAlignment="1">
      <alignment vertical="center"/>
    </xf>
    <xf numFmtId="49" fontId="23" fillId="0" borderId="0" xfId="0" applyNumberFormat="1" applyFont="1" applyAlignment="1">
      <alignment horizontal="left" vertical="center"/>
    </xf>
    <xf numFmtId="49" fontId="22" fillId="0" borderId="0" xfId="0" applyNumberFormat="1" applyFont="1" applyAlignment="1">
      <alignment horizontal="center" vertical="center"/>
    </xf>
    <xf numFmtId="49" fontId="23" fillId="0" borderId="36" xfId="0" applyNumberFormat="1" applyFont="1" applyBorder="1" applyAlignment="1">
      <alignment horizontal="left" vertical="center"/>
    </xf>
    <xf numFmtId="49" fontId="22" fillId="0" borderId="63" xfId="0" applyNumberFormat="1" applyFont="1" applyBorder="1" applyAlignment="1">
      <alignment horizontal="center" vertical="center" wrapText="1"/>
    </xf>
    <xf numFmtId="49" fontId="22" fillId="0" borderId="64" xfId="0" applyNumberFormat="1" applyFont="1" applyBorder="1" applyAlignment="1">
      <alignment horizontal="center" vertical="center" wrapText="1"/>
    </xf>
    <xf numFmtId="49" fontId="22" fillId="0" borderId="65" xfId="0" applyNumberFormat="1" applyFont="1" applyBorder="1" applyAlignment="1">
      <alignment horizontal="center" vertical="center"/>
    </xf>
    <xf numFmtId="49" fontId="23" fillId="0" borderId="65" xfId="0" applyNumberFormat="1" applyFont="1" applyBorder="1" applyAlignment="1">
      <alignment vertical="center"/>
    </xf>
    <xf numFmtId="0" fontId="3" fillId="7" borderId="7" xfId="0" applyFont="1" applyFill="1" applyBorder="1" applyAlignment="1">
      <alignment vertical="center" wrapText="1" readingOrder="1"/>
    </xf>
    <xf numFmtId="0" fontId="3" fillId="7" borderId="8" xfId="0" applyFont="1" applyFill="1" applyBorder="1" applyAlignment="1">
      <alignment vertical="center" wrapText="1" readingOrder="1"/>
    </xf>
    <xf numFmtId="0" fontId="3" fillId="8" borderId="7" xfId="0" applyFont="1" applyFill="1" applyBorder="1" applyAlignment="1">
      <alignment vertical="center" wrapText="1" readingOrder="1"/>
    </xf>
    <xf numFmtId="0" fontId="3" fillId="8" borderId="8" xfId="0" applyFont="1" applyFill="1" applyBorder="1" applyAlignment="1">
      <alignment vertical="center" wrapText="1" readingOrder="1"/>
    </xf>
    <xf numFmtId="0" fontId="3" fillId="9" borderId="7" xfId="0" applyFont="1" applyFill="1" applyBorder="1" applyAlignment="1">
      <alignment vertical="center" wrapText="1" readingOrder="1"/>
    </xf>
    <xf numFmtId="0" fontId="3" fillId="6" borderId="13" xfId="0" applyFont="1" applyFill="1" applyBorder="1" applyAlignment="1">
      <alignment vertical="center" wrapText="1" readingOrder="1"/>
    </xf>
    <xf numFmtId="0" fontId="3" fillId="6" borderId="14" xfId="0" applyFont="1" applyFill="1" applyBorder="1" applyAlignment="1">
      <alignment vertical="center" wrapText="1" readingOrder="1"/>
    </xf>
    <xf numFmtId="0" fontId="29" fillId="2" borderId="7" xfId="0" applyFont="1" applyFill="1" applyBorder="1" applyAlignment="1">
      <alignment horizontal="center" vertical="center" wrapText="1" readingOrder="1"/>
    </xf>
    <xf numFmtId="0" fontId="29" fillId="2" borderId="8" xfId="0" applyFont="1" applyFill="1" applyBorder="1" applyAlignment="1">
      <alignment horizontal="center" vertical="center" wrapText="1" readingOrder="1"/>
    </xf>
    <xf numFmtId="0" fontId="29" fillId="2" borderId="10" xfId="0" applyFont="1" applyFill="1" applyBorder="1" applyAlignment="1">
      <alignment horizontal="center" vertical="center" wrapText="1" readingOrder="1"/>
    </xf>
    <xf numFmtId="0" fontId="29" fillId="2" borderId="9" xfId="0" applyFont="1" applyFill="1" applyBorder="1" applyAlignment="1">
      <alignment horizontal="center" vertical="center" wrapText="1" readingOrder="1"/>
    </xf>
    <xf numFmtId="0" fontId="30" fillId="21" borderId="9" xfId="0" applyFont="1" applyFill="1" applyBorder="1" applyAlignment="1">
      <alignment horizontal="center" vertical="center" wrapText="1" readingOrder="1"/>
    </xf>
    <xf numFmtId="0" fontId="30" fillId="20" borderId="46" xfId="0" applyFont="1" applyFill="1" applyBorder="1" applyAlignment="1">
      <alignment horizontal="center" vertical="center" wrapText="1" readingOrder="1"/>
    </xf>
    <xf numFmtId="0" fontId="30" fillId="21" borderId="46" xfId="0" applyFont="1" applyFill="1" applyBorder="1" applyAlignment="1">
      <alignment horizontal="center" vertical="center" wrapText="1" readingOrder="1"/>
    </xf>
    <xf numFmtId="0" fontId="10" fillId="0" borderId="0" xfId="0" applyFont="1" applyAlignment="1">
      <alignment horizontal="center"/>
    </xf>
    <xf numFmtId="2" fontId="10" fillId="0" borderId="0" xfId="0" applyNumberFormat="1" applyFont="1"/>
    <xf numFmtId="0" fontId="29" fillId="11" borderId="23" xfId="0" applyFont="1" applyFill="1" applyBorder="1" applyAlignment="1">
      <alignment horizontal="center" vertical="center" wrapText="1" readingOrder="1"/>
    </xf>
    <xf numFmtId="0" fontId="29" fillId="11" borderId="23" xfId="0" applyFont="1" applyFill="1" applyBorder="1" applyAlignment="1">
      <alignment horizontal="left" vertical="center" wrapText="1" readingOrder="1"/>
    </xf>
    <xf numFmtId="0" fontId="29" fillId="11" borderId="24" xfId="0" applyFont="1" applyFill="1" applyBorder="1" applyAlignment="1">
      <alignment horizontal="center" vertical="center" wrapText="1" readingOrder="1"/>
    </xf>
    <xf numFmtId="0" fontId="31" fillId="12" borderId="24" xfId="0" applyFont="1" applyFill="1" applyBorder="1" applyAlignment="1">
      <alignment horizontal="center" vertical="center" wrapText="1" readingOrder="1"/>
    </xf>
    <xf numFmtId="0" fontId="29" fillId="11" borderId="11" xfId="0" applyFont="1" applyFill="1" applyBorder="1" applyAlignment="1">
      <alignment horizontal="center" vertical="center" wrapText="1" readingOrder="1"/>
    </xf>
    <xf numFmtId="0" fontId="31" fillId="13" borderId="11" xfId="0" applyFont="1" applyFill="1" applyBorder="1" applyAlignment="1">
      <alignment horizontal="center" vertical="center" wrapText="1" readingOrder="1"/>
    </xf>
    <xf numFmtId="0" fontId="10" fillId="0" borderId="0" xfId="0" applyFont="1" applyAlignment="1">
      <alignment horizontal="center" vertical="center"/>
    </xf>
    <xf numFmtId="0" fontId="29" fillId="14" borderId="7" xfId="0" applyFont="1" applyFill="1" applyBorder="1" applyAlignment="1">
      <alignment horizontal="center" vertical="center" wrapText="1" readingOrder="1"/>
    </xf>
    <xf numFmtId="0" fontId="29" fillId="14" borderId="8" xfId="0" applyFont="1" applyFill="1" applyBorder="1" applyAlignment="1">
      <alignment horizontal="center" vertical="center" wrapText="1" readingOrder="1"/>
    </xf>
    <xf numFmtId="0" fontId="29" fillId="14" borderId="8" xfId="0" applyFont="1" applyFill="1" applyBorder="1" applyAlignment="1">
      <alignment horizontal="left" vertical="center" wrapText="1" readingOrder="1"/>
    </xf>
    <xf numFmtId="0" fontId="29" fillId="14" borderId="10" xfId="0" applyFont="1" applyFill="1" applyBorder="1" applyAlignment="1">
      <alignment horizontal="left" vertical="center" wrapText="1" readingOrder="1"/>
    </xf>
    <xf numFmtId="0" fontId="29" fillId="14" borderId="11" xfId="0" applyFont="1" applyFill="1" applyBorder="1" applyAlignment="1">
      <alignment horizontal="center" vertical="center" wrapText="1" readingOrder="1"/>
    </xf>
    <xf numFmtId="0" fontId="25" fillId="24" borderId="0" xfId="0" applyFont="1" applyFill="1"/>
    <xf numFmtId="0" fontId="32" fillId="24" borderId="0" xfId="0" applyFont="1" applyFill="1" applyAlignment="1">
      <alignment horizontal="center" vertical="center"/>
    </xf>
    <xf numFmtId="0" fontId="16" fillId="0" borderId="66" xfId="0" applyFont="1" applyBorder="1" applyAlignment="1">
      <alignment horizontal="center" wrapText="1"/>
    </xf>
    <xf numFmtId="0" fontId="15" fillId="20" borderId="66" xfId="0" applyFont="1" applyFill="1" applyBorder="1" applyAlignment="1">
      <alignment horizontal="center" wrapText="1"/>
    </xf>
    <xf numFmtId="0" fontId="33" fillId="29" borderId="44" xfId="0" applyFont="1" applyFill="1" applyBorder="1" applyAlignment="1">
      <alignment horizontal="center"/>
    </xf>
    <xf numFmtId="0" fontId="24" fillId="0" borderId="44" xfId="0" applyFont="1" applyBorder="1" applyAlignment="1">
      <alignment horizontal="center"/>
    </xf>
    <xf numFmtId="0" fontId="34" fillId="0" borderId="44" xfId="0" applyFont="1" applyBorder="1" applyAlignment="1">
      <alignment horizontal="center"/>
    </xf>
    <xf numFmtId="0" fontId="33" fillId="29" borderId="43" xfId="0" applyFont="1" applyFill="1" applyBorder="1" applyAlignment="1">
      <alignment horizontal="center"/>
    </xf>
    <xf numFmtId="0" fontId="35" fillId="0" borderId="52" xfId="0" applyFont="1" applyBorder="1" applyAlignment="1">
      <alignment horizontal="center"/>
    </xf>
    <xf numFmtId="0" fontId="35" fillId="0" borderId="55" xfId="0" applyFont="1" applyBorder="1" applyAlignment="1">
      <alignment horizontal="center"/>
    </xf>
    <xf numFmtId="0" fontId="15" fillId="20" borderId="21" xfId="0" applyFont="1" applyFill="1" applyBorder="1" applyAlignment="1">
      <alignment horizontal="center" wrapText="1" readingOrder="1"/>
    </xf>
    <xf numFmtId="0" fontId="12" fillId="0" borderId="0" xfId="0" applyFont="1" applyAlignment="1">
      <alignment horizontal="left" vertical="center" wrapText="1"/>
    </xf>
    <xf numFmtId="0" fontId="5" fillId="0" borderId="0" xfId="0" applyFont="1" applyAlignment="1">
      <alignment wrapText="1"/>
    </xf>
    <xf numFmtId="0" fontId="22" fillId="0" borderId="70" xfId="0" applyFont="1" applyBorder="1" applyAlignment="1">
      <alignment horizontal="center" vertical="center"/>
    </xf>
    <xf numFmtId="49" fontId="22" fillId="19" borderId="71" xfId="0" applyNumberFormat="1" applyFont="1" applyFill="1" applyBorder="1" applyAlignment="1">
      <alignment horizontal="left" vertical="center"/>
    </xf>
    <xf numFmtId="49" fontId="23" fillId="0" borderId="72" xfId="0" applyNumberFormat="1" applyFont="1" applyBorder="1" applyAlignment="1">
      <alignment horizontal="left" vertical="center"/>
    </xf>
    <xf numFmtId="49" fontId="23" fillId="0" borderId="73" xfId="0" applyNumberFormat="1" applyFont="1" applyBorder="1" applyAlignment="1">
      <alignment horizontal="left" vertical="center"/>
    </xf>
    <xf numFmtId="49" fontId="23" fillId="0" borderId="74" xfId="0" applyNumberFormat="1" applyFont="1" applyBorder="1" applyAlignment="1">
      <alignment horizontal="left" vertical="center"/>
    </xf>
    <xf numFmtId="0" fontId="22" fillId="0" borderId="75" xfId="0" applyFont="1" applyBorder="1" applyAlignment="1">
      <alignment horizontal="center" vertical="center"/>
    </xf>
    <xf numFmtId="0" fontId="24" fillId="0" borderId="70" xfId="0" applyFont="1" applyBorder="1" applyAlignment="1">
      <alignment horizontal="center" vertical="center"/>
    </xf>
    <xf numFmtId="0" fontId="22" fillId="19" borderId="76" xfId="0" applyFont="1" applyFill="1" applyBorder="1" applyAlignment="1">
      <alignment horizontal="center" vertical="center"/>
    </xf>
    <xf numFmtId="0" fontId="27" fillId="0" borderId="59" xfId="0" applyFont="1" applyBorder="1" applyAlignment="1">
      <alignment horizontal="center" vertical="center" wrapText="1"/>
    </xf>
    <xf numFmtId="0" fontId="16" fillId="0" borderId="60" xfId="0" applyFont="1" applyBorder="1" applyAlignment="1">
      <alignment horizontal="center" wrapText="1" readingOrder="1"/>
    </xf>
    <xf numFmtId="0" fontId="16" fillId="0" borderId="45" xfId="0" applyFont="1" applyBorder="1" applyAlignment="1">
      <alignment horizontal="center" wrapText="1"/>
    </xf>
    <xf numFmtId="0" fontId="23" fillId="0" borderId="0" xfId="0" applyFont="1"/>
    <xf numFmtId="0" fontId="32" fillId="24" borderId="0" xfId="0" applyFont="1" applyFill="1"/>
    <xf numFmtId="0" fontId="16" fillId="30" borderId="12" xfId="0" applyFont="1" applyFill="1" applyBorder="1" applyAlignment="1">
      <alignment horizontal="center" vertical="center" wrapText="1" readingOrder="1"/>
    </xf>
    <xf numFmtId="0" fontId="16" fillId="30" borderId="69" xfId="0" applyFont="1" applyFill="1" applyBorder="1" applyAlignment="1">
      <alignment horizontal="center" vertical="center" wrapText="1" readingOrder="1"/>
    </xf>
    <xf numFmtId="0" fontId="30" fillId="25" borderId="67" xfId="0" applyFont="1" applyFill="1" applyBorder="1" applyAlignment="1">
      <alignment horizontal="center" vertical="center" wrapText="1" readingOrder="1"/>
    </xf>
    <xf numFmtId="0" fontId="30" fillId="26" borderId="68" xfId="0" applyFont="1" applyFill="1" applyBorder="1" applyAlignment="1">
      <alignment horizontal="center" vertical="center" wrapText="1" readingOrder="1"/>
    </xf>
    <xf numFmtId="0" fontId="30" fillId="26" borderId="12" xfId="0" applyFont="1" applyFill="1" applyBorder="1" applyAlignment="1">
      <alignment horizontal="center" vertical="center" wrapText="1" readingOrder="1"/>
    </xf>
    <xf numFmtId="0" fontId="30" fillId="26" borderId="69" xfId="0" applyFont="1" applyFill="1" applyBorder="1" applyAlignment="1">
      <alignment horizontal="center" vertical="center" wrapText="1" readingOrder="1"/>
    </xf>
    <xf numFmtId="0" fontId="31" fillId="15" borderId="12" xfId="0" applyFont="1" applyFill="1" applyBorder="1" applyAlignment="1">
      <alignment horizontal="left" vertical="center" wrapText="1" readingOrder="1"/>
    </xf>
    <xf numFmtId="0" fontId="30" fillId="21" borderId="9" xfId="0" applyFont="1" applyFill="1" applyBorder="1" applyAlignment="1">
      <alignment horizontal="left" vertical="center" wrapText="1" readingOrder="1"/>
    </xf>
    <xf numFmtId="0" fontId="30" fillId="20" borderId="46" xfId="0" applyFont="1" applyFill="1" applyBorder="1" applyAlignment="1">
      <alignment horizontal="left" vertical="center" wrapText="1" readingOrder="1"/>
    </xf>
    <xf numFmtId="0" fontId="30" fillId="21" borderId="46" xfId="0" applyFont="1" applyFill="1" applyBorder="1" applyAlignment="1">
      <alignment horizontal="left" vertical="center" wrapText="1" readingOrder="1"/>
    </xf>
    <xf numFmtId="0" fontId="30" fillId="21" borderId="10" xfId="0" applyFont="1" applyFill="1" applyBorder="1" applyAlignment="1">
      <alignment horizontal="center" vertical="center" wrapText="1" readingOrder="1"/>
    </xf>
    <xf numFmtId="0" fontId="30" fillId="20" borderId="62" xfId="0" applyFont="1" applyFill="1" applyBorder="1" applyAlignment="1">
      <alignment horizontal="center" vertical="center" wrapText="1" readingOrder="1"/>
    </xf>
    <xf numFmtId="0" fontId="30" fillId="21" borderId="62" xfId="0" applyFont="1" applyFill="1" applyBorder="1" applyAlignment="1">
      <alignment horizontal="center" vertical="center" wrapText="1" readingOrder="1"/>
    </xf>
    <xf numFmtId="0" fontId="16" fillId="30" borderId="69" xfId="0" applyFont="1" applyFill="1" applyBorder="1" applyAlignment="1">
      <alignment horizontal="left" vertical="center" wrapText="1" readingOrder="1"/>
    </xf>
    <xf numFmtId="0" fontId="37" fillId="10" borderId="9" xfId="0" applyFont="1" applyFill="1" applyBorder="1" applyAlignment="1">
      <alignment horizontal="left" vertical="center" wrapText="1" readingOrder="1"/>
    </xf>
    <xf numFmtId="0" fontId="36" fillId="21" borderId="9" xfId="0" applyFont="1" applyFill="1" applyBorder="1" applyAlignment="1">
      <alignment horizontal="center" wrapText="1" readingOrder="1"/>
    </xf>
    <xf numFmtId="0" fontId="36" fillId="21" borderId="10" xfId="0" quotePrefix="1" applyFont="1" applyFill="1" applyBorder="1" applyAlignment="1">
      <alignment horizontal="center" wrapText="1" readingOrder="1"/>
    </xf>
    <xf numFmtId="0" fontId="36" fillId="21" borderId="10" xfId="0" applyFont="1" applyFill="1" applyBorder="1" applyAlignment="1">
      <alignment horizontal="center" wrapText="1" readingOrder="1"/>
    </xf>
    <xf numFmtId="0" fontId="37" fillId="3" borderId="9" xfId="0" applyFont="1" applyFill="1" applyBorder="1" applyAlignment="1">
      <alignment horizontal="left" vertical="center" wrapText="1" readingOrder="1"/>
    </xf>
    <xf numFmtId="0" fontId="36" fillId="20" borderId="46" xfId="0" applyFont="1" applyFill="1" applyBorder="1" applyAlignment="1">
      <alignment horizontal="center" wrapText="1" readingOrder="1"/>
    </xf>
    <xf numFmtId="0" fontId="36" fillId="20" borderId="62" xfId="0" quotePrefix="1" applyFont="1" applyFill="1" applyBorder="1" applyAlignment="1">
      <alignment horizontal="center" wrapText="1" readingOrder="1"/>
    </xf>
    <xf numFmtId="0" fontId="36" fillId="21" borderId="62" xfId="0" applyFont="1" applyFill="1" applyBorder="1" applyAlignment="1">
      <alignment horizontal="center" wrapText="1" readingOrder="1"/>
    </xf>
    <xf numFmtId="0" fontId="36" fillId="20" borderId="62" xfId="0" applyFont="1" applyFill="1" applyBorder="1" applyAlignment="1">
      <alignment horizontal="center" wrapText="1" readingOrder="1"/>
    </xf>
    <xf numFmtId="0" fontId="36" fillId="21" borderId="46" xfId="0" applyFont="1" applyFill="1" applyBorder="1" applyAlignment="1">
      <alignment horizontal="center" wrapText="1" readingOrder="1"/>
    </xf>
    <xf numFmtId="0" fontId="36" fillId="21" borderId="62" xfId="0" quotePrefix="1" applyFont="1" applyFill="1" applyBorder="1" applyAlignment="1">
      <alignment horizontal="center" wrapText="1" readingOrder="1"/>
    </xf>
    <xf numFmtId="0" fontId="1" fillId="0" borderId="0" xfId="0" applyFont="1" applyAlignment="1">
      <alignment horizontal="center" vertical="center"/>
    </xf>
    <xf numFmtId="0" fontId="16" fillId="27" borderId="9" xfId="0" applyFont="1" applyFill="1" applyBorder="1" applyAlignment="1">
      <alignment horizontal="center" vertical="center" wrapText="1" readingOrder="1"/>
    </xf>
    <xf numFmtId="0" fontId="16" fillId="27" borderId="10" xfId="0" applyFont="1" applyFill="1" applyBorder="1" applyAlignment="1">
      <alignment horizontal="center" vertical="center" wrapText="1" readingOrder="1"/>
    </xf>
    <xf numFmtId="0" fontId="16" fillId="28" borderId="46" xfId="0" applyFont="1" applyFill="1" applyBorder="1" applyAlignment="1">
      <alignment horizontal="center" vertical="center" wrapText="1" readingOrder="1"/>
    </xf>
    <xf numFmtId="0" fontId="16" fillId="28" borderId="62" xfId="0" applyFont="1" applyFill="1" applyBorder="1" applyAlignment="1">
      <alignment horizontal="center" vertical="center" wrapText="1" readingOrder="1"/>
    </xf>
    <xf numFmtId="49" fontId="2" fillId="0" borderId="32" xfId="0" applyNumberFormat="1" applyFont="1" applyBorder="1" applyAlignment="1">
      <alignment horizontal="center" vertical="center" wrapText="1"/>
    </xf>
    <xf numFmtId="49" fontId="2" fillId="0" borderId="35" xfId="0" applyNumberFormat="1" applyFont="1" applyBorder="1" applyAlignment="1">
      <alignment horizontal="center" vertical="center" wrapText="1"/>
    </xf>
    <xf numFmtId="49" fontId="2" fillId="0" borderId="34" xfId="0" applyNumberFormat="1" applyFont="1" applyBorder="1" applyAlignment="1">
      <alignment vertical="center" wrapText="1"/>
    </xf>
    <xf numFmtId="49" fontId="2" fillId="0" borderId="41" xfId="0" applyNumberFormat="1" applyFont="1" applyBorder="1" applyAlignment="1">
      <alignment horizontal="center" vertical="center" wrapText="1"/>
    </xf>
    <xf numFmtId="1" fontId="30" fillId="25" borderId="24" xfId="0" applyNumberFormat="1" applyFont="1" applyFill="1" applyBorder="1" applyAlignment="1">
      <alignment horizontal="center" vertical="center" wrapText="1" readingOrder="1"/>
    </xf>
    <xf numFmtId="2" fontId="16" fillId="0" borderId="45" xfId="0" applyNumberFormat="1" applyFont="1" applyBorder="1" applyAlignment="1">
      <alignment horizontal="center" wrapText="1"/>
    </xf>
    <xf numFmtId="2" fontId="28" fillId="0" borderId="28" xfId="0" applyNumberFormat="1" applyFont="1" applyBorder="1" applyAlignment="1">
      <alignment horizontal="center"/>
    </xf>
    <xf numFmtId="2" fontId="15" fillId="20" borderId="45" xfId="0" applyNumberFormat="1" applyFont="1" applyFill="1" applyBorder="1" applyAlignment="1">
      <alignment horizontal="center" wrapText="1"/>
    </xf>
    <xf numFmtId="43" fontId="15" fillId="30" borderId="69" xfId="0" applyNumberFormat="1" applyFont="1" applyFill="1" applyBorder="1" applyAlignment="1">
      <alignment horizontal="center" vertical="center" wrapText="1" readingOrder="1"/>
    </xf>
    <xf numFmtId="0" fontId="27" fillId="23" borderId="59" xfId="0" applyFont="1" applyFill="1" applyBorder="1" applyAlignment="1">
      <alignment horizontal="left" vertical="center" wrapText="1"/>
    </xf>
    <xf numFmtId="2" fontId="16" fillId="0" borderId="61" xfId="0" applyNumberFormat="1" applyFont="1" applyBorder="1" applyAlignment="1">
      <alignment horizontal="center" wrapText="1" readingOrder="1"/>
    </xf>
    <xf numFmtId="2" fontId="15" fillId="20" borderId="61" xfId="0" applyNumberFormat="1" applyFont="1" applyFill="1" applyBorder="1" applyAlignment="1">
      <alignment horizontal="center" wrapText="1" readingOrder="1"/>
    </xf>
    <xf numFmtId="0" fontId="3" fillId="6" borderId="0" xfId="0" applyFont="1" applyFill="1" applyAlignment="1">
      <alignment horizontal="left" vertical="center" wrapText="1" readingOrder="1"/>
    </xf>
    <xf numFmtId="0" fontId="4" fillId="31" borderId="0" xfId="0" applyFont="1" applyFill="1" applyAlignment="1">
      <alignment horizontal="center" vertical="center" wrapText="1" readingOrder="1"/>
    </xf>
    <xf numFmtId="0" fontId="3" fillId="6" borderId="77" xfId="0" applyFont="1" applyFill="1" applyBorder="1" applyAlignment="1">
      <alignment vertical="center" wrapText="1" readingOrder="1"/>
    </xf>
    <xf numFmtId="0" fontId="3" fillId="9" borderId="78" xfId="0" applyFont="1" applyFill="1" applyBorder="1" applyAlignment="1">
      <alignment vertical="center" wrapText="1" readingOrder="1"/>
    </xf>
    <xf numFmtId="0" fontId="3" fillId="9" borderId="79" xfId="0" applyFont="1" applyFill="1" applyBorder="1" applyAlignment="1">
      <alignment horizontal="center" vertical="center" wrapText="1" readingOrder="1"/>
    </xf>
    <xf numFmtId="0" fontId="4" fillId="9" borderId="80" xfId="0" applyFont="1" applyFill="1" applyBorder="1" applyAlignment="1">
      <alignment vertical="center" wrapText="1" readingOrder="1"/>
    </xf>
    <xf numFmtId="0" fontId="4" fillId="9" borderId="79" xfId="0" applyFont="1" applyFill="1" applyBorder="1" applyAlignment="1">
      <alignment horizontal="center" vertical="center" wrapText="1" readingOrder="1"/>
    </xf>
    <xf numFmtId="0" fontId="3" fillId="6" borderId="81" xfId="0" applyFont="1" applyFill="1" applyBorder="1" applyAlignment="1">
      <alignment horizontal="left" vertical="center" wrapText="1" readingOrder="1"/>
    </xf>
    <xf numFmtId="0" fontId="4" fillId="7" borderId="82" xfId="0" applyFont="1" applyFill="1" applyBorder="1" applyAlignment="1">
      <alignment horizontal="center" vertical="center" wrapText="1" readingOrder="1"/>
    </xf>
    <xf numFmtId="0" fontId="4" fillId="8" borderId="82" xfId="0" applyFont="1" applyFill="1" applyBorder="1" applyAlignment="1">
      <alignment horizontal="center" vertical="center" wrapText="1" readingOrder="1"/>
    </xf>
    <xf numFmtId="0" fontId="4" fillId="9" borderId="82" xfId="0" applyFont="1" applyFill="1" applyBorder="1" applyAlignment="1">
      <alignment horizontal="center" vertical="center" wrapText="1" readingOrder="1"/>
    </xf>
    <xf numFmtId="0" fontId="4" fillId="9" borderId="83" xfId="0" applyFont="1" applyFill="1" applyBorder="1" applyAlignment="1">
      <alignment horizontal="center" vertical="center" wrapText="1" readingOrder="1"/>
    </xf>
    <xf numFmtId="2" fontId="30" fillId="21" borderId="10" xfId="0" applyNumberFormat="1" applyFont="1" applyFill="1" applyBorder="1" applyAlignment="1">
      <alignment horizontal="center" vertical="center" wrapText="1" readingOrder="1"/>
    </xf>
    <xf numFmtId="0" fontId="0" fillId="0" borderId="28" xfId="0" applyBorder="1"/>
    <xf numFmtId="0" fontId="0" fillId="0" borderId="28" xfId="0" applyBorder="1" applyAlignment="1">
      <alignment horizontal="left"/>
    </xf>
    <xf numFmtId="0" fontId="0" fillId="0" borderId="28" xfId="0" applyBorder="1" applyAlignment="1">
      <alignment horizontal="center"/>
    </xf>
    <xf numFmtId="0" fontId="0" fillId="0" borderId="28" xfId="0" applyBorder="1" applyAlignment="1">
      <alignment horizontal="left" indent="1"/>
    </xf>
    <xf numFmtId="0" fontId="0" fillId="0" borderId="28" xfId="0" pivotButton="1" applyBorder="1"/>
    <xf numFmtId="0" fontId="4" fillId="7" borderId="11" xfId="0" applyFont="1" applyFill="1" applyBorder="1" applyAlignment="1">
      <alignment horizontal="center" vertical="center" wrapText="1" readingOrder="1"/>
    </xf>
    <xf numFmtId="0" fontId="16" fillId="0" borderId="0" xfId="0" applyFont="1" applyAlignment="1">
      <alignment wrapText="1"/>
    </xf>
    <xf numFmtId="2" fontId="30" fillId="20" borderId="62" xfId="0" applyNumberFormat="1" applyFont="1" applyFill="1" applyBorder="1" applyAlignment="1">
      <alignment horizontal="center" vertical="center" wrapText="1" readingOrder="1"/>
    </xf>
    <xf numFmtId="0" fontId="27" fillId="23" borderId="84" xfId="0" applyFont="1" applyFill="1" applyBorder="1" applyAlignment="1">
      <alignment horizontal="left" vertical="center"/>
    </xf>
    <xf numFmtId="0" fontId="27" fillId="0" borderId="84" xfId="0" applyFont="1" applyBorder="1" applyAlignment="1">
      <alignment horizontal="center" vertical="center"/>
    </xf>
  </cellXfs>
  <cellStyles count="2">
    <cellStyle name="Normal" xfId="0" builtinId="0"/>
    <cellStyle name="Salida" xfId="1" builtinId="21"/>
  </cellStyles>
  <dxfs count="24">
    <dxf>
      <font>
        <sz val="14"/>
      </font>
      <fill>
        <patternFill patternType="none"/>
      </fill>
    </dxf>
    <dxf>
      <font>
        <sz val="14"/>
      </font>
      <fill>
        <patternFill patternType="none"/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 Light"/>
        <family val="2"/>
        <scheme val="major"/>
      </font>
      <fill>
        <patternFill patternType="none">
          <fgColor indexed="64"/>
          <bgColor rgb="FF5B9BD5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medium">
          <color indexed="64"/>
        </bottom>
      </border>
    </dxf>
    <dxf>
      <font>
        <sz val="14"/>
      </font>
      <fill>
        <patternFill patternType="none"/>
      </fill>
    </dxf>
    <dxf>
      <font>
        <sz val="14"/>
        <color rgb="FF000000"/>
      </font>
      <fill>
        <patternFill patternType="solid">
          <fgColor indexed="64"/>
          <bgColor theme="4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3F3F3F"/>
        <name val="Calibri Light"/>
        <family val="2"/>
        <scheme val="none"/>
      </font>
      <fill>
        <patternFill patternType="none">
          <fgColor rgb="FFF2F2F2"/>
          <bgColor indexed="65"/>
        </patternFill>
      </fill>
      <alignment horizontal="center" vertical="center" textRotation="0" wrapText="0" indent="0" justifyLastLine="0" shrinkToFit="0" readingOrder="0"/>
      <border>
        <top style="thin">
          <color rgb="FF000000"/>
        </top>
        <bottom style="thin">
          <color rgb="FF000000"/>
        </bottom>
        <horizontal style="thin">
          <color rgb="FF000000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3F3F3F"/>
        <name val="Calibri Light"/>
        <family val="2"/>
        <scheme val="none"/>
      </font>
      <fill>
        <patternFill patternType="none">
          <fgColor rgb="FFF2F2F2"/>
          <bgColor indexed="65"/>
        </patternFill>
      </fill>
      <alignment horizontal="center" vertical="center" textRotation="0" wrapText="0" indent="0" justifyLastLine="0" shrinkToFit="0" readingOrder="0"/>
      <border>
        <top style="thin">
          <color rgb="FF000000"/>
        </top>
        <bottom style="thin">
          <color rgb="FF000000"/>
        </bottom>
        <horizontal style="thin">
          <color rgb="FF000000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3F3F3F"/>
        <name val="Calibri Light"/>
        <family val="2"/>
        <scheme val="none"/>
      </font>
      <fill>
        <patternFill patternType="none">
          <fgColor rgb="FFF2F2F2"/>
          <bgColor indexed="65"/>
        </patternFill>
      </fill>
      <alignment horizontal="center" vertical="center" textRotation="0" wrapText="0" indent="0" justifyLastLine="0" shrinkToFit="0" readingOrder="0"/>
      <border>
        <top style="thin">
          <color rgb="FF000000"/>
        </top>
        <bottom style="thin">
          <color rgb="FF000000"/>
        </bottom>
        <horizontal style="thin">
          <color rgb="FF000000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3F3F3F"/>
        <name val="Calibri Light"/>
        <family val="2"/>
        <scheme val="none"/>
      </font>
      <fill>
        <patternFill patternType="solid">
          <fgColor indexed="64"/>
          <bgColor theme="2"/>
        </patternFill>
      </fill>
      <alignment horizontal="left" vertical="center" textRotation="0" wrapText="0" indent="0" justifyLastLine="0" shrinkToFit="0" readingOrder="0"/>
      <border>
        <top style="thin">
          <color rgb="FF000000"/>
        </top>
        <bottom style="thin">
          <color rgb="FF000000"/>
        </bottom>
        <horizontal style="thin">
          <color rgb="FF000000"/>
        </horizontal>
      </border>
    </dxf>
    <dxf>
      <border>
        <top style="thin">
          <color rgb="FF000000"/>
        </top>
      </border>
    </dxf>
    <dxf>
      <border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3F3F3F"/>
        <name val="Calibri Light"/>
        <family val="2"/>
        <scheme val="none"/>
      </font>
      <fill>
        <patternFill patternType="none">
          <fgColor rgb="FFF2F2F2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3F3F3F"/>
        <name val="Calibri Light"/>
        <family val="2"/>
        <scheme val="none"/>
      </font>
      <fill>
        <patternFill patternType="none">
          <fgColor rgb="FFF2F2F2"/>
          <bgColor indexed="65"/>
        </patternFill>
      </fill>
      <alignment horizontal="center" vertical="center" textRotation="0" wrapText="1" indent="0" justifyLastLine="0" shrinkToFit="0" readingOrder="0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Usuarios\gsantillanv\AppData\Local\Microsoft\Windows\INetCache\Content.Outlook\830C6WRM\STOCK%20DICIEMBRE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or" refreshedDate="45660.75809722222" createdVersion="8" refreshedVersion="8" minRefreshableVersion="3" recordCount="191" xr:uid="{E051F728-7075-40B5-975C-7091EAEA2372}">
  <cacheSource type="worksheet">
    <worksheetSource ref="A1:P192" sheet="Produccion diciembre" r:id="rId2"/>
  </cacheSource>
  <cacheFields count="16">
    <cacheField name="Indicador de Dependencia" numFmtId="0">
      <sharedItems/>
    </cacheField>
    <cacheField name="Tipo de Resolución" numFmtId="0">
      <sharedItems/>
    </cacheField>
    <cacheField name="Número de Resolución" numFmtId="0">
      <sharedItems/>
    </cacheField>
    <cacheField name="Fecha de emisión" numFmtId="0">
      <sharedItems/>
    </cacheField>
    <cacheField name="Tipo de documento" numFmtId="0">
      <sharedItems/>
    </cacheField>
    <cacheField name="Número de documento" numFmtId="0">
      <sharedItems/>
    </cacheField>
    <cacheField name="Nombre del Contribuyente" numFmtId="0">
      <sharedItems/>
    </cacheField>
    <cacheField name="Etapa de Notificación" numFmtId="0">
      <sharedItems/>
    </cacheField>
    <cacheField name="Fecha de Notificación" numFmtId="0">
      <sharedItems/>
    </cacheField>
    <cacheField name="Número de Expediente" numFmtId="0">
      <sharedItems/>
    </cacheField>
    <cacheField name="Indicador de Origen de Registro" numFmtId="0">
      <sharedItems/>
    </cacheField>
    <cacheField name="Fecha de Presentación del Expediente" numFmtId="0">
      <sharedItems/>
    </cacheField>
    <cacheField name="Registro Resolutor" numFmtId="0">
      <sharedItems count="18">
        <s v="2858-JULIO RAMIRO, CASTAÑEDA CALDERON"/>
        <s v="2900-CAROLINA MARCELA, CAVERO CARRION"/>
        <s v="2968-MARIA LUISA, CHIRE TUNQUE"/>
        <s v="3085-EDGAR FERNANDO, COSIO JARA"/>
        <s v="3284-ANA MARIA, DIAZ JURADO"/>
        <s v="3977-WILLIAN ARNALDO, GODOY ESCALANTE"/>
        <s v="4504-HUGO ALBERTO, JIMENEZ SUCLLA"/>
        <s v="4561-CESAR VICTOR, LINARES ALCANTARA"/>
        <s v="4770-MARITZA, MOLLINEDO CATUNTA"/>
        <s v="4949-JAVIER GUSTAVO, OYARSE CRUZ"/>
        <s v="5534-CELSO FELIX, SANCHEZ GARRIDO"/>
        <s v="5556-JORGE LUIS, SANCHEZ TORRES"/>
        <s v="5565-VICTORIA AGUSTINA, SANTA CRUZ MARTINEZ"/>
        <s v="7324-ZAIRA, CARBAJAL JARA"/>
        <s v="7330-TANIA ELENA, ROSALES OCHOA"/>
        <s v="7611-AZHIR YUSSEF, SANDOVAL GUEVARA"/>
        <s v="7661-LUIS ALBERTO, CORDOVA MEZA"/>
        <s v="7674-ANDRES EDUARDO, ANGULO FARFAN"/>
      </sharedItems>
    </cacheField>
    <cacheField name="Registro Revisor 1" numFmtId="0">
      <sharedItems count="3">
        <s v="5569-GLADYS ANGELITA, SANTILLAN VALDIVIA"/>
        <s v="7649-ALLISON ERIKA, CASTRO LAGOS"/>
        <s v="7625-TERESITA MILAGROS, QUEZADA VILLAR"/>
      </sharedItems>
    </cacheField>
    <cacheField name="Registro Revisor 2" numFmtId="0">
      <sharedItems/>
    </cacheField>
    <cacheField name="Registro Aprobador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1">
  <r>
    <s v="ADU"/>
    <s v="Resolución de Reclamación"/>
    <s v="4090140011177"/>
    <s v="19/12/2024"/>
    <s v="RUC"/>
    <s v="20565413903"/>
    <s v="CUEROS SUPERIOR S.A.C."/>
    <s v="NOTIFICADO"/>
    <s v="19/12/2024"/>
    <s v="4090340011658"/>
    <s v="CSC"/>
    <s v="04/09/2024"/>
    <x v="0"/>
    <x v="0"/>
    <s v="7580-VANESA GENOVEVA, CHAVEZ SILVA"/>
    <m/>
  </r>
  <r>
    <s v="ADU"/>
    <s v="Resolución de Reclamación"/>
    <s v="4090140011162"/>
    <s v="19/12/2024"/>
    <s v="RUC"/>
    <s v="20524256038"/>
    <s v="CIA COMERCIAL F &amp; S FALCON'S S.A.C."/>
    <s v="NOTIFICADO"/>
    <s v="19/12/2024"/>
    <s v="4090340011684"/>
    <s v="CSC"/>
    <s v="06/09/2024"/>
    <x v="0"/>
    <x v="0"/>
    <s v="7580-VANESA GENOVEVA, CHAVEZ SILVA"/>
    <m/>
  </r>
  <r>
    <s v="ADU"/>
    <s v="Resolución de Reclamación"/>
    <s v="4090140011178"/>
    <s v="19/12/2024"/>
    <s v="RUC"/>
    <s v="20565413903"/>
    <s v="CUEROS SUPERIOR S.A.C."/>
    <s v="NOTIFICADO"/>
    <s v="19/12/2024"/>
    <s v="4090340011748"/>
    <s v="CSC"/>
    <s v="12/09/2024"/>
    <x v="0"/>
    <x v="0"/>
    <s v="7580-VANESA GENOVEVA, CHAVEZ SILVA"/>
    <m/>
  </r>
  <r>
    <s v="ADU"/>
    <s v="Resolución de Reclamación"/>
    <s v="4090140011152"/>
    <s v="19/12/2024"/>
    <s v="RUC"/>
    <s v="20601196582"/>
    <s v="NUEVA MODA TEXTIL S.A.C."/>
    <s v="NOTIFICADO"/>
    <s v="19/12/2024"/>
    <s v="4090340011820"/>
    <s v="CSC"/>
    <s v="17/09/2024"/>
    <x v="0"/>
    <x v="0"/>
    <s v="7580-VANESA GENOVEVA, CHAVEZ SILVA"/>
    <m/>
  </r>
  <r>
    <s v="ADU"/>
    <s v="Resolución de Reclamación"/>
    <s v="4090140011153"/>
    <s v="19/12/2024"/>
    <s v="RUC"/>
    <s v="20521314720"/>
    <s v="INVERSIONES FLOTEX S.A.C."/>
    <s v="NOTIFICADO"/>
    <s v="19/12/2024"/>
    <s v="4090340011876"/>
    <s v="CSC"/>
    <s v="18/09/2024"/>
    <x v="0"/>
    <x v="0"/>
    <s v="7580-VANESA GENOVEVA, CHAVEZ SILVA"/>
    <m/>
  </r>
  <r>
    <s v="ADU"/>
    <s v="Resolución de Reclamación"/>
    <s v="4090140011176"/>
    <s v="19/12/2024"/>
    <s v="RUC"/>
    <s v="20601682509"/>
    <s v="CORPORACION MODA LATINA S.A.C."/>
    <s v="NOTIFICADO"/>
    <s v="19/12/2024"/>
    <s v="4090340011911"/>
    <s v="CSC"/>
    <s v="20/09/2024"/>
    <x v="0"/>
    <x v="0"/>
    <s v="7580-VANESA GENOVEVA, CHAVEZ SILVA"/>
    <m/>
  </r>
  <r>
    <s v="ADU"/>
    <s v="Resolución de Reclamación"/>
    <s v="4090140011268"/>
    <s v="24/12/2024"/>
    <s v="RUC"/>
    <s v="20521314720"/>
    <s v="INVERSIONES FLOTEX S.A.C."/>
    <s v="NOTIFICADO"/>
    <s v="24/12/2024"/>
    <s v="4090340011929"/>
    <s v="CSC"/>
    <s v="23/09/2024"/>
    <x v="0"/>
    <x v="0"/>
    <s v="7580-VANESA GENOVEVA, CHAVEZ SILVA"/>
    <m/>
  </r>
  <r>
    <s v="ADU"/>
    <s v="Resolución de Reclamación"/>
    <s v="4090140011283"/>
    <s v="24/12/2024"/>
    <s v="RUC"/>
    <s v="20521314720"/>
    <s v="INVERSIONES FLOTEX S.A.C."/>
    <s v="NOTIFICADO"/>
    <s v="24/12/2024"/>
    <s v="4090340012008"/>
    <s v="CSC"/>
    <s v="25/09/2024"/>
    <x v="0"/>
    <x v="0"/>
    <s v="7580-VANESA GENOVEVA, CHAVEZ SILVA"/>
    <m/>
  </r>
  <r>
    <s v="ADU"/>
    <s v="Resolución de Reclamación"/>
    <s v="4090140011382"/>
    <s v="27/12/2024"/>
    <s v="RUC"/>
    <s v="20556679003"/>
    <s v="KISNEX COMPANY SOCIEDAD ANONIMA CERRADA - KISNEX COMPANY S.A.C."/>
    <s v="NOTIFICADO"/>
    <s v="27/12/2024"/>
    <s v="4090340012210"/>
    <s v="CSC"/>
    <s v="04/10/2024"/>
    <x v="0"/>
    <x v="0"/>
    <s v="7580-VANESA GENOVEVA, CHAVEZ SILVA"/>
    <m/>
  </r>
  <r>
    <s v="ADU"/>
    <s v="Resolución de Reclamación"/>
    <s v="4090140011349"/>
    <s v="27/12/2024"/>
    <s v="RUC"/>
    <s v="20600250133"/>
    <s v="CASTRO IMPORT S.A.C."/>
    <s v="NOTIFICADO"/>
    <s v="27/12/2024"/>
    <s v="4090340012214"/>
    <s v="CSC"/>
    <s v="07/10/2024"/>
    <x v="0"/>
    <x v="0"/>
    <s v="7580-VANESA GENOVEVA, CHAVEZ SILVA"/>
    <m/>
  </r>
  <r>
    <s v="ADU"/>
    <s v="Resolución de Reclamación"/>
    <s v="4090140011111"/>
    <s v="16/12/2024"/>
    <s v="RUC"/>
    <s v="20544700619"/>
    <s v="PIONEER TEXTIL E.I.R.L."/>
    <s v="NOTIFICADO"/>
    <s v="16/12/2024"/>
    <s v="4090340011746"/>
    <s v="CSC"/>
    <s v="12/09/2024"/>
    <x v="1"/>
    <x v="1"/>
    <s v="7580-VANESA GENOVEVA, CHAVEZ SILVA"/>
    <m/>
  </r>
  <r>
    <s v="ADU"/>
    <s v="Resolución de Reclamación"/>
    <s v="4090140011071"/>
    <s v="11/12/2024"/>
    <s v="RUC"/>
    <s v="20601682509"/>
    <s v="CORPORACION MODA LATINA S.A.C."/>
    <s v="NOTIFICADO"/>
    <s v="11/12/2024"/>
    <s v="4090340011866"/>
    <s v="CSC"/>
    <s v="18/09/2024"/>
    <x v="1"/>
    <x v="1"/>
    <s v="7580-VANESA GENOVEVA, CHAVEZ SILVA"/>
    <m/>
  </r>
  <r>
    <s v="ADU"/>
    <s v="Resolución de Reclamación"/>
    <s v="4090140011128"/>
    <s v="18/12/2024"/>
    <s v="RUC"/>
    <s v="20372816971"/>
    <s v="LA CASA DEL TULL S.A.C."/>
    <s v="NOTIFICADO"/>
    <s v="18/12/2024"/>
    <s v="4090340011978"/>
    <s v="CSC"/>
    <s v="24/09/2024"/>
    <x v="1"/>
    <x v="1"/>
    <s v="7580-VANESA GENOVEVA, CHAVEZ SILVA"/>
    <m/>
  </r>
  <r>
    <s v="ADU"/>
    <s v="Resolución de Reclamación"/>
    <s v="4090140011070"/>
    <s v="11/12/2024"/>
    <s v="RUC"/>
    <s v="20472156251"/>
    <s v="COMERCIAL PONGO E.I.R.L."/>
    <s v="NOTIFICADO"/>
    <s v="11/12/2024"/>
    <s v="4090340012123"/>
    <s v="CSC"/>
    <s v="01/10/2024"/>
    <x v="1"/>
    <x v="1"/>
    <s v="7580-VANESA GENOVEVA, CHAVEZ SILVA"/>
    <m/>
  </r>
  <r>
    <s v="ADU"/>
    <s v="Resolución de Reclamación"/>
    <s v="4090140011254"/>
    <s v="23/12/2024"/>
    <s v="RUC"/>
    <s v="20600568176"/>
    <s v="JACMAR BUSINESS E.I.R.L."/>
    <s v="NOTIFICADO"/>
    <s v="23/12/2024"/>
    <s v="4090340012225"/>
    <s v="CSC"/>
    <s v="09/10/2024"/>
    <x v="1"/>
    <x v="1"/>
    <s v="7580-VANESA GENOVEVA, CHAVEZ SILVA"/>
    <m/>
  </r>
  <r>
    <s v="ADU"/>
    <s v="Resolución de Reclamación"/>
    <s v="4090140011081"/>
    <s v="12/12/2024"/>
    <s v="RUC"/>
    <s v="20507205781"/>
    <s v="INTERNATIONAL FREIGHT SHIPPING S.A.C."/>
    <s v="NOTIFICADO"/>
    <s v="12/12/2024"/>
    <s v="4090340013146"/>
    <s v="CSC"/>
    <s v="07/06/2023"/>
    <x v="1"/>
    <x v="1"/>
    <s v="7580-VANESA GENOVEVA, CHAVEZ SILVA"/>
    <m/>
  </r>
  <r>
    <s v="ADU"/>
    <s v="Resolución de Reclamación"/>
    <s v="4090140011277"/>
    <s v="24/12/2024"/>
    <s v="RUC"/>
    <s v="20416013293"/>
    <s v="SPADA LIGHTS E.I.R.L."/>
    <s v="NOTIFICADO"/>
    <s v="24/12/2024"/>
    <s v="4090340012388"/>
    <s v="CSC"/>
    <s v="18/10/2024"/>
    <x v="1"/>
    <x v="1"/>
    <s v="7580-VANESA GENOVEVA, CHAVEZ SILVA"/>
    <m/>
  </r>
  <r>
    <s v="ADU"/>
    <s v="Resolución de Reclamación"/>
    <s v="4090140011147"/>
    <s v="18/12/2024"/>
    <s v="RUC"/>
    <s v="20608181912"/>
    <s v="BODEGA DE LA MODA S.A.C."/>
    <s v="NOTIFICADO"/>
    <s v="18/12/2024"/>
    <s v="4090340012443"/>
    <s v="CSC"/>
    <s v="21/10/2024"/>
    <x v="1"/>
    <x v="1"/>
    <s v="7580-VANESA GENOVEVA, CHAVEZ SILVA"/>
    <m/>
  </r>
  <r>
    <s v="ADU"/>
    <s v="Resolución de Reclamación"/>
    <s v="4090140011126"/>
    <s v="18/12/2024"/>
    <s v="RUC"/>
    <s v="10104871637"/>
    <s v="PONGO SONCO REYNALDO"/>
    <s v="NOTIFICADO"/>
    <s v="18/12/2024"/>
    <s v="4090340012454"/>
    <s v="CSC"/>
    <s v="22/10/2024"/>
    <x v="1"/>
    <x v="1"/>
    <s v="7580-VANESA GENOVEVA, CHAVEZ SILVA"/>
    <m/>
  </r>
  <r>
    <s v="ADU"/>
    <s v="Resolución de Reclamación"/>
    <s v="4090140011217"/>
    <s v="23/12/2024"/>
    <s v="RUC"/>
    <s v="20472156251"/>
    <s v="COMERCIAL PONGO E.I.R.L."/>
    <s v="NOTIFICADO"/>
    <s v="23/12/2024"/>
    <s v="4090340012805"/>
    <s v="CSC"/>
    <s v="07/11/2024"/>
    <x v="1"/>
    <x v="1"/>
    <s v="7580-VANESA GENOVEVA, CHAVEZ SILVA"/>
    <m/>
  </r>
  <r>
    <s v="ADU"/>
    <s v="Resolución de Reclamación"/>
    <s v="4090140011214"/>
    <s v="23/12/2024"/>
    <s v="RUC"/>
    <s v="20608181912"/>
    <s v="BODEGA DE LA MODA S.A.C."/>
    <s v="NOTIFICADO"/>
    <s v="23/12/2024"/>
    <s v="4090340012641"/>
    <s v="CSC"/>
    <s v="30/10/2024"/>
    <x v="1"/>
    <x v="1"/>
    <s v="7580-VANESA GENOVEVA, CHAVEZ SILVA"/>
    <m/>
  </r>
  <r>
    <s v="ADU"/>
    <s v="Resolución de Reclamación"/>
    <s v="4090140011127"/>
    <s v="18/12/2024"/>
    <s v="RUC"/>
    <s v="20543197891"/>
    <s v="TOMMY TEXTIL IMPORT Y EXPORT S.A.C."/>
    <s v="NOTIFICADO"/>
    <s v="18/12/2024"/>
    <s v="4090340012656"/>
    <s v="CSC"/>
    <s v="30/10/2024"/>
    <x v="1"/>
    <x v="1"/>
    <s v="7580-VANESA GENOVEVA, CHAVEZ SILVA"/>
    <m/>
  </r>
  <r>
    <s v="ADU"/>
    <s v="Resolución de Reclamación"/>
    <s v="4090140011202"/>
    <s v="20/12/2024"/>
    <s v="RUC"/>
    <s v="20543197891"/>
    <s v="TOMMY TEXTIL IMPORT Y EXPORT S.A.C."/>
    <s v="NOTIFICADO"/>
    <s v="20/12/2024"/>
    <s v="4090340012699"/>
    <s v="CSC"/>
    <s v="03/11/2024"/>
    <x v="1"/>
    <x v="1"/>
    <s v="7580-VANESA GENOVEVA, CHAVEZ SILVA"/>
    <m/>
  </r>
  <r>
    <s v="ADU"/>
    <s v="Resolución de Reclamación"/>
    <s v="4090140011295"/>
    <s v="26/12/2024"/>
    <s v="RUC"/>
    <s v="20551467563"/>
    <s v="CORPORACION TEXTIL SANTA ROSA SOCIEDAD ANONIMA CERRADA-CORPORACION TEXTIL SANTA ROSA S.A.C."/>
    <s v="NOTIFICADO"/>
    <s v="26/12/2024"/>
    <s v="4090340011846"/>
    <s v="CSC"/>
    <s v="18/09/2024"/>
    <x v="2"/>
    <x v="2"/>
    <s v="7580-VANESA GENOVEVA, CHAVEZ SILVA"/>
    <m/>
  </r>
  <r>
    <s v="ADU"/>
    <s v="Resolución de Reclamación"/>
    <s v="4090140011355"/>
    <s v="27/12/2024"/>
    <s v="RUC"/>
    <s v="20521314720"/>
    <s v="INVERSIONES FLOTEX S.A.C."/>
    <s v="NOTIFICADO"/>
    <s v="27/12/2024"/>
    <s v="4090340011942"/>
    <s v="CSC"/>
    <s v="23/09/2024"/>
    <x v="2"/>
    <x v="2"/>
    <s v="7580-VANESA GENOVEVA, CHAVEZ SILVA"/>
    <m/>
  </r>
  <r>
    <s v="ADU"/>
    <s v="Resolución de Reclamación"/>
    <s v="4090140011368"/>
    <s v="27/12/2024"/>
    <s v="RUC"/>
    <s v="20601246890"/>
    <s v="CHEMETEX S.A.C."/>
    <s v="NOTIFICADO"/>
    <s v="27/12/2024"/>
    <s v="4090340011973"/>
    <s v="CSC"/>
    <s v="24/09/2024"/>
    <x v="2"/>
    <x v="2"/>
    <s v="7580-VANESA GENOVEVA, CHAVEZ SILVA"/>
    <m/>
  </r>
  <r>
    <s v="ADU"/>
    <s v="Resolución de Reclamación"/>
    <s v="4090140011358"/>
    <s v="27/12/2024"/>
    <s v="RUC"/>
    <s v="20565413903"/>
    <s v="CUEROS SUPERIOR S.A.C."/>
    <s v="NOTIFICADO"/>
    <s v="27/12/2024"/>
    <s v="4090340012246"/>
    <s v="CSC"/>
    <s v="10/10/2024"/>
    <x v="2"/>
    <x v="2"/>
    <s v="7580-VANESA GENOVEVA, CHAVEZ SILVA"/>
    <m/>
  </r>
  <r>
    <s v="ADU"/>
    <s v="Resolución de Reclamación"/>
    <s v="4090140011276"/>
    <s v="24/12/2024"/>
    <s v="RUC"/>
    <s v="20379251286"/>
    <s v="ARAUCO PERU S.A."/>
    <s v="NOTIFICADO"/>
    <s v="24/12/2024"/>
    <s v="4090340012294"/>
    <s v="CSC"/>
    <s v="14/10/2024"/>
    <x v="2"/>
    <x v="2"/>
    <s v="7580-VANESA GENOVEVA, CHAVEZ SILVA"/>
    <m/>
  </r>
  <r>
    <s v="ADU"/>
    <s v="Resolución de Reclamación"/>
    <s v="4090140011279"/>
    <s v="24/12/2024"/>
    <s v="RUC"/>
    <s v="20379251286"/>
    <s v="ARAUCO PERU S.A."/>
    <s v="NOTIFICADO"/>
    <s v="24/12/2024"/>
    <s v="4090340012295"/>
    <s v="CSC"/>
    <s v="14/10/2024"/>
    <x v="2"/>
    <x v="2"/>
    <s v="7580-VANESA GENOVEVA, CHAVEZ SILVA"/>
    <m/>
  </r>
  <r>
    <s v="ADU"/>
    <s v="Resolución de Reclamación"/>
    <s v="4090140011278"/>
    <s v="24/12/2024"/>
    <s v="RUC"/>
    <s v="20379251286"/>
    <s v="ARAUCO PERU S.A."/>
    <s v="NOTIFICADO"/>
    <s v="24/12/2024"/>
    <s v="4090340012296"/>
    <s v="CSC"/>
    <s v="14/10/2024"/>
    <x v="2"/>
    <x v="2"/>
    <s v="7580-VANESA GENOVEVA, CHAVEZ SILVA"/>
    <m/>
  </r>
  <r>
    <s v="ADU"/>
    <s v="Resolución de Reclamación"/>
    <s v="4090140011122"/>
    <s v="17/12/2024"/>
    <s v="RUC"/>
    <s v="20379251286"/>
    <s v="ARAUCO PERU S.A."/>
    <s v="NOTIFICADO"/>
    <s v="17/12/2024"/>
    <s v="4090340012297"/>
    <s v="CSC"/>
    <s v="14/10/2024"/>
    <x v="2"/>
    <x v="2"/>
    <s v="7580-VANESA GENOVEVA, CHAVEZ SILVA"/>
    <m/>
  </r>
  <r>
    <s v="ADU"/>
    <s v="Resolución de Reclamación"/>
    <s v="4090140011359"/>
    <s v="27/12/2024"/>
    <s v="RUC"/>
    <s v="20379251286"/>
    <s v="ARAUCO PERU S.A."/>
    <s v="NOTIFICADO"/>
    <s v="27/12/2024"/>
    <s v="4090340012299"/>
    <s v="CSC"/>
    <s v="14/10/2024"/>
    <x v="2"/>
    <x v="2"/>
    <s v="7580-VANESA GENOVEVA, CHAVEZ SILVA"/>
    <m/>
  </r>
  <r>
    <s v="ADU"/>
    <s v="Resolución de Reclamación"/>
    <s v="4090140011296"/>
    <s v="26/12/2024"/>
    <s v="RUC"/>
    <s v="20379251286"/>
    <s v="ARAUCO PERU S.A."/>
    <s v="NOTIFICADO"/>
    <s v="26/12/2024"/>
    <s v="4090340012300"/>
    <s v="CSC"/>
    <s v="14/10/2024"/>
    <x v="2"/>
    <x v="2"/>
    <s v="7580-VANESA GENOVEVA, CHAVEZ SILVA"/>
    <m/>
  </r>
  <r>
    <s v="ADU"/>
    <s v="Resolución de Reclamación"/>
    <s v="4090140011280"/>
    <s v="24/12/2024"/>
    <s v="RUC"/>
    <s v="20379251286"/>
    <s v="ARAUCO PERU S.A."/>
    <s v="NOTIFICADO"/>
    <s v="24/12/2024"/>
    <s v="4090340012301"/>
    <s v="CSC"/>
    <s v="14/10/2024"/>
    <x v="2"/>
    <x v="2"/>
    <s v="7580-VANESA GENOVEVA, CHAVEZ SILVA"/>
    <m/>
  </r>
  <r>
    <s v="ADU"/>
    <s v="Resolución de Reclamación"/>
    <s v="4090140011297"/>
    <s v="26/12/2024"/>
    <s v="RUC"/>
    <s v="20379251286"/>
    <s v="ARAUCO PERU S.A."/>
    <s v="NOTIFICADO"/>
    <s v="26/12/2024"/>
    <s v="4090340012302"/>
    <s v="CSC"/>
    <s v="14/10/2024"/>
    <x v="2"/>
    <x v="2"/>
    <s v="7580-VANESA GENOVEVA, CHAVEZ SILVA"/>
    <m/>
  </r>
  <r>
    <s v="ADU"/>
    <s v="Resolución de Reclamación"/>
    <s v="4090140011274"/>
    <s v="24/12/2024"/>
    <s v="RUC"/>
    <s v="20379251286"/>
    <s v="ARAUCO PERU S.A."/>
    <s v="NOTIFICADO"/>
    <s v="24/12/2024"/>
    <s v="4090340012310"/>
    <s v="CSC"/>
    <s v="14/10/2024"/>
    <x v="2"/>
    <x v="2"/>
    <s v="7580-VANESA GENOVEVA, CHAVEZ SILVA"/>
    <m/>
  </r>
  <r>
    <s v="ADU"/>
    <s v="Resolución de Reclamación"/>
    <s v="4090140011273"/>
    <s v="24/12/2024"/>
    <s v="RUC"/>
    <s v="20379251286"/>
    <s v="ARAUCO PERU S.A."/>
    <s v="NOTIFICADO"/>
    <s v="24/12/2024"/>
    <s v="4090340012347"/>
    <s v="CSC"/>
    <s v="15/10/2024"/>
    <x v="2"/>
    <x v="2"/>
    <s v="7580-VANESA GENOVEVA, CHAVEZ SILVA"/>
    <m/>
  </r>
  <r>
    <s v="ADU"/>
    <s v="Resolución de Reclamación"/>
    <s v="4090140011272"/>
    <s v="24/12/2024"/>
    <s v="RUC"/>
    <s v="20379251286"/>
    <s v="ARAUCO PERU S.A."/>
    <s v="NOTIFICADO"/>
    <s v="24/12/2024"/>
    <s v="4090340012374"/>
    <s v="CSC"/>
    <s v="17/10/2024"/>
    <x v="2"/>
    <x v="2"/>
    <s v="7580-VANESA GENOVEVA, CHAVEZ SILVA"/>
    <m/>
  </r>
  <r>
    <s v="ADU"/>
    <s v="Resolución de Reclamación"/>
    <s v="4090140011271"/>
    <s v="24/12/2024"/>
    <s v="RUC"/>
    <s v="20379251286"/>
    <s v="ARAUCO PERU S.A."/>
    <s v="NOTIFICADO"/>
    <s v="24/12/2024"/>
    <s v="4090340012377"/>
    <s v="CSC"/>
    <s v="17/10/2024"/>
    <x v="2"/>
    <x v="2"/>
    <s v="7580-VANESA GENOVEVA, CHAVEZ SILVA"/>
    <m/>
  </r>
  <r>
    <s v="ADU"/>
    <s v="Resolución de Reclamación"/>
    <s v="4090140011270"/>
    <s v="24/12/2024"/>
    <s v="RUC"/>
    <s v="20600250133"/>
    <s v="CASTRO IMPORT S.A.C."/>
    <s v="NOTIFICADO"/>
    <s v="24/12/2024"/>
    <s v="4090340012472"/>
    <s v="CSC"/>
    <s v="22/10/2024"/>
    <x v="2"/>
    <x v="2"/>
    <s v="7580-VANESA GENOVEVA, CHAVEZ SILVA"/>
    <m/>
  </r>
  <r>
    <s v="ADU"/>
    <s v="Resolución de Reclamación"/>
    <s v="4090140011144"/>
    <s v="18/12/2024"/>
    <s v="RUC"/>
    <s v="20601566584"/>
    <s v="GPRINTER PERU S.A.C."/>
    <s v="NOTIFICADO"/>
    <s v="18/12/2024"/>
    <s v="4090340010745"/>
    <s v="CSC"/>
    <s v="02/07/2024"/>
    <x v="3"/>
    <x v="1"/>
    <s v="7580-VANESA GENOVEVA, CHAVEZ SILVA"/>
    <m/>
  </r>
  <r>
    <s v="ADU"/>
    <s v="Resolución de Reclamación"/>
    <s v="4090140011105"/>
    <s v="16/12/2024"/>
    <s v="RUC"/>
    <s v="20601566584"/>
    <s v="GPRINTER PERU S.A.C."/>
    <s v="NOTIFICADO"/>
    <s v="16/12/2024"/>
    <s v="4090340010906"/>
    <s v="CSC"/>
    <s v="15/07/2024"/>
    <x v="3"/>
    <x v="1"/>
    <s v="7580-VANESA GENOVEVA, CHAVEZ SILVA"/>
    <m/>
  </r>
  <r>
    <s v="ADU"/>
    <s v="Resolución de Reclamación"/>
    <s v="4090140011072"/>
    <s v="11/12/2024"/>
    <s v="RUC"/>
    <s v="20601444594"/>
    <s v="NINA MODERNA IMPORTACION S.A.C."/>
    <s v="NOTIFICADO"/>
    <s v="11/12/2024"/>
    <s v="4090340011171"/>
    <s v="CSC"/>
    <s v="01/08/2024"/>
    <x v="3"/>
    <x v="1"/>
    <s v="7580-VANESA GENOVEVA, CHAVEZ SILVA"/>
    <m/>
  </r>
  <r>
    <s v="ADU"/>
    <s v="Resolución de Reclamación"/>
    <s v="4090140011146"/>
    <s v="18/12/2024"/>
    <s v="RUC"/>
    <s v="20605735305"/>
    <s v="IBIZA FASHION TRENDS S.A.C."/>
    <s v="NOTIFICADO"/>
    <s v="18/12/2024"/>
    <s v="4090340011769"/>
    <s v="CSC"/>
    <s v="13/09/2024"/>
    <x v="3"/>
    <x v="1"/>
    <s v="7580-VANESA GENOVEVA, CHAVEZ SILVA"/>
    <m/>
  </r>
  <r>
    <s v="ADU"/>
    <s v="Resolución de Reclamación"/>
    <s v="4090140011227"/>
    <s v="23/12/2024"/>
    <s v="RUC"/>
    <s v="20503790271"/>
    <s v="TEXCORP S.A.C."/>
    <s v="NOTIFICADO"/>
    <s v="23/12/2024"/>
    <s v="4090340011872"/>
    <s v="CSC"/>
    <s v="18/09/2024"/>
    <x v="3"/>
    <x v="1"/>
    <s v="7580-VANESA GENOVEVA, CHAVEZ SILVA"/>
    <m/>
  </r>
  <r>
    <s v="ADU"/>
    <s v="Resolución de Reclamación"/>
    <s v="4090140011292"/>
    <s v="24/12/2024"/>
    <s v="RUC"/>
    <s v="20512628754"/>
    <s v="IMPORTACIONES BANCHI SAC"/>
    <s v="NOTIFICADO"/>
    <s v="24/12/2024"/>
    <s v="4090340012063"/>
    <s v="CSC"/>
    <s v="26/09/2024"/>
    <x v="3"/>
    <x v="1"/>
    <s v="7580-VANESA GENOVEVA, CHAVEZ SILVA"/>
    <m/>
  </r>
  <r>
    <s v="ADU"/>
    <s v="Resolución de Reclamación"/>
    <s v="4090140011145"/>
    <s v="18/12/2024"/>
    <s v="RUC"/>
    <s v="20518511450"/>
    <s v="HUANCATEX S.A.C."/>
    <s v="NOTIFICADO"/>
    <s v="18/12/2024"/>
    <s v="4090340012184"/>
    <s v="CSC"/>
    <s v="04/10/2024"/>
    <x v="3"/>
    <x v="1"/>
    <s v="7580-VANESA GENOVEVA, CHAVEZ SILVA"/>
    <m/>
  </r>
  <r>
    <s v="ADU"/>
    <s v="Resolución de Reclamación"/>
    <s v="4090140011229"/>
    <s v="23/12/2024"/>
    <s v="RUC"/>
    <s v="20518511450"/>
    <s v="HUANCATEX S.A.C."/>
    <s v="NOTIFICADO"/>
    <s v="23/12/2024"/>
    <s v="4090340012189"/>
    <s v="CSC"/>
    <s v="04/10/2024"/>
    <x v="3"/>
    <x v="1"/>
    <s v="7580-VANESA GENOVEVA, CHAVEZ SILVA"/>
    <m/>
  </r>
  <r>
    <s v="ADU"/>
    <s v="Resolución de Reclamación"/>
    <s v="4090140011245"/>
    <s v="23/12/2024"/>
    <s v="RUC"/>
    <s v="20518511450"/>
    <s v="HUANCATEX S.A.C."/>
    <s v="NOTIFICADO"/>
    <s v="23/12/2024"/>
    <s v="4090340012231"/>
    <s v="CSC"/>
    <s v="09/10/2024"/>
    <x v="3"/>
    <x v="1"/>
    <s v="7580-VANESA GENOVEVA, CHAVEZ SILVA"/>
    <m/>
  </r>
  <r>
    <s v="ADU"/>
    <s v="Resolución de Reclamación"/>
    <s v="4090140011225"/>
    <s v="23/12/2024"/>
    <s v="RUC"/>
    <s v="20518511450"/>
    <s v="HUANCATEX S.A.C."/>
    <s v="NOTIFICADO"/>
    <s v="23/12/2024"/>
    <s v="4090340012270"/>
    <s v="CSC"/>
    <s v="11/10/2024"/>
    <x v="3"/>
    <x v="1"/>
    <s v="7580-VANESA GENOVEVA, CHAVEZ SILVA"/>
    <m/>
  </r>
  <r>
    <s v="ADU"/>
    <s v="Resolución de Reclamación"/>
    <s v="4090140011340"/>
    <s v="27/12/2024"/>
    <s v="RUC"/>
    <s v="20601789184"/>
    <s v="TELAS &amp; DISEÑOS APACHE E.I.R.L."/>
    <s v="NOTIFICADO"/>
    <s v="27/12/2024"/>
    <s v="4090340012348"/>
    <s v="CSC"/>
    <s v="16/10/2024"/>
    <x v="3"/>
    <x v="1"/>
    <s v="7580-VANESA GENOVEVA, CHAVEZ SILVA"/>
    <m/>
  </r>
  <r>
    <s v="ADU"/>
    <s v="Resolución de Reclamación"/>
    <s v="4090140011351"/>
    <s v="27/12/2024"/>
    <s v="RUC"/>
    <s v="20601196582"/>
    <s v="NUEVA MODA TEXTIL S.A.C."/>
    <s v="NOTIFICADO"/>
    <s v="27/12/2024"/>
    <s v="4090340012831"/>
    <s v="CSC"/>
    <s v="12/11/2024"/>
    <x v="3"/>
    <x v="1"/>
    <s v="7580-VANESA GENOVEVA, CHAVEZ SILVA"/>
    <m/>
  </r>
  <r>
    <s v="ADU"/>
    <s v="Resolución de Reclamación"/>
    <s v="4090140011380"/>
    <s v="27/12/2024"/>
    <s v="RUC"/>
    <s v="20492483428"/>
    <s v="REPRESENTACIONES FRANK YAVEL´S E.I.R.L."/>
    <s v="NOTIFICADO"/>
    <s v="27/12/2024"/>
    <s v="4090340012794"/>
    <s v="CSC"/>
    <s v="07/02/2023"/>
    <x v="3"/>
    <x v="1"/>
    <s v="7580-VANESA GENOVEVA, CHAVEZ SILVA"/>
    <m/>
  </r>
  <r>
    <s v="ADU"/>
    <s v="Resolución de Reclamación"/>
    <s v="4090140011185"/>
    <s v="20/12/2024"/>
    <s v="RUC"/>
    <s v="20524401062"/>
    <s v="IMPORTACIONES HAKEM S.A.C."/>
    <s v="NOTIFICADO"/>
    <s v="20/12/2024"/>
    <s v="4090340011752"/>
    <s v="CSC"/>
    <s v="08/09/2022"/>
    <x v="4"/>
    <x v="1"/>
    <s v="7580-VANESA GENOVEVA, CHAVEZ SILVA"/>
    <m/>
  </r>
  <r>
    <s v="ADU"/>
    <s v="Resolución de Reclamación"/>
    <s v="4090140011209"/>
    <s v="20/12/2024"/>
    <s v="RUC"/>
    <s v="20608181912"/>
    <s v="BODEGA DE LA MODA S.A.C."/>
    <s v="NOTIFICADO"/>
    <s v="20/12/2024"/>
    <s v="4090340011900"/>
    <s v="CSC"/>
    <s v="19/09/2024"/>
    <x v="4"/>
    <x v="1"/>
    <s v="7580-VANESA GENOVEVA, CHAVEZ SILVA"/>
    <m/>
  </r>
  <r>
    <s v="ADU"/>
    <s v="Resolución de Reclamación"/>
    <s v="4090140011347"/>
    <s v="27/12/2024"/>
    <s v="RUC"/>
    <s v="20565878370"/>
    <s v="GREDS &amp; S PERU S.A.C."/>
    <s v="NOTIFICADO"/>
    <s v="27/12/2024"/>
    <s v="4090340011912"/>
    <s v="CSC"/>
    <s v="20/09/2024"/>
    <x v="4"/>
    <x v="1"/>
    <s v="7580-VANESA GENOVEVA, CHAVEZ SILVA"/>
    <m/>
  </r>
  <r>
    <s v="ADU"/>
    <s v="Resolución de Reclamación"/>
    <s v="4090140011164"/>
    <s v="19/12/2024"/>
    <s v="RUC"/>
    <s v="20521314720"/>
    <s v="INVERSIONES FLOTEX S.A.C."/>
    <s v="NOTIFICADO"/>
    <s v="19/12/2024"/>
    <s v="4090340011920"/>
    <s v="CSC"/>
    <s v="23/09/2024"/>
    <x v="4"/>
    <x v="1"/>
    <s v="7580-VANESA GENOVEVA, CHAVEZ SILVA"/>
    <m/>
  </r>
  <r>
    <s v="ADU"/>
    <s v="Resolución de Reclamación"/>
    <s v="4090140011374"/>
    <s v="27/12/2024"/>
    <s v="RUC"/>
    <s v="20603122535"/>
    <s v="FANTASTIC TRADE S.A.C."/>
    <s v="NOTIFICADO"/>
    <s v="27/12/2024"/>
    <s v="4090340011932"/>
    <s v="CSC"/>
    <s v="23/09/2024"/>
    <x v="4"/>
    <x v="1"/>
    <s v="7580-VANESA GENOVEVA, CHAVEZ SILVA"/>
    <m/>
  </r>
  <r>
    <s v="ADU"/>
    <s v="Resolución de Reclamación"/>
    <s v="4090140011207"/>
    <s v="20/12/2024"/>
    <s v="RUC"/>
    <s v="20167813632"/>
    <s v="PROYECTOS ECOTECAM E.I.R.L."/>
    <s v="NOTIFICADO"/>
    <s v="20/12/2024"/>
    <s v="4090340011933"/>
    <s v="CSC"/>
    <s v="23/09/2024"/>
    <x v="4"/>
    <x v="1"/>
    <s v="7580-VANESA GENOVEVA, CHAVEZ SILVA"/>
    <m/>
  </r>
  <r>
    <s v="ADU"/>
    <s v="Resolución de Reclamación"/>
    <s v="4090140011168"/>
    <s v="19/12/2024"/>
    <s v="RUC"/>
    <s v="20521314720"/>
    <s v="INVERSIONES FLOTEX S.A.C."/>
    <s v="NOTIFICADO"/>
    <s v="19/12/2024"/>
    <s v="4090340011972"/>
    <s v="CSC"/>
    <s v="24/09/2024"/>
    <x v="4"/>
    <x v="1"/>
    <s v="7580-VANESA GENOVEVA, CHAVEZ SILVA"/>
    <m/>
  </r>
  <r>
    <s v="ADU"/>
    <s v="Resolución de Reclamación"/>
    <s v="4090140011129"/>
    <s v="18/12/2024"/>
    <s v="RUC"/>
    <s v="20523637569"/>
    <s v="AC GERENCIA SOCIEDAD ANONIMA CERRADA"/>
    <s v="NOTIFICADO"/>
    <s v="18/12/2024"/>
    <s v="4090340012114"/>
    <s v="CSC"/>
    <s v="30/09/2024"/>
    <x v="4"/>
    <x v="1"/>
    <s v="7580-VANESA GENOVEVA, CHAVEZ SILVA"/>
    <m/>
  </r>
  <r>
    <s v="ADU"/>
    <s v="Resolución de Reclamación"/>
    <s v="4090140011223"/>
    <s v="23/12/2024"/>
    <s v="RUC"/>
    <s v="20557221027"/>
    <s v="ZHAO YANGFAN SOCIEDAD ANONIMA CERRADA"/>
    <s v="NOTIFICADO"/>
    <s v="23/12/2024"/>
    <s v="4090340012508"/>
    <s v="CSC"/>
    <s v="24/10/2024"/>
    <x v="4"/>
    <x v="1"/>
    <s v="7580-VANESA GENOVEVA, CHAVEZ SILVA"/>
    <m/>
  </r>
  <r>
    <s v="ADU"/>
    <s v="Resolución de Reclamación"/>
    <s v="4090140011224"/>
    <s v="23/12/2024"/>
    <s v="RUC"/>
    <s v="20384513914"/>
    <s v="PRORICHARD S.R.L."/>
    <s v="NOTIFICADO"/>
    <s v="23/12/2024"/>
    <s v="4090340012617"/>
    <s v="CSC"/>
    <s v="24/11/2022"/>
    <x v="4"/>
    <x v="1"/>
    <s v="7580-VANESA GENOVEVA, CHAVEZ SILVA"/>
    <m/>
  </r>
  <r>
    <s v="ADU"/>
    <s v="Resolución de Reclamación"/>
    <s v="4090140011125"/>
    <s v="18/12/2024"/>
    <s v="RUC"/>
    <s v="20521314720"/>
    <s v="INVERSIONES FLOTEX S.A.C."/>
    <s v="NOTIFICADO"/>
    <s v="18/12/2024"/>
    <s v="4090340012640"/>
    <s v="CSC"/>
    <s v="30/10/2024"/>
    <x v="4"/>
    <x v="1"/>
    <s v="7580-VANESA GENOVEVA, CHAVEZ SILVA"/>
    <m/>
  </r>
  <r>
    <s v="ADU"/>
    <s v="Resolución de Reclamación"/>
    <s v="4090140011074"/>
    <s v="12/12/2024"/>
    <s v="RUC"/>
    <s v="20521314720"/>
    <s v="INVERSIONES FLOTEX S.A.C."/>
    <s v="NOTIFICADO"/>
    <s v="12/12/2024"/>
    <s v="4090340010721"/>
    <s v="CSC"/>
    <s v="01/07/2024"/>
    <x v="5"/>
    <x v="2"/>
    <s v="7580-VANESA GENOVEVA, CHAVEZ SILVA"/>
    <m/>
  </r>
  <r>
    <s v="ADU"/>
    <s v="Resolución de Reclamación"/>
    <s v="4090140011252"/>
    <s v="23/12/2024"/>
    <s v="RUC"/>
    <s v="20604729832"/>
    <s v="KIMBAFA IMPORT EXPORT E.I.R.L."/>
    <s v="NOTIFICADO"/>
    <s v="23/12/2024"/>
    <s v="4090340011055"/>
    <s v="CSC"/>
    <s v="24/07/2024"/>
    <x v="5"/>
    <x v="2"/>
    <s v="7580-VANESA GENOVEVA, CHAVEZ SILVA"/>
    <m/>
  </r>
  <r>
    <s v="ADU"/>
    <s v="Resolución de Reclamación"/>
    <s v="4090140011327"/>
    <s v="26/12/2024"/>
    <s v="RUC"/>
    <s v="20513681187"/>
    <s v="GRUPO SOLUCION TEXTIL S.A.C."/>
    <s v="NOTIFICADO"/>
    <s v="26/12/2024"/>
    <s v="4090340011272"/>
    <s v="CSC"/>
    <s v="09/08/2024"/>
    <x v="5"/>
    <x v="2"/>
    <s v="7580-VANESA GENOVEVA, CHAVEZ SILVA"/>
    <m/>
  </r>
  <r>
    <s v="ADU"/>
    <s v="Resolución de Reclamación"/>
    <s v="4090140011357"/>
    <s v="27/12/2024"/>
    <s v="RUC"/>
    <s v="20521314720"/>
    <s v="INVERSIONES FLOTEX S.A.C."/>
    <s v="NOTIFICADO"/>
    <s v="27/12/2024"/>
    <s v="4090340011941"/>
    <s v="CSC"/>
    <s v="23/09/2024"/>
    <x v="5"/>
    <x v="2"/>
    <s v="7580-VANESA GENOVEVA, CHAVEZ SILVA"/>
    <m/>
  </r>
  <r>
    <s v="ADU"/>
    <s v="Resolución de Reclamación"/>
    <s v="4090140011354"/>
    <s v="27/12/2024"/>
    <s v="RUC"/>
    <s v="20602841759"/>
    <s v="CORPORACION BLUMEN TEX E.I.R.L."/>
    <s v="NOTIFICADO"/>
    <s v="27/12/2024"/>
    <s v="4090340012074"/>
    <s v="CSC"/>
    <s v="27/09/2024"/>
    <x v="5"/>
    <x v="2"/>
    <s v="7580-VANESA GENOVEVA, CHAVEZ SILVA"/>
    <m/>
  </r>
  <r>
    <s v="ADU"/>
    <s v="Resolución de Reclamación"/>
    <s v="4090140011338"/>
    <s v="27/12/2024"/>
    <s v="RUC"/>
    <s v="20565312465"/>
    <s v="IMPORTACIONES FASMEN S.A.C."/>
    <s v="NOTIFICADO"/>
    <s v="27/12/2024"/>
    <s v="4090340012544"/>
    <s v="CSC"/>
    <s v="25/10/2024"/>
    <x v="5"/>
    <x v="2"/>
    <s v="7580-VANESA GENOVEVA, CHAVEZ SILVA"/>
    <m/>
  </r>
  <r>
    <s v="ADU"/>
    <s v="Resolución de Reclamación"/>
    <s v="4090140011385"/>
    <s v="27/12/2024"/>
    <s v="RUC"/>
    <s v="20101015492"/>
    <s v="JORGE PEÑA S A JORPESA"/>
    <s v="NOTIFICADO"/>
    <s v="27/12/2024"/>
    <s v="4090340012563"/>
    <s v="CSC"/>
    <s v="28/10/2024"/>
    <x v="5"/>
    <x v="2"/>
    <s v="7580-VANESA GENOVEVA, CHAVEZ SILVA"/>
    <m/>
  </r>
  <r>
    <s v="ADU"/>
    <s v="Resolución de Reclamación"/>
    <s v="4090140011332"/>
    <s v="26/12/2024"/>
    <s v="RUC"/>
    <s v="20546127614"/>
    <s v="CORPORATION WORLD DEYTEX S.A.C."/>
    <s v="NOTIFICADO"/>
    <s v="26/12/2024"/>
    <s v="4090340012671"/>
    <s v="CSC"/>
    <s v="15/10/2021"/>
    <x v="5"/>
    <x v="2"/>
    <s v="7580-VANESA GENOVEVA, CHAVEZ SILVA"/>
    <m/>
  </r>
  <r>
    <s v="ADU"/>
    <s v="Resolución de Reclamación"/>
    <s v="4090140011331"/>
    <s v="26/12/2024"/>
    <s v="RUC"/>
    <s v="20600973313"/>
    <s v="SUNGJINTEX E.I.R.L."/>
    <s v="NOTIFICADO"/>
    <s v="26/12/2024"/>
    <s v="4090340012681"/>
    <s v="CSC"/>
    <s v="16/08/2021"/>
    <x v="5"/>
    <x v="2"/>
    <s v="7580-VANESA GENOVEVA, CHAVEZ SILVA"/>
    <m/>
  </r>
  <r>
    <s v="ADU"/>
    <s v="Resolución de Reclamación"/>
    <s v="4090140011366"/>
    <s v="27/12/2024"/>
    <s v="RUC"/>
    <s v="20565413903"/>
    <s v="CUEROS SUPERIOR S.A.C."/>
    <s v="NOTIFICADO"/>
    <s v="27/12/2024"/>
    <s v="4090340012725"/>
    <s v="CSC"/>
    <s v="05/11/2024"/>
    <x v="5"/>
    <x v="2"/>
    <s v="7580-VANESA GENOVEVA, CHAVEZ SILVA"/>
    <m/>
  </r>
  <r>
    <s v="ADU"/>
    <s v="Resolución de Reclamación"/>
    <s v="4090140011333"/>
    <s v="26/12/2024"/>
    <s v="RUC"/>
    <s v="20610666699"/>
    <s v="BANG BANG IMPORT SOCIEDAD ANONIMA CERRADA"/>
    <s v="NOTIFICADO"/>
    <s v="26/12/2024"/>
    <s v="4090340012773"/>
    <s v="CSC"/>
    <s v="07/11/2024"/>
    <x v="5"/>
    <x v="2"/>
    <s v="7580-VANESA GENOVEVA, CHAVEZ SILVA"/>
    <m/>
  </r>
  <r>
    <s v="ADU"/>
    <s v="Resolución de Reclamación"/>
    <s v="4090140011348"/>
    <s v="27/12/2024"/>
    <s v="RUC"/>
    <s v="20601789184"/>
    <s v="TELAS &amp; DISEÑOS APACHE E.I.R.L."/>
    <s v="NOTIFICADO"/>
    <s v="27/12/2024"/>
    <s v="4090340012018"/>
    <s v="CSC"/>
    <s v="25/09/2024"/>
    <x v="6"/>
    <x v="2"/>
    <s v="7580-VANESA GENOVEVA, CHAVEZ SILVA"/>
    <m/>
  </r>
  <r>
    <s v="ADU"/>
    <s v="Resolución de Reclamación"/>
    <s v="4090140011356"/>
    <s v="27/12/2024"/>
    <s v="RUC"/>
    <s v="20602447651"/>
    <s v="IMPORTACIONES ANDREATEX S.A.C."/>
    <s v="NOTIFICADO"/>
    <s v="27/12/2024"/>
    <s v="4090340012132"/>
    <s v="CSC"/>
    <s v="02/10/2024"/>
    <x v="6"/>
    <x v="2"/>
    <s v="7580-VANESA GENOVEVA, CHAVEZ SILVA"/>
    <m/>
  </r>
  <r>
    <s v="ADU"/>
    <s v="Resolución de Reclamación"/>
    <s v="4090140011342"/>
    <s v="27/12/2024"/>
    <s v="RUC"/>
    <s v="20602447651"/>
    <s v="IMPORTACIONES ANDREATEX S.A.C."/>
    <s v="NOTIFICADO"/>
    <s v="27/12/2024"/>
    <s v="4090340012133"/>
    <s v="CSC"/>
    <s v="02/10/2024"/>
    <x v="6"/>
    <x v="2"/>
    <s v="7580-VANESA GENOVEVA, CHAVEZ SILVA"/>
    <m/>
  </r>
  <r>
    <s v="ADU"/>
    <s v="Resolución de Reclamación"/>
    <s v="4090140011208"/>
    <s v="20/12/2024"/>
    <s v="RUC"/>
    <s v="20600239938"/>
    <s v="IMPORTADORA ZHAMPUCITO SOCIEDAD ANONIMA.CERRADA - IMPORTADORA ZHAMPUCITO S.A.C."/>
    <s v="NOTIFICADO"/>
    <s v="20/12/2024"/>
    <s v="4090340012199"/>
    <s v="CSC"/>
    <s v="11/09/2024"/>
    <x v="6"/>
    <x v="2"/>
    <s v="7580-VANESA GENOVEVA, CHAVEZ SILVA"/>
    <m/>
  </r>
  <r>
    <s v="ADU"/>
    <s v="Resolución de Reclamación"/>
    <s v="4090140011216"/>
    <s v="23/12/2024"/>
    <s v="RUC"/>
    <s v="20600239938"/>
    <s v="IMPORTADORA ZHAMPUCITO SOCIEDAD ANONIMA.CERRADA - IMPORTADORA ZHAMPUCITO S.A.C."/>
    <s v="NOTIFICADO"/>
    <s v="23/12/2024"/>
    <s v="4090340012200"/>
    <s v="CSC"/>
    <s v="11/09/2024"/>
    <x v="6"/>
    <x v="2"/>
    <s v="7580-VANESA GENOVEVA, CHAVEZ SILVA"/>
    <m/>
  </r>
  <r>
    <s v="ADU"/>
    <s v="Resolución de Reclamación"/>
    <s v="4090140011210"/>
    <s v="20/12/2024"/>
    <s v="RUC"/>
    <s v="20517078931"/>
    <s v="GRUPO PML S.A.C. AGENTES DE ADUANAS"/>
    <s v="NOTIFICADO"/>
    <s v="20/12/2024"/>
    <s v="4090340012372"/>
    <s v="CSC"/>
    <s v="15/10/2024"/>
    <x v="6"/>
    <x v="2"/>
    <s v="7580-VANESA GENOVEVA, CHAVEZ SILVA"/>
    <m/>
  </r>
  <r>
    <s v="ADU"/>
    <s v="Resolución de Reclamación"/>
    <s v="4090140011367"/>
    <s v="27/12/2024"/>
    <s v="RUC"/>
    <s v="20558259630"/>
    <s v="CO &amp; MIRANDA LOGISTICA S.R.L."/>
    <s v="NOTIFICADO"/>
    <s v="27/12/2024"/>
    <s v="4090340012935"/>
    <s v="CSC"/>
    <s v="31/10/2024"/>
    <x v="6"/>
    <x v="2"/>
    <s v="7580-VANESA GENOVEVA, CHAVEZ SILVA"/>
    <m/>
  </r>
  <r>
    <s v="ADU"/>
    <s v="Resolución de Reclamación"/>
    <s v="4090140011379"/>
    <s v="27/12/2024"/>
    <s v="RUC"/>
    <s v="20557221027"/>
    <s v="ZHAO YANGFAN SOCIEDAD ANONIMA CERRADA"/>
    <s v="NOTIFICADO"/>
    <s v="27/12/2024"/>
    <s v="4090340012559"/>
    <s v="CSC"/>
    <s v="29/10/2024"/>
    <x v="6"/>
    <x v="2"/>
    <s v="7580-VANESA GENOVEVA, CHAVEZ SILVA"/>
    <m/>
  </r>
  <r>
    <s v="ADU"/>
    <s v="Resolución de Reclamación"/>
    <s v="4090140011346"/>
    <s v="27/12/2024"/>
    <s v="RUC"/>
    <s v="20521137682"/>
    <s v="AMAZONAS TRADING PERU S.A.C."/>
    <s v="NOTIFICADO"/>
    <s v="27/12/2024"/>
    <s v="4090340012726"/>
    <s v="CSC"/>
    <s v="04/11/2024"/>
    <x v="6"/>
    <x v="2"/>
    <s v="7580-VANESA GENOVEVA, CHAVEZ SILVA"/>
    <m/>
  </r>
  <r>
    <s v="ADU"/>
    <s v="Resolución de Reclamación"/>
    <s v="4090140011381"/>
    <s v="27/12/2024"/>
    <s v="RUC"/>
    <s v="20601566584"/>
    <s v="GPRINTER PERU S.A.C."/>
    <s v="NOTIFICADO"/>
    <s v="27/12/2024"/>
    <s v="4090340011371"/>
    <s v="CSC"/>
    <s v="19/08/2024"/>
    <x v="7"/>
    <x v="1"/>
    <s v="7580-VANESA GENOVEVA, CHAVEZ SILVA"/>
    <m/>
  </r>
  <r>
    <s v="ADU"/>
    <s v="Resolución de Reclamación"/>
    <s v="4090140011121"/>
    <s v="17/12/2024"/>
    <s v="RUC"/>
    <s v="20512997873"/>
    <s v="IMPORTADORA TORIVIAN S.A.C."/>
    <s v="NOTIFICADO"/>
    <s v="17/12/2024"/>
    <s v="4090340011818"/>
    <s v="CSC"/>
    <s v="16/09/2024"/>
    <x v="7"/>
    <x v="1"/>
    <s v="7580-VANESA GENOVEVA, CHAVEZ SILVA"/>
    <m/>
  </r>
  <r>
    <s v="ADU"/>
    <s v="Resolución de Reclamación"/>
    <s v="4090140011106"/>
    <s v="16/12/2024"/>
    <s v="RUC"/>
    <s v="20467682726"/>
    <s v="G.O.TRADERS S.A."/>
    <s v="NOTIFICADO"/>
    <s v="16/12/2024"/>
    <s v="4090340011873"/>
    <s v="CSC"/>
    <s v="18/09/2024"/>
    <x v="7"/>
    <x v="1"/>
    <s v="7580-VANESA GENOVEVA, CHAVEZ SILVA"/>
    <m/>
  </r>
  <r>
    <s v="ADU"/>
    <s v="Resolución de Reclamación"/>
    <s v="4090140011107"/>
    <s v="16/12/2024"/>
    <s v="RUC"/>
    <s v="20467682726"/>
    <s v="G.O.TRADERS S.A."/>
    <s v="NOTIFICADO"/>
    <s v="16/12/2024"/>
    <s v="4090340011890"/>
    <s v="CSC"/>
    <s v="18/09/2024"/>
    <x v="7"/>
    <x v="1"/>
    <s v="7580-VANESA GENOVEVA, CHAVEZ SILVA"/>
    <m/>
  </r>
  <r>
    <s v="ADU"/>
    <s v="Resolución de Reclamación"/>
    <s v="4090140011108"/>
    <s v="16/12/2024"/>
    <s v="RUC"/>
    <s v="20521314720"/>
    <s v="INVERSIONES FLOTEX S.A.C."/>
    <s v="NOTIFICADO"/>
    <s v="16/12/2024"/>
    <s v="4090340012006"/>
    <s v="CSC"/>
    <s v="25/09/2024"/>
    <x v="7"/>
    <x v="1"/>
    <s v="7580-VANESA GENOVEVA, CHAVEZ SILVA"/>
    <m/>
  </r>
  <r>
    <s v="ADU"/>
    <s v="Resolución de Reclamación"/>
    <s v="4090140011073"/>
    <s v="11/12/2024"/>
    <s v="RUC"/>
    <s v="20601566584"/>
    <s v="GPRINTER PERU S.A.C."/>
    <s v="NOTIFICADO"/>
    <s v="11/12/2024"/>
    <s v="4090340012020"/>
    <s v="CSC"/>
    <s v="25/09/2024"/>
    <x v="7"/>
    <x v="1"/>
    <s v="7580-VANESA GENOVEVA, CHAVEZ SILVA"/>
    <m/>
  </r>
  <r>
    <s v="ADU"/>
    <s v="Resolución de Reclamación"/>
    <s v="4090140011291"/>
    <s v="24/12/2024"/>
    <s v="RUC"/>
    <s v="20600614283"/>
    <s v="GRUPO POLANCO E.I.R.L."/>
    <s v="NOTIFICADO"/>
    <s v="24/12/2024"/>
    <s v="4090340011403"/>
    <s v="CSC"/>
    <s v="19/08/2024"/>
    <x v="8"/>
    <x v="0"/>
    <s v="7580-VANESA GENOVEVA, CHAVEZ SILVA"/>
    <m/>
  </r>
  <r>
    <s v="ADU"/>
    <s v="Resolución de Reclamación"/>
    <s v="4090140011093"/>
    <s v="13/12/2024"/>
    <s v="RUC"/>
    <s v="20605834451"/>
    <s v="CHUN TIAN S.A.C."/>
    <s v="NOTIFICADO"/>
    <s v="13/12/2024"/>
    <s v="4090340011693"/>
    <s v="CSC"/>
    <s v="06/09/2024"/>
    <x v="8"/>
    <x v="0"/>
    <s v="7580-VANESA GENOVEVA, CHAVEZ SILVA"/>
    <m/>
  </r>
  <r>
    <s v="ADU"/>
    <s v="Resolución de Reclamación"/>
    <s v="4090140011092"/>
    <s v="13/12/2024"/>
    <s v="RUC"/>
    <s v="20611982471"/>
    <s v="KWD G&amp;G PERU GLASS S.A.C. IMPORT. &amp; EXPORT"/>
    <s v="NOTIFICADO"/>
    <s v="13/12/2024"/>
    <s v="4090340011724"/>
    <s v="CSC"/>
    <s v="10/09/2024"/>
    <x v="8"/>
    <x v="0"/>
    <s v="7580-VANESA GENOVEVA, CHAVEZ SILVA"/>
    <m/>
  </r>
  <r>
    <s v="ADU"/>
    <s v="Resolución de Reclamación"/>
    <s v="4090140011174"/>
    <s v="19/12/2024"/>
    <s v="RUC"/>
    <s v="20504363903"/>
    <s v="SAKJ DEPOT S.A.C."/>
    <s v="NOTIFICADO"/>
    <s v="19/12/2024"/>
    <s v="4090340012102"/>
    <s v="CSC"/>
    <s v="30/09/2024"/>
    <x v="8"/>
    <x v="0"/>
    <s v="7580-VANESA GENOVEVA, CHAVEZ SILVA"/>
    <m/>
  </r>
  <r>
    <s v="ADU"/>
    <s v="Resolución de Reclamación"/>
    <s v="4090140011175"/>
    <s v="19/12/2024"/>
    <s v="RUC"/>
    <s v="20504363903"/>
    <s v="SAKJ DEPOT S.A.C."/>
    <s v="NOTIFICADO"/>
    <s v="19/12/2024"/>
    <s v="4090340012103"/>
    <s v="CSC"/>
    <s v="30/09/2024"/>
    <x v="8"/>
    <x v="0"/>
    <s v="7580-VANESA GENOVEVA, CHAVEZ SILVA"/>
    <m/>
  </r>
  <r>
    <s v="ADU"/>
    <s v="Resolución de Reclamación"/>
    <s v="4090140011181"/>
    <s v="19/12/2024"/>
    <s v="RUC"/>
    <s v="20504363903"/>
    <s v="SAKJ DEPOT S.A.C."/>
    <s v="NOTIFICADO"/>
    <s v="19/12/2024"/>
    <s v="4090340012107"/>
    <s v="CSC"/>
    <s v="01/10/2024"/>
    <x v="8"/>
    <x v="0"/>
    <s v="7580-VANESA GENOVEVA, CHAVEZ SILVA"/>
    <m/>
  </r>
  <r>
    <s v="ADU"/>
    <s v="Resolución de Reclamación"/>
    <s v="4090140011200"/>
    <s v="20/12/2024"/>
    <s v="RUC"/>
    <s v="20480945116"/>
    <s v="MILE PERU SAC"/>
    <s v="NOTIFICADO"/>
    <s v="20/12/2024"/>
    <s v="4090340012760"/>
    <s v="CSC"/>
    <s v="08/04/2008"/>
    <x v="8"/>
    <x v="0"/>
    <s v="7580-VANESA GENOVEVA, CHAVEZ SILVA"/>
    <m/>
  </r>
  <r>
    <s v="ADU"/>
    <s v="Resolución de Reclamación"/>
    <s v="4090140011201"/>
    <s v="20/12/2024"/>
    <s v="RUC"/>
    <s v="20480864469"/>
    <s v="DESPACHOS ADUANEROS CHAVIMOCHIC SAC"/>
    <s v="NOTIFICADO"/>
    <s v="20/12/2024"/>
    <s v="4090340012763"/>
    <s v="CSC"/>
    <s v="27/03/2008"/>
    <x v="8"/>
    <x v="0"/>
    <s v="7580-VANESA GENOVEVA, CHAVEZ SILVA"/>
    <m/>
  </r>
  <r>
    <s v="ADU"/>
    <s v="Resolución de Reclamación"/>
    <s v="4090140011096"/>
    <s v="13/12/2024"/>
    <s v="RUC"/>
    <s v="20379251286"/>
    <s v="ARAUCO PERU S.A."/>
    <s v="NOTIFICADO"/>
    <s v="13/12/2024"/>
    <s v="4090340011965"/>
    <s v="CSC"/>
    <s v="24/09/2024"/>
    <x v="9"/>
    <x v="2"/>
    <s v="7580-VANESA GENOVEVA, CHAVEZ SILVA"/>
    <m/>
  </r>
  <r>
    <s v="ADU"/>
    <s v="Resolución de Reclamación"/>
    <s v="4090140011086"/>
    <s v="13/12/2024"/>
    <s v="RUC"/>
    <s v="20379251286"/>
    <s v="ARAUCO PERU S.A."/>
    <s v="NOTIFICADO"/>
    <s v="13/12/2024"/>
    <s v="4090340011966"/>
    <s v="CSC"/>
    <s v="24/09/2024"/>
    <x v="9"/>
    <x v="2"/>
    <s v="7580-VANESA GENOVEVA, CHAVEZ SILVA"/>
    <m/>
  </r>
  <r>
    <s v="ADU"/>
    <s v="Resolución de Reclamación"/>
    <s v="4090140011097"/>
    <s v="13/12/2024"/>
    <s v="RUC"/>
    <s v="20379251286"/>
    <s v="ARAUCO PERU S.A."/>
    <s v="NOTIFICADO"/>
    <s v="13/12/2024"/>
    <s v="4090340011968"/>
    <s v="CSC"/>
    <s v="24/09/2024"/>
    <x v="9"/>
    <x v="2"/>
    <s v="7580-VANESA GENOVEVA, CHAVEZ SILVA"/>
    <m/>
  </r>
  <r>
    <s v="ADU"/>
    <s v="Resolución de Reclamación"/>
    <s v="4090140011087"/>
    <s v="13/12/2024"/>
    <s v="RUC"/>
    <s v="20379251286"/>
    <s v="ARAUCO PERU S.A."/>
    <s v="NOTIFICADO"/>
    <s v="13/12/2024"/>
    <s v="4090340012047"/>
    <s v="CSC"/>
    <s v="26/09/2024"/>
    <x v="9"/>
    <x v="2"/>
    <s v="7580-VANESA GENOVEVA, CHAVEZ SILVA"/>
    <m/>
  </r>
  <r>
    <s v="ADU"/>
    <s v="Resolución de Reclamación"/>
    <s v="4090140011088"/>
    <s v="13/12/2024"/>
    <s v="RUC"/>
    <s v="20379251286"/>
    <s v="ARAUCO PERU S.A."/>
    <s v="NOTIFICADO"/>
    <s v="13/12/2024"/>
    <s v="4090340012048"/>
    <s v="CSC"/>
    <s v="26/09/2024"/>
    <x v="9"/>
    <x v="2"/>
    <s v="7580-VANESA GENOVEVA, CHAVEZ SILVA"/>
    <m/>
  </r>
  <r>
    <s v="ADU"/>
    <s v="Resolución de Reclamación"/>
    <s v="4090140011119"/>
    <s v="17/12/2024"/>
    <s v="RUC"/>
    <s v="20379251286"/>
    <s v="ARAUCO PERU S.A."/>
    <s v="NOTIFICADO"/>
    <s v="17/12/2024"/>
    <s v="4090340012049"/>
    <s v="CSC"/>
    <s v="26/09/2024"/>
    <x v="9"/>
    <x v="2"/>
    <s v="7580-VANESA GENOVEVA, CHAVEZ SILVA"/>
    <m/>
  </r>
  <r>
    <s v="ADU"/>
    <s v="Resolución de Reclamación"/>
    <s v="4090140011341"/>
    <s v="27/12/2024"/>
    <s v="RUC"/>
    <s v="20600224663"/>
    <s v="AXIONLOG PERU S.A.C."/>
    <s v="NOTIFICADO"/>
    <s v="27/12/2024"/>
    <s v="4090340012052"/>
    <s v="CSC"/>
    <s v="26/09/2024"/>
    <x v="9"/>
    <x v="2"/>
    <s v="7580-VANESA GENOVEVA, CHAVEZ SILVA"/>
    <m/>
  </r>
  <r>
    <s v="ADU"/>
    <s v="Resolución de Reclamación"/>
    <s v="4090140011123"/>
    <s v="17/12/2024"/>
    <s v="RUC"/>
    <s v="20379251286"/>
    <s v="ARAUCO PERU S.A."/>
    <s v="NOTIFICADO"/>
    <s v="17/12/2024"/>
    <s v="4090340012060"/>
    <s v="CSC"/>
    <s v="26/09/2024"/>
    <x v="9"/>
    <x v="2"/>
    <s v="7580-VANESA GENOVEVA, CHAVEZ SILVA"/>
    <m/>
  </r>
  <r>
    <s v="ADU"/>
    <s v="Resolución de Reclamación"/>
    <s v="4090140011143"/>
    <s v="18/12/2024"/>
    <s v="RUC"/>
    <s v="20379251286"/>
    <s v="ARAUCO PERU S.A."/>
    <s v="NOTIFICADO"/>
    <s v="18/12/2024"/>
    <s v="4090340012076"/>
    <s v="CSC"/>
    <s v="27/09/2024"/>
    <x v="9"/>
    <x v="2"/>
    <s v="7580-VANESA GENOVEVA, CHAVEZ SILVA"/>
    <m/>
  </r>
  <r>
    <s v="ADU"/>
    <s v="Resolución de Reclamación"/>
    <s v="4090140011150"/>
    <s v="18/12/2024"/>
    <s v="RUC"/>
    <s v="20379251286"/>
    <s v="ARAUCO PERU S.A."/>
    <s v="NOTIFICADO"/>
    <s v="18/12/2024"/>
    <s v="4090340012077"/>
    <s v="CSC"/>
    <s v="27/09/2024"/>
    <x v="9"/>
    <x v="2"/>
    <s v="7580-VANESA GENOVEVA, CHAVEZ SILVA"/>
    <m/>
  </r>
  <r>
    <s v="ADU"/>
    <s v="Resolución de Reclamación"/>
    <s v="4090140011149"/>
    <s v="18/12/2024"/>
    <s v="RUC"/>
    <s v="20379251286"/>
    <s v="ARAUCO PERU S.A."/>
    <s v="NOTIFICADO"/>
    <s v="18/12/2024"/>
    <s v="4090340012078"/>
    <s v="CSC"/>
    <s v="27/09/2024"/>
    <x v="9"/>
    <x v="2"/>
    <s v="7580-VANESA GENOVEVA, CHAVEZ SILVA"/>
    <m/>
  </r>
  <r>
    <s v="ADU"/>
    <s v="Resolución de Reclamación"/>
    <s v="4090140011148"/>
    <s v="18/12/2024"/>
    <s v="RUC"/>
    <s v="20379251286"/>
    <s v="ARAUCO PERU S.A."/>
    <s v="NOTIFICADO"/>
    <s v="18/12/2024"/>
    <s v="4090340012079"/>
    <s v="CSC"/>
    <s v="27/09/2024"/>
    <x v="9"/>
    <x v="2"/>
    <s v="7580-VANESA GENOVEVA, CHAVEZ SILVA"/>
    <m/>
  </r>
  <r>
    <s v="ADU"/>
    <s v="Resolución de Reclamación"/>
    <s v="4090140011151"/>
    <s v="18/12/2024"/>
    <s v="RUC"/>
    <s v="20379251286"/>
    <s v="ARAUCO PERU S.A."/>
    <s v="NOTIFICADO"/>
    <s v="18/12/2024"/>
    <s v="4090340012080"/>
    <s v="CSC"/>
    <s v="27/09/2024"/>
    <x v="9"/>
    <x v="2"/>
    <s v="7580-VANESA GENOVEVA, CHAVEZ SILVA"/>
    <m/>
  </r>
  <r>
    <s v="ADU"/>
    <s v="Resolución de Reclamación"/>
    <s v="4090140011258"/>
    <s v="23/12/2024"/>
    <s v="RUC"/>
    <s v="20379251286"/>
    <s v="ARAUCO PERU S.A."/>
    <s v="NOTIFICADO"/>
    <s v="23/12/2024"/>
    <s v="4090340012285"/>
    <s v="CSC"/>
    <s v="14/10/2024"/>
    <x v="9"/>
    <x v="2"/>
    <s v="7580-VANESA GENOVEVA, CHAVEZ SILVA"/>
    <m/>
  </r>
  <r>
    <s v="ADU"/>
    <s v="Resolución de Reclamación"/>
    <s v="4090140011257"/>
    <s v="23/12/2024"/>
    <s v="RUC"/>
    <s v="20379251286"/>
    <s v="ARAUCO PERU S.A."/>
    <s v="NOTIFICADO"/>
    <s v="23/12/2024"/>
    <s v="4090340012286"/>
    <s v="CSC"/>
    <s v="14/10/2024"/>
    <x v="9"/>
    <x v="2"/>
    <s v="7580-VANESA GENOVEVA, CHAVEZ SILVA"/>
    <m/>
  </r>
  <r>
    <s v="ADU"/>
    <s v="Resolución de Reclamación"/>
    <s v="4090140011259"/>
    <s v="23/12/2024"/>
    <s v="RUC"/>
    <s v="20379251286"/>
    <s v="ARAUCO PERU S.A."/>
    <s v="NOTIFICADO"/>
    <s v="23/12/2024"/>
    <s v="4090340012287"/>
    <s v="CSC"/>
    <s v="14/10/2024"/>
    <x v="9"/>
    <x v="2"/>
    <s v="7580-VANESA GENOVEVA, CHAVEZ SILVA"/>
    <m/>
  </r>
  <r>
    <s v="ADU"/>
    <s v="Resolución de Reclamación"/>
    <s v="4090140011256"/>
    <s v="23/12/2024"/>
    <s v="RUC"/>
    <s v="20379251286"/>
    <s v="ARAUCO PERU S.A."/>
    <s v="NOTIFICADO"/>
    <s v="23/12/2024"/>
    <s v="4090340012289"/>
    <s v="CSC"/>
    <s v="14/10/2024"/>
    <x v="9"/>
    <x v="2"/>
    <s v="7580-VANESA GENOVEVA, CHAVEZ SILVA"/>
    <m/>
  </r>
  <r>
    <s v="ADU"/>
    <s v="Resolución de Reclamación"/>
    <s v="4090140011246"/>
    <s v="23/12/2024"/>
    <s v="RUC"/>
    <s v="20545408768"/>
    <s v="PELUTEL SOCIEDAD ANONIMA CERRADA - PELUTEL S.A.C."/>
    <s v="NOTIFICADO"/>
    <s v="23/12/2024"/>
    <s v="4090340011588"/>
    <s v="CSC"/>
    <s v="29/08/2024"/>
    <x v="10"/>
    <x v="1"/>
    <s v="7580-VANESA GENOVEVA, CHAVEZ SILVA"/>
    <m/>
  </r>
  <r>
    <s v="ADU"/>
    <s v="Resolución de Reclamación"/>
    <s v="4090140011226"/>
    <s v="23/12/2024"/>
    <s v="RUC"/>
    <s v="20551759939"/>
    <s v="CORPORACION TEXTIL WALAS S.A.C."/>
    <s v="NOTIFICADO"/>
    <s v="23/12/2024"/>
    <s v="4090340011657"/>
    <s v="CSC"/>
    <s v="04/09/2024"/>
    <x v="10"/>
    <x v="1"/>
    <s v="7580-VANESA GENOVEVA, CHAVEZ SILVA"/>
    <m/>
  </r>
  <r>
    <s v="ADU"/>
    <s v="Resolución de Reclamación"/>
    <s v="4090140011253"/>
    <s v="23/12/2024"/>
    <s v="RUC"/>
    <s v="20608853031"/>
    <s v="GRUPO ZHAN S.A.C."/>
    <s v="NOTIFICADO"/>
    <s v="23/12/2024"/>
    <s v="4090340011691"/>
    <s v="CSC"/>
    <s v="09/09/2024"/>
    <x v="10"/>
    <x v="1"/>
    <s v="7580-VANESA GENOVEVA, CHAVEZ SILVA"/>
    <m/>
  </r>
  <r>
    <s v="ADU"/>
    <s v="Resolución de Reclamación"/>
    <s v="4090140011228"/>
    <s v="23/12/2024"/>
    <s v="RUC"/>
    <s v="20600003241"/>
    <s v="IMPORTACIONES &amp; EXPORTACIONES LATIN PERU S.A.C."/>
    <s v="NOTIFICADO"/>
    <s v="23/12/2024"/>
    <s v="4090340011877"/>
    <s v="CSC"/>
    <s v="18/09/2024"/>
    <x v="10"/>
    <x v="1"/>
    <s v="7580-VANESA GENOVEVA, CHAVEZ SILVA"/>
    <m/>
  </r>
  <r>
    <s v="ADU"/>
    <s v="Resolución de Reclamación"/>
    <s v="4090140011230"/>
    <s v="23/12/2024"/>
    <s v="RUC"/>
    <s v="20600003241"/>
    <s v="IMPORTACIONES &amp; EXPORTACIONES LATIN PERU S.A.C."/>
    <s v="NOTIFICADO"/>
    <s v="23/12/2024"/>
    <s v="4090340011884"/>
    <s v="CSC"/>
    <s v="19/09/2024"/>
    <x v="10"/>
    <x v="1"/>
    <s v="7580-VANESA GENOVEVA, CHAVEZ SILVA"/>
    <m/>
  </r>
  <r>
    <s v="ADU"/>
    <s v="Resolución de Reclamación"/>
    <s v="4090140011231"/>
    <s v="23/12/2024"/>
    <s v="RUC"/>
    <s v="20609987368"/>
    <s v="ESTELA IMPORT EXPORT S.A.C."/>
    <s v="NOTIFICADO"/>
    <s v="23/12/2024"/>
    <s v="4090340011886"/>
    <s v="CSC"/>
    <s v="18/09/2024"/>
    <x v="10"/>
    <x v="1"/>
    <s v="7580-VANESA GENOVEVA, CHAVEZ SILVA"/>
    <m/>
  </r>
  <r>
    <s v="ADU"/>
    <s v="Resolución de Reclamación"/>
    <s v="4090140011353"/>
    <s v="27/12/2024"/>
    <s v="RUC"/>
    <s v="20600003241"/>
    <s v="IMPORTACIONES &amp; EXPORTACIONES LATIN PERU S.A.C."/>
    <s v="NOTIFICADO"/>
    <s v="27/12/2024"/>
    <s v="4090340012143"/>
    <s v="CSC"/>
    <s v="02/10/2024"/>
    <x v="10"/>
    <x v="1"/>
    <s v="7580-VANESA GENOVEVA, CHAVEZ SILVA"/>
    <m/>
  </r>
  <r>
    <s v="ADU"/>
    <s v="Resolución de Reclamación"/>
    <s v="4090140011255"/>
    <s v="23/12/2024"/>
    <s v="RUC"/>
    <s v="10018661379"/>
    <s v="RIVERA QUIÑONEZ MARUJA"/>
    <s v="NOTIFICADO"/>
    <s v="23/12/2024"/>
    <s v="4090340012615"/>
    <s v="CSC"/>
    <s v="22/10/2024"/>
    <x v="10"/>
    <x v="1"/>
    <s v="7580-VANESA GENOVEVA, CHAVEZ SILVA"/>
    <m/>
  </r>
  <r>
    <s v="ADU"/>
    <s v="Resolución de Reclamación"/>
    <s v="4090140011304"/>
    <s v="26/12/2024"/>
    <s v="RUC"/>
    <s v="10449631892"/>
    <s v="SANDOVAL GOMEZ EDGAR"/>
    <s v="NOTIFICADO"/>
    <s v="26/12/2024"/>
    <s v="4090340012804"/>
    <s v="CSC"/>
    <s v="06/11/2024"/>
    <x v="10"/>
    <x v="1"/>
    <s v="7580-VANESA GENOVEVA, CHAVEZ SILVA"/>
    <m/>
  </r>
  <r>
    <s v="ADU"/>
    <s v="Resolución de Reclamación"/>
    <s v="4090140011298"/>
    <s v="26/12/2024"/>
    <s v="RUC"/>
    <s v="20506601330"/>
    <s v="ADUALINK S.A.C."/>
    <s v="NOTIFICADO"/>
    <s v="26/12/2024"/>
    <s v="4090340012733"/>
    <s v="CSC"/>
    <s v="05/11/2024"/>
    <x v="10"/>
    <x v="1"/>
    <s v="7580-VANESA GENOVEVA, CHAVEZ SILVA"/>
    <m/>
  </r>
  <r>
    <s v="ADU"/>
    <s v="Resolución de Reclamación"/>
    <s v="4090140011282"/>
    <s v="24/12/2024"/>
    <s v="RUC"/>
    <s v="20513118849"/>
    <s v="GRUPO TEXTIL CASAS S.A.C."/>
    <s v="NOTIFICADO"/>
    <s v="24/12/2024"/>
    <s v="4090340011898"/>
    <s v="CSC"/>
    <s v="19/09/2024"/>
    <x v="11"/>
    <x v="0"/>
    <s v="7580-VANESA GENOVEVA, CHAVEZ SILVA"/>
    <m/>
  </r>
  <r>
    <s v="ADU"/>
    <s v="Resolución de Reclamación"/>
    <s v="4090140011266"/>
    <s v="24/12/2024"/>
    <s v="RUC"/>
    <s v="20606793481"/>
    <s v="IMPORT &amp; EXPORT JUNHONG S.A.C"/>
    <s v="NOTIFICADO"/>
    <s v="24/12/2024"/>
    <s v="4090340012054"/>
    <s v="CSC"/>
    <s v="26/09/2024"/>
    <x v="11"/>
    <x v="0"/>
    <s v="7580-VANESA GENOVEVA, CHAVEZ SILVA"/>
    <m/>
  </r>
  <r>
    <s v="ADU"/>
    <s v="Resolución de Reclamación"/>
    <s v="4090140011284"/>
    <s v="24/12/2024"/>
    <s v="RUC"/>
    <s v="20565413903"/>
    <s v="CUEROS SUPERIOR S.A.C."/>
    <s v="NOTIFICADO"/>
    <s v="24/12/2024"/>
    <s v="4090340012122"/>
    <s v="CSC"/>
    <s v="01/10/2024"/>
    <x v="11"/>
    <x v="0"/>
    <s v="7580-VANESA GENOVEVA, CHAVEZ SILVA"/>
    <m/>
  </r>
  <r>
    <s v="ADU"/>
    <s v="Resolución de Reclamación"/>
    <s v="4090140011293"/>
    <s v="24/12/2024"/>
    <s v="RUC"/>
    <s v="20565413903"/>
    <s v="CUEROS SUPERIOR S.A.C."/>
    <s v="NOTIFICADO"/>
    <s v="24/12/2024"/>
    <s v="4090340012156"/>
    <s v="CSC"/>
    <s v="03/10/2024"/>
    <x v="11"/>
    <x v="0"/>
    <s v="7580-VANESA GENOVEVA, CHAVEZ SILVA"/>
    <m/>
  </r>
  <r>
    <s v="ADU"/>
    <s v="Resolución de Reclamación"/>
    <s v="4090140011285"/>
    <s v="24/12/2024"/>
    <s v="RUC"/>
    <s v="20600490614"/>
    <s v="IMPORT EXPORT CASATEX S.A.C."/>
    <s v="NOTIFICADO"/>
    <s v="24/12/2024"/>
    <s v="4090340012211"/>
    <s v="CSC"/>
    <s v="07/10/2024"/>
    <x v="11"/>
    <x v="0"/>
    <s v="7580-VANESA GENOVEVA, CHAVEZ SILVA"/>
    <m/>
  </r>
  <r>
    <s v="ADU"/>
    <s v="Resolución de Reclamación"/>
    <s v="4090140011289"/>
    <s v="24/12/2024"/>
    <s v="RUC"/>
    <s v="20602347673"/>
    <s v="IMPORT EXPORT ALBEIRO-FA EIRL"/>
    <s v="NOTIFICADO"/>
    <s v="24/12/2024"/>
    <s v="4090340012251"/>
    <s v="CSC"/>
    <s v="10/10/2024"/>
    <x v="11"/>
    <x v="0"/>
    <s v="7580-VANESA GENOVEVA, CHAVEZ SILVA"/>
    <m/>
  </r>
  <r>
    <s v="ADU"/>
    <s v="Resolución de Reclamación"/>
    <s v="4090140011383"/>
    <s v="27/12/2024"/>
    <s v="RUC"/>
    <s v="20608181912"/>
    <s v="BODEGA DE LA MODA S.A.C."/>
    <s v="NOTIFICADO"/>
    <s v="27/12/2024"/>
    <s v="4090340012276"/>
    <s v="CSC"/>
    <s v="11/10/2024"/>
    <x v="11"/>
    <x v="0"/>
    <s v="7580-VANESA GENOVEVA, CHAVEZ SILVA"/>
    <m/>
  </r>
  <r>
    <s v="ADU"/>
    <s v="Resolución de Reclamación"/>
    <s v="4090140011286"/>
    <s v="24/12/2024"/>
    <s v="RUC"/>
    <s v="20565413903"/>
    <s v="CUEROS SUPERIOR S.A.C."/>
    <s v="NOTIFICADO"/>
    <s v="24/12/2024"/>
    <s v="4090340012306"/>
    <s v="CSC"/>
    <s v="15/10/2024"/>
    <x v="11"/>
    <x v="0"/>
    <s v="7580-VANESA GENOVEVA, CHAVEZ SILVA"/>
    <m/>
  </r>
  <r>
    <s v="ADU"/>
    <s v="Resolución de Reclamación"/>
    <s v="4090140011328"/>
    <s v="26/12/2024"/>
    <s v="RUC"/>
    <s v="20601682509"/>
    <s v="CORPORACION MODA LATINA S.A.C."/>
    <s v="NOTIFICADO"/>
    <s v="26/12/2024"/>
    <s v="4090340012423"/>
    <s v="CSC"/>
    <s v="21/10/2024"/>
    <x v="11"/>
    <x v="0"/>
    <s v="7580-VANESA GENOVEVA, CHAVEZ SILVA"/>
    <m/>
  </r>
  <r>
    <s v="ADU"/>
    <s v="Resolución de Reclamación"/>
    <s v="4090140011290"/>
    <s v="24/12/2024"/>
    <s v="RUC"/>
    <s v="20602503403"/>
    <s v="FERRER MOTORS S.A.C."/>
    <s v="NOTIFICADO"/>
    <s v="24/12/2024"/>
    <s v="4090340012516"/>
    <s v="CSC"/>
    <s v="23/10/2024"/>
    <x v="11"/>
    <x v="0"/>
    <s v="7580-VANESA GENOVEVA, CHAVEZ SILVA"/>
    <m/>
  </r>
  <r>
    <s v="ADU"/>
    <s v="Resolución de Reclamación"/>
    <s v="4090140011288"/>
    <s v="24/12/2024"/>
    <s v="RUC"/>
    <s v="20565413903"/>
    <s v="CUEROS SUPERIOR S.A.C."/>
    <s v="NOTIFICADO"/>
    <s v="24/12/2024"/>
    <s v="4090340012795"/>
    <s v="CSC"/>
    <s v="08/11/2024"/>
    <x v="11"/>
    <x v="0"/>
    <s v="7580-VANESA GENOVEVA, CHAVEZ SILVA"/>
    <m/>
  </r>
  <r>
    <s v="ADU"/>
    <s v="Resolución de Reclamación"/>
    <s v="4090140011099"/>
    <s v="16/12/2024"/>
    <s v="RUC"/>
    <s v="20605262342"/>
    <s v="IMPORTADORA &amp; DISTRIBUIDORA FALESSA S.A.C."/>
    <s v="NOTIFICADO"/>
    <s v="16/12/2024"/>
    <s v="4090340011324"/>
    <s v="CSC"/>
    <s v="14/08/2024"/>
    <x v="12"/>
    <x v="1"/>
    <s v="7580-VANESA GENOVEVA, CHAVEZ SILVA"/>
    <m/>
  </r>
  <r>
    <s v="ADU"/>
    <s v="Resolución de Reclamación"/>
    <s v="4090140011091"/>
    <s v="13/12/2024"/>
    <s v="RUC"/>
    <s v="20601196582"/>
    <s v="NUEVA MODA TEXTIL S.A.C."/>
    <s v="NOTIFICADO"/>
    <s v="13/12/2024"/>
    <s v="4090340011610"/>
    <s v="CSC"/>
    <s v="03/09/2024"/>
    <x v="12"/>
    <x v="1"/>
    <s v="7580-VANESA GENOVEVA, CHAVEZ SILVA"/>
    <m/>
  </r>
  <r>
    <s v="ADU"/>
    <s v="Resolución de Reclamación"/>
    <s v="4090140011112"/>
    <s v="16/12/2024"/>
    <s v="RUC"/>
    <s v="20601196582"/>
    <s v="NUEVA MODA TEXTIL S.A.C."/>
    <s v="NOTIFICADO"/>
    <s v="16/12/2024"/>
    <s v="4090340011975"/>
    <s v="CSC"/>
    <s v="24/09/2024"/>
    <x v="12"/>
    <x v="1"/>
    <s v="7580-VANESA GENOVEVA, CHAVEZ SILVA"/>
    <m/>
  </r>
  <r>
    <s v="ADU"/>
    <s v="Resolución de Reclamación"/>
    <s v="4090140011109"/>
    <s v="16/12/2024"/>
    <s v="RUC"/>
    <s v="20552283377"/>
    <s v="POWER REFLE SOCIEDAD ANONIMA CERRADA"/>
    <s v="NOTIFICADO"/>
    <s v="16/12/2024"/>
    <s v="4090340012327"/>
    <s v="CSC"/>
    <s v="16/10/2024"/>
    <x v="12"/>
    <x v="1"/>
    <s v="7580-VANESA GENOVEVA, CHAVEZ SILVA"/>
    <m/>
  </r>
  <r>
    <s v="ADU"/>
    <s v="Resolución de Reclamación"/>
    <s v="4090140011089"/>
    <s v="13/12/2024"/>
    <s v="RUC"/>
    <s v="20603637900"/>
    <s v="TEXTIL JOSAN S.A.C."/>
    <s v="NOTIFICADO"/>
    <s v="13/12/2024"/>
    <s v="4090340012470"/>
    <s v="CSC"/>
    <s v="22/10/2024"/>
    <x v="12"/>
    <x v="1"/>
    <s v="7580-VANESA GENOVEVA, CHAVEZ SILVA"/>
    <m/>
  </r>
  <r>
    <s v="ADU"/>
    <s v="Resolución de Reclamación"/>
    <s v="4090140011090"/>
    <s v="13/12/2024"/>
    <s v="RUC"/>
    <s v="20601196582"/>
    <s v="NUEVA MODA TEXTIL S.A.C."/>
    <s v="NOTIFICADO"/>
    <s v="13/12/2024"/>
    <s v="4090340012504"/>
    <s v="CSC"/>
    <s v="24/10/2024"/>
    <x v="12"/>
    <x v="1"/>
    <s v="7580-VANESA GENOVEVA, CHAVEZ SILVA"/>
    <m/>
  </r>
  <r>
    <s v="ADU"/>
    <s v="Resolución de Reclamación"/>
    <s v="4090140011113"/>
    <s v="16/12/2024"/>
    <s v="RUC"/>
    <s v="20601444594"/>
    <s v="NINA MODERNA IMPORTACION S.A.C."/>
    <s v="NOTIFICADO"/>
    <s v="16/12/2024"/>
    <s v="4090340012547"/>
    <s v="CSC"/>
    <s v="28/10/2024"/>
    <x v="12"/>
    <x v="1"/>
    <s v="7580-VANESA GENOVEVA, CHAVEZ SILVA"/>
    <m/>
  </r>
  <r>
    <s v="ADU"/>
    <s v="Resolución de Reclamación"/>
    <s v="4090140011110"/>
    <s v="16/12/2024"/>
    <s v="RUC"/>
    <s v="20548204969"/>
    <s v="ODESSA FOOTWEAR  S.A.C."/>
    <s v="NOTIFICADO"/>
    <s v="16/12/2024"/>
    <s v="4090340012869"/>
    <s v="CSC"/>
    <s v="13/11/2024"/>
    <x v="12"/>
    <x v="1"/>
    <s v="7580-VANESA GENOVEVA, CHAVEZ SILVA"/>
    <m/>
  </r>
  <r>
    <s v="ADU"/>
    <s v="Resolución de Reclamación"/>
    <s v="4090140011050"/>
    <s v="05/12/2024"/>
    <s v="RUC"/>
    <s v="20546127614"/>
    <s v="CORPORATION WORLD DEYTEX S.A.C."/>
    <s v="NOTIFICADO"/>
    <s v="05/12/2024"/>
    <s v="4090340012676"/>
    <s v="CSC"/>
    <s v="15/10/2021"/>
    <x v="12"/>
    <x v="1"/>
    <s v="7580-VANESA GENOVEVA, CHAVEZ SILVA"/>
    <m/>
  </r>
  <r>
    <s v="ADU"/>
    <s v="Resolución de Reclamación"/>
    <s v="4090140011053"/>
    <s v="10/12/2024"/>
    <s v="RUC"/>
    <s v="20601566584"/>
    <s v="GPRINTER PERU S.A.C."/>
    <s v="NOTIFICADO"/>
    <s v="10/12/2024"/>
    <s v="4090340010385"/>
    <s v="CSC"/>
    <s v="11/06/2024"/>
    <x v="13"/>
    <x v="2"/>
    <s v="7580-VANESA GENOVEVA, CHAVEZ SILVA"/>
    <m/>
  </r>
  <r>
    <s v="ADU"/>
    <s v="Resolución de Reclamación"/>
    <s v="4090140011369"/>
    <s v="27/12/2024"/>
    <s v="RUC"/>
    <s v="20609987368"/>
    <s v="ESTELA IMPORT EXPORT S.A.C."/>
    <s v="NOTIFICADO"/>
    <s v="27/12/2024"/>
    <s v="4090340011589"/>
    <s v="CSC"/>
    <s v="29/08/2024"/>
    <x v="13"/>
    <x v="2"/>
    <s v="7580-VANESA GENOVEVA, CHAVEZ SILVA"/>
    <m/>
  </r>
  <r>
    <s v="ADU"/>
    <s v="Resolución de Reclamación"/>
    <s v="4090140011172"/>
    <s v="19/12/2024"/>
    <s v="RUC"/>
    <s v="20503790271"/>
    <s v="TEXCORP S.A.C."/>
    <s v="NOTIFICADO"/>
    <s v="19/12/2024"/>
    <s v="4090340011727"/>
    <s v="CSC"/>
    <s v="10/09/2024"/>
    <x v="13"/>
    <x v="2"/>
    <s v="7580-VANESA GENOVEVA, CHAVEZ SILVA"/>
    <m/>
  </r>
  <r>
    <s v="ADU"/>
    <s v="Resolución de Reclamación"/>
    <s v="4090140011075"/>
    <s v="12/12/2024"/>
    <s v="RUC"/>
    <s v="20337564373"/>
    <s v="TIENDAS POR DEPARTAMENTO RIPLEY S.A.C."/>
    <s v="NOTIFICADO"/>
    <s v="12/12/2024"/>
    <s v="4090340011971"/>
    <s v="CSC"/>
    <s v="24/09/2024"/>
    <x v="13"/>
    <x v="2"/>
    <s v="7580-VANESA GENOVEVA, CHAVEZ SILVA"/>
    <m/>
  </r>
  <r>
    <s v="ADU"/>
    <s v="Resolución de Reclamación"/>
    <s v="4090140011163"/>
    <s v="19/12/2024"/>
    <s v="RUC"/>
    <s v="20300263578"/>
    <s v="SAMSUNG ELECTRONICS PERU SAC"/>
    <s v="NOTIFICADO"/>
    <s v="19/12/2024"/>
    <s v="4090340012091"/>
    <s v="CSC"/>
    <s v="30/09/2024"/>
    <x v="13"/>
    <x v="2"/>
    <s v="7580-VANESA GENOVEVA, CHAVEZ SILVA"/>
    <m/>
  </r>
  <r>
    <s v="ADU"/>
    <s v="Resolución de Reclamación"/>
    <s v="4090140011171"/>
    <s v="19/12/2024"/>
    <s v="RUC"/>
    <s v="20109072177"/>
    <s v="CENCOSUD RETAIL PERU S.A."/>
    <s v="NOTIFICADO"/>
    <s v="19/12/2024"/>
    <s v="4090340012277"/>
    <s v="CSC"/>
    <s v="11/10/2024"/>
    <x v="13"/>
    <x v="2"/>
    <s v="7580-VANESA GENOVEVA, CHAVEZ SILVA"/>
    <m/>
  </r>
  <r>
    <s v="ADU"/>
    <s v="Resolución de Reclamación"/>
    <s v="4090140011294"/>
    <s v="24/12/2024"/>
    <s v="RUC"/>
    <s v="20109072177"/>
    <s v="CENCOSUD RETAIL PERU S.A."/>
    <s v="NOTIFICADO"/>
    <s v="24/12/2024"/>
    <s v="4090340012293"/>
    <s v="CSC"/>
    <s v="11/10/2024"/>
    <x v="13"/>
    <x v="2"/>
    <s v="7580-VANESA GENOVEVA, CHAVEZ SILVA"/>
    <m/>
  </r>
  <r>
    <s v="ADU"/>
    <s v="Resolución de Reclamación"/>
    <s v="4090140011360"/>
    <s v="27/12/2024"/>
    <s v="RUC"/>
    <s v="20300263578"/>
    <s v="SAMSUNG ELECTRONICS PERU SAC"/>
    <s v="NOTIFICADO"/>
    <s v="27/12/2024"/>
    <s v="4090340012298"/>
    <s v="CSC"/>
    <s v="14/10/2024"/>
    <x v="13"/>
    <x v="2"/>
    <s v="7580-VANESA GENOVEVA, CHAVEZ SILVA"/>
    <m/>
  </r>
  <r>
    <s v="ADU"/>
    <s v="Resolución de Reclamación"/>
    <s v="4090140011173"/>
    <s v="19/12/2024"/>
    <s v="RUC"/>
    <s v="20109072177"/>
    <s v="CENCOSUD RETAIL PERU S.A."/>
    <s v="NOTIFICADO"/>
    <s v="19/12/2024"/>
    <s v="4090340012360"/>
    <s v="CSC"/>
    <s v="17/10/2024"/>
    <x v="13"/>
    <x v="2"/>
    <s v="7580-VANESA GENOVEVA, CHAVEZ SILVA"/>
    <m/>
  </r>
  <r>
    <s v="ADU"/>
    <s v="Resolución de Reclamación"/>
    <s v="4090140011371"/>
    <s v="27/12/2024"/>
    <s v="RUC"/>
    <s v="20300263578"/>
    <s v="SAMSUNG ELECTRONICS PERU SAC"/>
    <s v="NOTIFICADO"/>
    <s v="27/12/2024"/>
    <s v="4090340012476"/>
    <s v="CSC"/>
    <s v="22/10/2024"/>
    <x v="13"/>
    <x v="2"/>
    <s v="7580-VANESA GENOVEVA, CHAVEZ SILVA"/>
    <m/>
  </r>
  <r>
    <s v="ADU"/>
    <s v="Resolución de Reclamación"/>
    <s v="4090140011372"/>
    <s v="27/12/2024"/>
    <s v="RUC"/>
    <s v="20300263578"/>
    <s v="SAMSUNG ELECTRONICS PERU SAC"/>
    <s v="NOTIFICADO"/>
    <s v="27/12/2024"/>
    <s v="4090340012659"/>
    <s v="CSC"/>
    <s v="31/10/2024"/>
    <x v="13"/>
    <x v="2"/>
    <s v="7580-VANESA GENOVEVA, CHAVEZ SILVA"/>
    <m/>
  </r>
  <r>
    <s v="ADU"/>
    <s v="Resolución de Reclamación"/>
    <s v="4090140011370"/>
    <s v="27/12/2024"/>
    <s v="RUC"/>
    <s v="20300263578"/>
    <s v="SAMSUNG ELECTRONICS PERU SAC"/>
    <s v="NOTIFICADO"/>
    <s v="27/12/2024"/>
    <s v="4090340012686"/>
    <s v="CSC"/>
    <s v="31/10/2024"/>
    <x v="13"/>
    <x v="2"/>
    <s v="7580-VANESA GENOVEVA, CHAVEZ SILVA"/>
    <m/>
  </r>
  <r>
    <s v="ADU"/>
    <s v="Resolución de Reclamación"/>
    <s v="4090140011384"/>
    <s v="27/12/2024"/>
    <s v="RUC"/>
    <s v="20295723646"/>
    <s v="GENOVA STAR EIRL"/>
    <s v="NOTIFICADO"/>
    <s v="27/12/2024"/>
    <s v="4090340010977"/>
    <s v="CSC"/>
    <s v="17/07/2024"/>
    <x v="14"/>
    <x v="0"/>
    <s v="7580-VANESA GENOVEVA, CHAVEZ SILVA"/>
    <m/>
  </r>
  <r>
    <s v="ADU"/>
    <s v="Resolución de Reclamación"/>
    <s v="4090140011321"/>
    <s v="26/12/2024"/>
    <s v="RUC"/>
    <s v="20255361695"/>
    <s v="LABORATORIOS AMERICANOS S.A."/>
    <s v="NOTIFICADO"/>
    <s v="26/12/2024"/>
    <s v="4090340011659"/>
    <s v="CSC"/>
    <s v="04/09/2024"/>
    <x v="14"/>
    <x v="0"/>
    <s v="7580-VANESA GENOVEVA, CHAVEZ SILVA"/>
    <m/>
  </r>
  <r>
    <s v="ADU"/>
    <s v="Resolución de Reclamación"/>
    <s v="4090140011160"/>
    <s v="19/12/2024"/>
    <s v="RUC"/>
    <s v="20600212291"/>
    <s v="MODA TEXTIL DC E.I.R.L."/>
    <s v="NOTIFICADO"/>
    <s v="19/12/2024"/>
    <s v="4090340011899"/>
    <s v="CSC"/>
    <s v="19/09/2024"/>
    <x v="14"/>
    <x v="0"/>
    <s v="7580-VANESA GENOVEVA, CHAVEZ SILVA"/>
    <m/>
  </r>
  <r>
    <s v="ADU"/>
    <s v="Resolución de Reclamación"/>
    <s v="4090140011154"/>
    <s v="19/12/2024"/>
    <s v="RUC"/>
    <s v="20521314720"/>
    <s v="INVERSIONES FLOTEX S.A.C."/>
    <s v="NOTIFICADO"/>
    <s v="19/12/2024"/>
    <s v="4090340011919"/>
    <s v="CSC"/>
    <s v="23/09/2024"/>
    <x v="14"/>
    <x v="0"/>
    <s v="7580-VANESA GENOVEVA, CHAVEZ SILVA"/>
    <m/>
  </r>
  <r>
    <s v="ADU"/>
    <s v="Resolución de Reclamación"/>
    <s v="4090140011318"/>
    <s v="26/12/2024"/>
    <s v="RUC"/>
    <s v="20507018085"/>
    <s v="TELAS FINAS INTERNACIONAL SAC"/>
    <s v="NOTIFICADO"/>
    <s v="26/12/2024"/>
    <s v="4090340012000"/>
    <s v="CSC"/>
    <s v="25/09/2024"/>
    <x v="14"/>
    <x v="0"/>
    <s v="7580-VANESA GENOVEVA, CHAVEZ SILVA"/>
    <m/>
  </r>
  <r>
    <s v="ADU"/>
    <s v="Resolución de Reclamación"/>
    <s v="4090140011159"/>
    <s v="19/12/2024"/>
    <s v="RUC"/>
    <s v="20521314720"/>
    <s v="INVERSIONES FLOTEX S.A.C."/>
    <s v="NOTIFICADO"/>
    <s v="19/12/2024"/>
    <s v="4090340012004"/>
    <s v="CSC"/>
    <s v="25/09/2024"/>
    <x v="14"/>
    <x v="0"/>
    <s v="7580-VANESA GENOVEVA, CHAVEZ SILVA"/>
    <m/>
  </r>
  <r>
    <s v="ADU"/>
    <s v="Resolución de Reclamación"/>
    <s v="4090140011319"/>
    <s v="26/12/2024"/>
    <s v="RUC"/>
    <s v="20521314720"/>
    <s v="INVERSIONES FLOTEX S.A.C."/>
    <s v="NOTIFICADO"/>
    <s v="26/12/2024"/>
    <s v="4090340012015"/>
    <s v="CSC"/>
    <s v="25/09/2024"/>
    <x v="14"/>
    <x v="0"/>
    <s v="7580-VANESA GENOVEVA, CHAVEZ SILVA"/>
    <m/>
  </r>
  <r>
    <s v="ADU"/>
    <s v="Resolución de Reclamación"/>
    <s v="4090140011350"/>
    <s v="27/12/2024"/>
    <s v="RUC"/>
    <s v="20600250133"/>
    <s v="CASTRO IMPORT S.A.C."/>
    <s v="NOTIFICADO"/>
    <s v="27/12/2024"/>
    <s v="4090340012304"/>
    <s v="CSC"/>
    <s v="15/10/2024"/>
    <x v="14"/>
    <x v="0"/>
    <s v="7580-VANESA GENOVEVA, CHAVEZ SILVA"/>
    <m/>
  </r>
  <r>
    <s v="ADU"/>
    <s v="Resolución de Reclamación"/>
    <s v="4090140011320"/>
    <s v="26/12/2024"/>
    <s v="RUC"/>
    <s v="20547808267"/>
    <s v="GRUPO FLOTEX S.A.C."/>
    <s v="NOTIFICADO"/>
    <s v="26/12/2024"/>
    <s v="4090340012321"/>
    <s v="CSC"/>
    <s v="15/10/2024"/>
    <x v="14"/>
    <x v="0"/>
    <s v="7580-VANESA GENOVEVA, CHAVEZ SILVA"/>
    <m/>
  </r>
  <r>
    <s v="ADU"/>
    <s v="Resolución de Reclamación"/>
    <s v="4090140011184"/>
    <s v="19/12/2024"/>
    <s v="RUC"/>
    <s v="20345286081"/>
    <s v="IAN TAYLOR PERU S.A.C."/>
    <s v="NOTIFICADO"/>
    <s v="19/12/2024"/>
    <s v="4090340011989"/>
    <s v="CSC"/>
    <s v="25/09/2024"/>
    <x v="15"/>
    <x v="0"/>
    <s v="7580-VANESA GENOVEVA, CHAVEZ SILVA"/>
    <m/>
  </r>
  <r>
    <s v="ADU"/>
    <s v="Resolución de Reclamación"/>
    <s v="4090140011094"/>
    <s v="13/12/2024"/>
    <s v="RUC"/>
    <s v="10418035523"/>
    <s v="SANCHEZ GUILLEN MAYKOL LEONEL"/>
    <s v="NOTIFICADO"/>
    <s v="13/12/2024"/>
    <s v="4090340012045"/>
    <s v="CSC"/>
    <s v="25/09/2024"/>
    <x v="15"/>
    <x v="0"/>
    <s v="7580-VANESA GENOVEVA, CHAVEZ SILVA"/>
    <m/>
  </r>
  <r>
    <s v="ADU"/>
    <s v="Resolución de Reclamación"/>
    <s v="4090140011048"/>
    <s v="05/12/2024"/>
    <s v="RUC"/>
    <s v="20504363903"/>
    <s v="SAKJ DEPOT S.A.C."/>
    <s v="NOTIFICADO"/>
    <s v="05/12/2024"/>
    <s v="4090340012104"/>
    <s v="CSC"/>
    <s v="30/09/2024"/>
    <x v="15"/>
    <x v="0"/>
    <s v="7580-VANESA GENOVEVA, CHAVEZ SILVA"/>
    <m/>
  </r>
  <r>
    <s v="ADU"/>
    <s v="Resolución de Reclamación"/>
    <s v="4090140011049"/>
    <s v="05/12/2024"/>
    <s v="RUC"/>
    <s v="20504363903"/>
    <s v="SAKJ DEPOT S.A.C."/>
    <s v="NOTIFICADO"/>
    <s v="05/12/2024"/>
    <s v="4090340012105"/>
    <s v="CSC"/>
    <s v="30/09/2024"/>
    <x v="15"/>
    <x v="0"/>
    <s v="7580-VANESA GENOVEVA, CHAVEZ SILVA"/>
    <m/>
  </r>
  <r>
    <s v="ADU"/>
    <s v="Resolución de Reclamación"/>
    <s v="4090140011068"/>
    <s v="11/12/2024"/>
    <s v="RUC"/>
    <s v="20504363903"/>
    <s v="SAKJ DEPOT S.A.C."/>
    <s v="NOTIFICADO"/>
    <s v="11/12/2024"/>
    <s v="4090340012106"/>
    <s v="CSC"/>
    <s v="30/09/2024"/>
    <x v="15"/>
    <x v="0"/>
    <s v="7580-VANESA GENOVEVA, CHAVEZ SILVA"/>
    <m/>
  </r>
  <r>
    <s v="ADU"/>
    <s v="Resolución de Reclamación"/>
    <s v="4090140011069"/>
    <s v="11/12/2024"/>
    <s v="RUC"/>
    <s v="20504363903"/>
    <s v="SAKJ DEPOT S.A.C."/>
    <s v="NOTIFICADO"/>
    <s v="11/12/2024"/>
    <s v="4090340012108"/>
    <s v="CSC"/>
    <s v="01/10/2024"/>
    <x v="15"/>
    <x v="0"/>
    <s v="7580-VANESA GENOVEVA, CHAVEZ SILVA"/>
    <m/>
  </r>
  <r>
    <s v="ADU"/>
    <s v="Resolución de Reclamación"/>
    <s v="4090140011095"/>
    <s v="13/12/2024"/>
    <s v="RUC"/>
    <s v="20600712889"/>
    <s v="SG MAKENSI E.I.R.L."/>
    <s v="NOTIFICADO"/>
    <s v="13/12/2024"/>
    <s v="4090340012149"/>
    <s v="CSC"/>
    <s v="02/10/2024"/>
    <x v="15"/>
    <x v="0"/>
    <s v="7580-VANESA GENOVEVA, CHAVEZ SILVA"/>
    <m/>
  </r>
  <r>
    <s v="ADU"/>
    <s v="Resolución de Reclamación"/>
    <s v="4090140011287"/>
    <s v="24/12/2024"/>
    <s v="RUC"/>
    <s v="20521770814"/>
    <s v="PERU CUSTOMS ADVISER S.A.C."/>
    <s v="NOTIFICADO"/>
    <s v="24/12/2024"/>
    <s v="4090340012281"/>
    <s v="CSC"/>
    <s v="11/09/2024"/>
    <x v="15"/>
    <x v="0"/>
    <s v="7580-VANESA GENOVEVA, CHAVEZ SILVA"/>
    <m/>
  </r>
  <r>
    <s v="ADU"/>
    <s v="Resolución de Reclamación"/>
    <s v="4090140011098"/>
    <s v="16/12/2024"/>
    <s v="RUC"/>
    <s v="20100139848"/>
    <s v="ASCENSORES SCHINDLER DEL PERU S A"/>
    <s v="NOTIFICADO"/>
    <s v="16/12/2024"/>
    <s v="4090340012307"/>
    <s v="CSC"/>
    <s v="02/08/2024"/>
    <x v="15"/>
    <x v="0"/>
    <s v="7580-VANESA GENOVEVA, CHAVEZ SILVA"/>
    <m/>
  </r>
  <r>
    <s v="ADU"/>
    <s v="Resolución de Reclamación"/>
    <s v="4090140011243"/>
    <s v="23/12/2024"/>
    <s v="RUC"/>
    <s v="10294002788"/>
    <s v="OVIEDO ROJAS LUIS ALBERTO"/>
    <s v="NOTIFICADO"/>
    <s v="23/12/2024"/>
    <s v="4090340012312"/>
    <s v="CSC"/>
    <s v="15/10/2024"/>
    <x v="15"/>
    <x v="0"/>
    <s v="7580-VANESA GENOVEVA, CHAVEZ SILVA"/>
    <m/>
  </r>
  <r>
    <s v="ADU"/>
    <s v="Resolución de Reclamación"/>
    <s v="4090140011161"/>
    <s v="19/12/2024"/>
    <s v="RUC"/>
    <s v="20255254937"/>
    <s v="SEABOARD OVERSEAS PERU S.A."/>
    <s v="NOTIFICADO"/>
    <s v="19/12/2024"/>
    <s v="4090340012440"/>
    <s v="CSC"/>
    <s v="21/10/2024"/>
    <x v="15"/>
    <x v="0"/>
    <s v="7580-VANESA GENOVEVA, CHAVEZ SILVA"/>
    <m/>
  </r>
  <r>
    <s v="ADU"/>
    <s v="Resolución de Reclamación"/>
    <s v="4090140011183"/>
    <s v="19/12/2024"/>
    <s v="RUC"/>
    <s v="20100182263"/>
    <s v="MONTANA S A"/>
    <s v="NOTIFICADO"/>
    <s v="19/12/2024"/>
    <s v="4090340012459"/>
    <s v="CSC"/>
    <s v="21/10/2024"/>
    <x v="15"/>
    <x v="0"/>
    <s v="7580-VANESA GENOVEVA, CHAVEZ SILVA"/>
    <m/>
  </r>
  <r>
    <s v="ADU"/>
    <s v="Resolución de Reclamación"/>
    <s v="4090140011244"/>
    <s v="23/12/2024"/>
    <s v="RUC"/>
    <s v="20609987368"/>
    <s v="ESTELA IMPORT EXPORT S.A.C."/>
    <s v="NOTIFICADO"/>
    <s v="23/12/2024"/>
    <s v="4090340011210"/>
    <s v="CSC"/>
    <s v="05/08/2024"/>
    <x v="16"/>
    <x v="0"/>
    <s v="7580-VANESA GENOVEVA, CHAVEZ SILVA"/>
    <m/>
  </r>
  <r>
    <s v="ADU"/>
    <s v="Resolución de Reclamación"/>
    <s v="4090140011261"/>
    <s v="23/12/2024"/>
    <s v="RUC"/>
    <s v="20524052203"/>
    <s v="INTERNATIONAL SHIPPING AGENCY DEL PERU SOCIEDAD ANONIMA CERRADA"/>
    <s v="NOTIFICADO"/>
    <s v="23/12/2024"/>
    <s v="4090340011230"/>
    <s v="CSC"/>
    <s v="07/08/2024"/>
    <x v="16"/>
    <x v="0"/>
    <s v="7580-VANESA GENOVEVA, CHAVEZ SILVA"/>
    <m/>
  </r>
  <r>
    <s v="ADU"/>
    <s v="Resolución de Reclamación"/>
    <s v="4090140011373"/>
    <s v="27/12/2024"/>
    <s v="RUC"/>
    <s v="10297331286"/>
    <s v="CCAPA CHOQUE LUIS ALBERTO"/>
    <s v="NOTIFICADO"/>
    <s v="27/12/2024"/>
    <s v="4090340011457"/>
    <s v="CSC"/>
    <s v="21/08/2024"/>
    <x v="16"/>
    <x v="0"/>
    <s v="7580-VANESA GENOVEVA, CHAVEZ SILVA"/>
    <m/>
  </r>
  <r>
    <s v="ADU"/>
    <s v="Resolución de Reclamación"/>
    <s v="4090140011260"/>
    <s v="23/12/2024"/>
    <s v="RUC"/>
    <s v="20514001783"/>
    <s v="HIDROMEC INGENIEROS SOCIEDAD ANONIMA CERRADA"/>
    <s v="NOTIFICADO"/>
    <s v="23/12/2024"/>
    <s v="4090340011501"/>
    <s v="CSC"/>
    <s v="27/08/2024"/>
    <x v="16"/>
    <x v="0"/>
    <s v="7580-VANESA GENOVEVA, CHAVEZ SILVA"/>
    <m/>
  </r>
  <r>
    <s v="ADU"/>
    <s v="Resolución de Reclamación"/>
    <s v="4090140011377"/>
    <s v="27/12/2024"/>
    <s v="RUC"/>
    <s v="20604602280"/>
    <s v="IMPORT &amp; EXPORT THAILYN S.A.C."/>
    <s v="NOTIFICADO"/>
    <s v="27/12/2024"/>
    <s v="4090340012418"/>
    <s v="CSC"/>
    <s v="14/10/2024"/>
    <x v="16"/>
    <x v="0"/>
    <s v="7580-VANESA GENOVEVA, CHAVEZ SILVA"/>
    <m/>
  </r>
  <r>
    <s v="ADU"/>
    <s v="Resolución de Reclamación"/>
    <s v="4090140011247"/>
    <s v="23/12/2024"/>
    <s v="RUC"/>
    <s v="20338838621"/>
    <s v="LINO´S TOY SOCIEDAD COMERCIAL DE RESPONSABILIDAD LIMITADA - LINO´S TOY S.R.L."/>
    <s v="NOTIFICADO"/>
    <s v="23/12/2024"/>
    <s v="4090340011485"/>
    <s v="CSC"/>
    <s v="26/08/2024"/>
    <x v="17"/>
    <x v="0"/>
    <s v="7580-VANESA GENOVEVA, CHAVEZ SILVA"/>
    <m/>
  </r>
  <r>
    <s v="ADU"/>
    <s v="Resolución de Reclamación"/>
    <s v="4090140011179"/>
    <s v="19/12/2024"/>
    <s v="RUC"/>
    <s v="20610849629"/>
    <s v="IMPORT &amp; EXPORT LUIGIAL E.I.R.L."/>
    <s v="NOTIFICADO"/>
    <s v="19/12/2024"/>
    <s v="4090340011901"/>
    <s v="CSC"/>
    <s v="19/09/2024"/>
    <x v="17"/>
    <x v="0"/>
    <s v="7580-VANESA GENOVEVA, CHAVEZ SILVA"/>
    <m/>
  </r>
  <r>
    <s v="ADU"/>
    <s v="Resolución de Reclamación"/>
    <s v="4090140011267"/>
    <s v="24/12/2024"/>
    <s v="RUC"/>
    <s v="20545408768"/>
    <s v="PELUTEL SOCIEDAD ANONIMA CERRADA - PELUTEL S.A.C."/>
    <s v="NOTIFICADO"/>
    <s v="24/12/2024"/>
    <s v="4090340012029"/>
    <s v="CSC"/>
    <s v="26/09/2024"/>
    <x v="17"/>
    <x v="0"/>
    <s v="7580-VANESA GENOVEVA, CHAVEZ SILVA"/>
    <m/>
  </r>
  <r>
    <s v="ADU"/>
    <s v="Resolución de Reclamación"/>
    <s v="4090140011182"/>
    <s v="19/12/2024"/>
    <s v="RUC"/>
    <s v="20298501512"/>
    <s v="PLASTICOS MELENDEZ S.R.LTDA (PLASTIMEL S.R.LTDA)"/>
    <s v="NOTIFICADO"/>
    <s v="19/12/2024"/>
    <s v="4090340012062"/>
    <s v="CSC"/>
    <s v="27/09/2024"/>
    <x v="17"/>
    <x v="0"/>
    <s v="7580-VANESA GENOVEVA, CHAVEZ SILVA"/>
    <m/>
  </r>
  <r>
    <s v="ADU"/>
    <s v="Resolución de Reclamación"/>
    <s v="4090140011265"/>
    <s v="24/12/2024"/>
    <s v="RUC"/>
    <s v="20602447651"/>
    <s v="IMPORTACIONES ANDREATEX S.A.C."/>
    <s v="NOTIFICADO"/>
    <s v="24/12/2024"/>
    <s v="4090340012361"/>
    <s v="CSC"/>
    <s v="17/10/2024"/>
    <x v="17"/>
    <x v="0"/>
    <s v="7580-VANESA GENOVEVA, CHAVEZ SILVA"/>
    <m/>
  </r>
  <r>
    <s v="ADU"/>
    <s v="Resolución de Reclamación"/>
    <s v="4090140011269"/>
    <s v="24/12/2024"/>
    <s v="RUC"/>
    <s v="20608878573"/>
    <s v="EVER GRANDE S.A.C."/>
    <s v="NOTIFICADO"/>
    <s v="24/12/2024"/>
    <s v="4090340012395"/>
    <s v="CSC"/>
    <s v="18/10/2024"/>
    <x v="17"/>
    <x v="0"/>
    <s v="7580-VANESA GENOVEVA, CHAVEZ SILVA"/>
    <m/>
  </r>
  <r>
    <s v="ADU"/>
    <s v="Resolución de Reclamación"/>
    <s v="4090140011317"/>
    <s v="26/12/2024"/>
    <s v="RUC"/>
    <s v="20565413903"/>
    <s v="CUEROS SUPERIOR S.A.C."/>
    <s v="NOTIFICADO"/>
    <s v="26/12/2024"/>
    <s v="4090340012465"/>
    <s v="CSC"/>
    <s v="22/10/2024"/>
    <x v="17"/>
    <x v="0"/>
    <s v="7580-VANESA GENOVEVA, CHAVEZ SILVA"/>
    <m/>
  </r>
  <r>
    <s v="ADU"/>
    <s v="Resolución de Reclamación"/>
    <s v="4090140011180"/>
    <s v="19/12/2024"/>
    <s v="RUC"/>
    <s v="20601196582"/>
    <s v="NUEVA MODA TEXTIL S.A.C."/>
    <s v="NOTIFICADO"/>
    <s v="19/12/2024"/>
    <s v="4090340012535"/>
    <s v="CSC"/>
    <s v="28/10/2024"/>
    <x v="17"/>
    <x v="0"/>
    <s v="7580-VANESA GENOVEVA, CHAVEZ SILVA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4DCB4C2-52C6-42B7-ABBE-32E440449183}" name="TablaDinámica2" cacheId="413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esolutor/supervisión">
  <location ref="B83:C105" firstHeaderRow="1" firstDataRow="1" firstDataCol="1"/>
  <pivotFields count="16"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axis="axisRow" showAll="0">
      <items count="4">
        <item x="0"/>
        <item x="2"/>
        <item x="1"/>
        <item t="default"/>
      </items>
    </pivotField>
    <pivotField showAll="0"/>
    <pivotField showAll="0"/>
  </pivotFields>
  <rowFields count="2">
    <field x="13"/>
    <field x="12"/>
  </rowFields>
  <rowItems count="22">
    <i>
      <x/>
    </i>
    <i r="1">
      <x/>
    </i>
    <i r="1">
      <x v="8"/>
    </i>
    <i r="1">
      <x v="11"/>
    </i>
    <i r="1">
      <x v="14"/>
    </i>
    <i r="1">
      <x v="15"/>
    </i>
    <i r="1">
      <x v="16"/>
    </i>
    <i r="1">
      <x v="17"/>
    </i>
    <i>
      <x v="1"/>
    </i>
    <i r="1">
      <x v="2"/>
    </i>
    <i r="1">
      <x v="5"/>
    </i>
    <i r="1">
      <x v="6"/>
    </i>
    <i r="1">
      <x v="9"/>
    </i>
    <i r="1">
      <x v="13"/>
    </i>
    <i>
      <x v="2"/>
    </i>
    <i r="1">
      <x v="1"/>
    </i>
    <i r="1">
      <x v="3"/>
    </i>
    <i r="1">
      <x v="4"/>
    </i>
    <i r="1">
      <x v="7"/>
    </i>
    <i r="1">
      <x v="10"/>
    </i>
    <i r="1">
      <x v="12"/>
    </i>
    <i t="grand">
      <x/>
    </i>
  </rowItems>
  <colItems count="1">
    <i/>
  </colItems>
  <dataFields count="1">
    <dataField name="Cantidad de resoluciones" fld="2" subtotal="count" baseField="0" baseItem="0"/>
  </dataFields>
  <formats count="10">
    <format dxfId="14">
      <pivotArea outline="0" collapsedLevelsAreSubtotals="1" fieldPosition="0"/>
    </format>
    <format dxfId="15">
      <pivotArea type="all" dataOnly="0" outline="0" fieldPosition="0"/>
    </format>
    <format dxfId="16">
      <pivotArea outline="0" collapsedLevelsAreSubtotals="1" fieldPosition="0"/>
    </format>
    <format dxfId="17">
      <pivotArea field="13" type="button" dataOnly="0" labelOnly="1" outline="0" axis="axisRow" fieldPosition="0"/>
    </format>
    <format dxfId="18">
      <pivotArea dataOnly="0" labelOnly="1" fieldPosition="0">
        <references count="1">
          <reference field="13" count="0"/>
        </references>
      </pivotArea>
    </format>
    <format dxfId="19">
      <pivotArea dataOnly="0" labelOnly="1" grandRow="1" outline="0" fieldPosition="0"/>
    </format>
    <format dxfId="20">
      <pivotArea dataOnly="0" labelOnly="1" fieldPosition="0">
        <references count="2">
          <reference field="12" count="7">
            <x v="0"/>
            <x v="8"/>
            <x v="11"/>
            <x v="14"/>
            <x v="15"/>
            <x v="16"/>
            <x v="17"/>
          </reference>
          <reference field="13" count="1" selected="0">
            <x v="0"/>
          </reference>
        </references>
      </pivotArea>
    </format>
    <format dxfId="21">
      <pivotArea dataOnly="0" labelOnly="1" fieldPosition="0">
        <references count="2">
          <reference field="12" count="5">
            <x v="2"/>
            <x v="5"/>
            <x v="6"/>
            <x v="9"/>
            <x v="13"/>
          </reference>
          <reference field="13" count="1" selected="0">
            <x v="1"/>
          </reference>
        </references>
      </pivotArea>
    </format>
    <format dxfId="22">
      <pivotArea dataOnly="0" labelOnly="1" fieldPosition="0">
        <references count="2">
          <reference field="12" count="6">
            <x v="1"/>
            <x v="3"/>
            <x v="4"/>
            <x v="7"/>
            <x v="10"/>
            <x v="12"/>
          </reference>
          <reference field="13" count="1" selected="0">
            <x v="2"/>
          </reference>
        </references>
      </pivotArea>
    </format>
    <format dxfId="23">
      <pivotArea dataOnly="0" labelOnly="1" outline="0" axis="axisValues" fieldPosition="0"/>
    </format>
  </formats>
  <pivotTableStyleInfo name="PivotStyleMedium1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0F610EF-6817-4B2E-B656-E8D570C0908B}" name="Tabla1" displayName="Tabla1" ref="B150:E158" totalsRowShown="0" headerRowDxfId="13" dataDxfId="12" headerRowBorderDxfId="11" totalsRowBorderDxfId="10">
  <autoFilter ref="B150:E158" xr:uid="{C0F610EF-6817-4B2E-B656-E8D570C0908B}"/>
  <tableColumns count="4">
    <tableColumn id="1" xr3:uid="{BB7A4C98-26BC-45B1-AA9E-174EB71BBBE8}" name="ESTADO" dataDxfId="9"/>
    <tableColumn id="2" xr3:uid="{9831EEBE-394E-4024-8502-36803BEFC3A9}" name="DCCI" dataDxfId="8"/>
    <tableColumn id="3" xr3:uid="{F9C66D03-3D51-49C0-BA34-E9515E02A369}" name="DCCII" dataDxfId="7"/>
    <tableColumn id="4" xr3:uid="{C65AA2B4-6378-4E31-B4C1-5E60BAEAFB5F}" name="DCP" dataDxfId="6"/>
  </tableColumns>
  <tableStyleInfo name="TableStyleLight1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A29EFC3-58A2-4431-8B0F-60680F58676D}" name="Tabla2" displayName="Tabla2" ref="B30:D33" totalsRowShown="0" headerRowDxfId="5" dataDxfId="4" tableBorderDxfId="3">
  <autoFilter ref="B30:D33" xr:uid="{4A29EFC3-58A2-4431-8B0F-60680F58676D}"/>
  <tableColumns count="3">
    <tableColumn id="1" xr3:uid="{3999BB60-4785-4A8A-8BB8-25B1BCAE28BC}" name="PROGRAMACIÓN NOV" dataDxfId="2"/>
    <tableColumn id="2" xr3:uid="{F732DAB3-91EE-4831-A922-809480FA0AA3}" name="Exp" dataDxfId="1"/>
    <tableColumn id="3" xr3:uid="{49934A55-18D3-4DBE-8E1A-477105D80918}" name="Columna1" dataDxfId="0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E01E13-4B11-4763-B94D-D97A2305A4A4}">
  <dimension ref="A2:N158"/>
  <sheetViews>
    <sheetView tabSelected="1" zoomScale="85" zoomScaleNormal="85" workbookViewId="0">
      <pane xSplit="2" topLeftCell="C17" activePane="topRight" state="frozen"/>
      <selection pane="topRight" activeCell="D25" sqref="D25"/>
    </sheetView>
  </sheetViews>
  <sheetFormatPr defaultColWidth="10.85546875" defaultRowHeight="14.45"/>
  <cols>
    <col min="1" max="1" width="10.85546875" style="1"/>
    <col min="2" max="2" width="44.140625" style="13" customWidth="1"/>
    <col min="3" max="4" width="19.85546875" style="13" customWidth="1"/>
    <col min="5" max="5" width="29.5703125" style="13" customWidth="1"/>
    <col min="6" max="6" width="17.28515625" style="13" bestFit="1" customWidth="1"/>
    <col min="7" max="7" width="16" style="13" customWidth="1"/>
    <col min="8" max="8" width="17.85546875" style="13" customWidth="1"/>
    <col min="9" max="9" width="17.7109375" style="13" customWidth="1"/>
    <col min="10" max="10" width="24" style="13" customWidth="1"/>
    <col min="11" max="11" width="17.140625" style="13" customWidth="1"/>
    <col min="12" max="13" width="10.85546875" style="13"/>
    <col min="14" max="14" width="38.5703125" style="13" customWidth="1"/>
    <col min="15" max="17" width="10.85546875" style="13"/>
    <col min="18" max="18" width="33.28515625" style="13" customWidth="1"/>
    <col min="19" max="16384" width="10.85546875" style="13"/>
  </cols>
  <sheetData>
    <row r="2" spans="1:7">
      <c r="B2" s="75" t="s">
        <v>0</v>
      </c>
      <c r="C2" s="75"/>
      <c r="D2" s="75"/>
      <c r="E2" s="75"/>
      <c r="F2" s="76"/>
      <c r="G2" s="76"/>
    </row>
    <row r="4" spans="1:7" ht="15.6">
      <c r="B4" s="74" t="s">
        <v>1</v>
      </c>
      <c r="C4" s="74"/>
      <c r="D4" s="73"/>
      <c r="E4" s="73"/>
    </row>
    <row r="5" spans="1:7" ht="15" thickBot="1"/>
    <row r="6" spans="1:7" ht="15" thickBot="1">
      <c r="A6" s="1">
        <v>1</v>
      </c>
      <c r="B6" s="57"/>
      <c r="C6" s="53" t="s">
        <v>2</v>
      </c>
      <c r="D6" s="53" t="s">
        <v>3</v>
      </c>
      <c r="E6" s="53" t="s">
        <v>4</v>
      </c>
    </row>
    <row r="7" spans="1:7" ht="15" thickBot="1">
      <c r="B7" s="15" t="s">
        <v>5</v>
      </c>
      <c r="C7" s="118">
        <v>462</v>
      </c>
      <c r="D7" s="118">
        <v>264</v>
      </c>
      <c r="E7" s="118">
        <v>85</v>
      </c>
      <c r="F7" s="13" t="s">
        <v>6</v>
      </c>
    </row>
    <row r="8" spans="1:7" ht="15" thickBot="1">
      <c r="B8" s="17" t="s">
        <v>7</v>
      </c>
      <c r="C8" s="119">
        <v>91</v>
      </c>
      <c r="D8" s="119">
        <v>102</v>
      </c>
      <c r="E8" s="119">
        <v>284</v>
      </c>
    </row>
    <row r="9" spans="1:7" ht="15" thickBot="1">
      <c r="B9" s="17" t="s">
        <v>8</v>
      </c>
      <c r="C9" s="120">
        <v>2</v>
      </c>
      <c r="D9" s="119">
        <v>2</v>
      </c>
      <c r="E9" s="120">
        <v>46</v>
      </c>
    </row>
    <row r="10" spans="1:7" ht="15" thickBot="1">
      <c r="B10" s="19" t="s">
        <v>9</v>
      </c>
      <c r="C10" s="120">
        <f>SUM(C7:C9)</f>
        <v>555</v>
      </c>
      <c r="D10" s="120">
        <f>SUM(D7:D9)</f>
        <v>368</v>
      </c>
      <c r="E10" s="120">
        <f>SUM(E7:E9)</f>
        <v>415</v>
      </c>
    </row>
    <row r="11" spans="1:7">
      <c r="B11" s="13" t="s">
        <v>10</v>
      </c>
    </row>
    <row r="12" spans="1:7" ht="15.6">
      <c r="B12" s="74" t="s">
        <v>11</v>
      </c>
      <c r="C12" s="74"/>
      <c r="D12" s="73"/>
      <c r="E12" s="73"/>
    </row>
    <row r="13" spans="1:7" ht="15" thickBot="1">
      <c r="B13" s="14"/>
      <c r="C13" s="14"/>
    </row>
    <row r="14" spans="1:7" ht="58.9" customHeight="1">
      <c r="A14" s="1">
        <v>2</v>
      </c>
      <c r="B14" s="52">
        <v>45536</v>
      </c>
      <c r="C14" s="66" t="s">
        <v>12</v>
      </c>
      <c r="D14" s="66" t="s">
        <v>13</v>
      </c>
      <c r="E14" s="66" t="s">
        <v>14</v>
      </c>
    </row>
    <row r="15" spans="1:7">
      <c r="B15" s="21" t="s">
        <v>15</v>
      </c>
      <c r="C15" s="185">
        <v>191</v>
      </c>
      <c r="D15" s="186">
        <v>113</v>
      </c>
      <c r="E15" s="224">
        <v>27</v>
      </c>
      <c r="F15" s="13" t="s">
        <v>6</v>
      </c>
    </row>
    <row r="16" spans="1:7">
      <c r="B16" s="22" t="s">
        <v>16</v>
      </c>
      <c r="C16" s="229">
        <v>14.05</v>
      </c>
      <c r="D16" s="165">
        <v>11.3</v>
      </c>
      <c r="E16" s="225">
        <v>5.375</v>
      </c>
    </row>
    <row r="17" spans="1:14">
      <c r="B17" s="21" t="s">
        <v>17</v>
      </c>
      <c r="C17" s="230">
        <f>C15/C16</f>
        <v>13.594306049822064</v>
      </c>
      <c r="D17" s="166">
        <f>+D15/D16</f>
        <v>10</v>
      </c>
      <c r="E17" s="226">
        <f>E15/E16</f>
        <v>5.0232558139534884</v>
      </c>
    </row>
    <row r="18" spans="1:14" ht="26.1">
      <c r="B18" s="174" t="s">
        <v>18</v>
      </c>
      <c r="C18" s="13">
        <f>C15/C16</f>
        <v>13.594306049822064</v>
      </c>
      <c r="D18" s="13">
        <f t="shared" ref="D18:E18" si="0">D15/D16</f>
        <v>10</v>
      </c>
      <c r="E18" s="13">
        <f t="shared" si="0"/>
        <v>5.0232558139534884</v>
      </c>
      <c r="I18" s="59"/>
    </row>
    <row r="19" spans="1:14">
      <c r="B19" s="58"/>
      <c r="I19" s="59"/>
    </row>
    <row r="20" spans="1:14" ht="15.95" thickBot="1">
      <c r="B20" s="2" t="s">
        <v>19</v>
      </c>
      <c r="C20" s="50"/>
    </row>
    <row r="21" spans="1:14" ht="15" customHeight="1" thickBot="1">
      <c r="A21" s="1">
        <v>3</v>
      </c>
      <c r="B21" s="140" t="s">
        <v>20</v>
      </c>
      <c r="C21" s="141"/>
      <c r="D21" s="141"/>
      <c r="E21" s="141"/>
      <c r="F21" s="141"/>
      <c r="G21" s="141"/>
      <c r="H21" s="233"/>
    </row>
    <row r="22" spans="1:14" ht="15" thickBot="1">
      <c r="B22" s="3" t="s">
        <v>21</v>
      </c>
      <c r="C22" s="135" t="s">
        <v>2</v>
      </c>
      <c r="D22" s="136"/>
      <c r="E22" s="137" t="s">
        <v>3</v>
      </c>
      <c r="F22" s="138"/>
      <c r="G22" s="139" t="s">
        <v>4</v>
      </c>
      <c r="H22" s="234"/>
    </row>
    <row r="23" spans="1:14" ht="30" customHeight="1" thickBot="1">
      <c r="B23" s="3" t="s">
        <v>22</v>
      </c>
      <c r="C23" s="4" t="s">
        <v>5</v>
      </c>
      <c r="D23" s="4" t="s">
        <v>23</v>
      </c>
      <c r="E23" s="5" t="s">
        <v>5</v>
      </c>
      <c r="F23" s="5" t="s">
        <v>24</v>
      </c>
      <c r="G23" s="6" t="s">
        <v>5</v>
      </c>
      <c r="H23" s="235" t="s">
        <v>25</v>
      </c>
    </row>
    <row r="24" spans="1:14" ht="14.25">
      <c r="B24" s="67" t="s">
        <v>26</v>
      </c>
      <c r="C24" s="249">
        <v>14</v>
      </c>
      <c r="D24" s="63"/>
      <c r="E24" s="64"/>
      <c r="F24" s="64"/>
      <c r="G24" s="65"/>
      <c r="H24" s="236"/>
    </row>
    <row r="25" spans="1:14" ht="15.95" thickBot="1">
      <c r="B25" s="68" t="s">
        <v>27</v>
      </c>
      <c r="C25" s="7">
        <v>2</v>
      </c>
      <c r="D25" s="7"/>
      <c r="E25" s="8"/>
      <c r="F25" s="8"/>
      <c r="G25" s="9"/>
      <c r="H25" s="237"/>
      <c r="M25" s="2"/>
      <c r="N25" s="50"/>
    </row>
    <row r="26" spans="1:14" ht="15" thickBot="1">
      <c r="B26" s="238" t="s">
        <v>28</v>
      </c>
      <c r="C26" s="239">
        <f>C24/C25</f>
        <v>7</v>
      </c>
      <c r="D26" s="239"/>
      <c r="E26" s="240"/>
      <c r="F26" s="240"/>
      <c r="G26" s="241"/>
      <c r="H26" s="242"/>
    </row>
    <row r="27" spans="1:14">
      <c r="B27" s="231"/>
      <c r="C27" s="232"/>
      <c r="D27" s="232"/>
      <c r="E27" s="232"/>
      <c r="F27" s="232"/>
      <c r="G27" s="232"/>
      <c r="H27" s="232"/>
    </row>
    <row r="28" spans="1:14">
      <c r="B28" s="231"/>
      <c r="C28" s="232"/>
      <c r="D28" s="232"/>
      <c r="E28" s="232"/>
      <c r="F28" s="232"/>
      <c r="G28" s="232"/>
      <c r="H28" s="232"/>
    </row>
    <row r="30" spans="1:14" ht="18.600000000000001">
      <c r="B30" s="163" t="s">
        <v>29</v>
      </c>
      <c r="C30" s="164" t="s">
        <v>30</v>
      </c>
      <c r="D30" s="188" t="s">
        <v>31</v>
      </c>
    </row>
    <row r="31" spans="1:14" ht="18.600000000000001">
      <c r="A31" s="1">
        <v>4</v>
      </c>
      <c r="B31" s="111" t="s">
        <v>2</v>
      </c>
      <c r="C31" s="113">
        <v>220</v>
      </c>
      <c r="D31" s="187">
        <v>176</v>
      </c>
    </row>
    <row r="32" spans="1:14" ht="18.600000000000001">
      <c r="B32" s="112" t="s">
        <v>3</v>
      </c>
      <c r="C32" s="113">
        <v>98</v>
      </c>
      <c r="D32" s="187">
        <v>85</v>
      </c>
    </row>
    <row r="33" spans="1:9" ht="18.600000000000001">
      <c r="B33" s="114" t="s">
        <v>4</v>
      </c>
      <c r="C33" s="115">
        <v>18</v>
      </c>
      <c r="D33" s="187">
        <v>58</v>
      </c>
    </row>
    <row r="36" spans="1:9" ht="15.6">
      <c r="B36" s="2" t="s">
        <v>32</v>
      </c>
    </row>
    <row r="37" spans="1:9">
      <c r="A37" s="1">
        <v>5</v>
      </c>
      <c r="B37" s="10" t="s">
        <v>21</v>
      </c>
      <c r="C37" s="10" t="s">
        <v>33</v>
      </c>
      <c r="D37" s="10" t="s">
        <v>34</v>
      </c>
      <c r="E37" s="10" t="s">
        <v>35</v>
      </c>
      <c r="F37" s="10" t="s">
        <v>36</v>
      </c>
    </row>
    <row r="38" spans="1:9">
      <c r="B38" s="10" t="s">
        <v>2</v>
      </c>
      <c r="C38" s="11" t="s">
        <v>37</v>
      </c>
      <c r="D38" s="11"/>
      <c r="E38" s="11"/>
      <c r="F38" s="11"/>
    </row>
    <row r="39" spans="1:9">
      <c r="B39" s="10" t="s">
        <v>3</v>
      </c>
      <c r="C39" s="12"/>
      <c r="D39" s="12"/>
      <c r="E39" s="12"/>
      <c r="F39" s="12"/>
    </row>
    <row r="40" spans="1:9">
      <c r="B40" s="10" t="s">
        <v>4</v>
      </c>
      <c r="C40" s="12"/>
      <c r="D40" s="12"/>
      <c r="E40" s="12"/>
      <c r="F40" s="12"/>
    </row>
    <row r="41" spans="1:9">
      <c r="B41" s="250"/>
    </row>
    <row r="42" spans="1:9">
      <c r="B42" s="76" t="s">
        <v>38</v>
      </c>
    </row>
    <row r="44" spans="1:9" ht="15.6">
      <c r="B44" s="2" t="s">
        <v>39</v>
      </c>
    </row>
    <row r="45" spans="1:9">
      <c r="A45" s="1">
        <v>6</v>
      </c>
      <c r="B45" s="61" t="s">
        <v>2</v>
      </c>
      <c r="C45" s="61"/>
      <c r="E45" s="61" t="s">
        <v>3</v>
      </c>
      <c r="F45" s="57"/>
      <c r="H45" s="61" t="s">
        <v>4</v>
      </c>
      <c r="I45" s="57"/>
    </row>
    <row r="46" spans="1:9" ht="19.5" customHeight="1">
      <c r="B46" s="23" t="s">
        <v>40</v>
      </c>
      <c r="C46" s="16">
        <v>0</v>
      </c>
      <c r="E46" s="23" t="s">
        <v>40</v>
      </c>
      <c r="F46" s="16">
        <v>17</v>
      </c>
      <c r="H46" s="23" t="s">
        <v>40</v>
      </c>
      <c r="I46" s="16">
        <v>0</v>
      </c>
    </row>
    <row r="47" spans="1:9" ht="19.5" customHeight="1">
      <c r="B47" s="24" t="s">
        <v>7</v>
      </c>
      <c r="C47" s="18">
        <v>93</v>
      </c>
      <c r="E47" s="24" t="s">
        <v>7</v>
      </c>
      <c r="F47" s="18">
        <v>104</v>
      </c>
      <c r="H47" s="24" t="s">
        <v>7</v>
      </c>
      <c r="I47" s="18">
        <v>284</v>
      </c>
    </row>
    <row r="48" spans="1:9" ht="19.5" customHeight="1">
      <c r="B48" s="25" t="s">
        <v>41</v>
      </c>
      <c r="C48" s="173">
        <v>13</v>
      </c>
      <c r="E48" s="25" t="s">
        <v>41</v>
      </c>
      <c r="F48" s="20">
        <v>8</v>
      </c>
      <c r="H48" s="25" t="s">
        <v>41</v>
      </c>
      <c r="I48" s="20">
        <v>0</v>
      </c>
    </row>
    <row r="51" spans="1:7" ht="15.6">
      <c r="B51" s="2" t="s">
        <v>42</v>
      </c>
    </row>
    <row r="52" spans="1:7" ht="30.95">
      <c r="A52" s="1">
        <v>7</v>
      </c>
      <c r="B52" s="142" t="s">
        <v>43</v>
      </c>
      <c r="C52" s="143" t="s">
        <v>44</v>
      </c>
      <c r="D52" s="143" t="s">
        <v>45</v>
      </c>
      <c r="E52" s="143" t="s">
        <v>46</v>
      </c>
      <c r="F52" s="143" t="s">
        <v>47</v>
      </c>
      <c r="G52" s="144" t="s">
        <v>48</v>
      </c>
    </row>
    <row r="53" spans="1:7" ht="27.75" customHeight="1">
      <c r="B53" s="145" t="s">
        <v>49</v>
      </c>
      <c r="C53" s="196" t="s">
        <v>50</v>
      </c>
      <c r="D53" s="146">
        <v>62</v>
      </c>
      <c r="E53" s="199">
        <v>4.3</v>
      </c>
      <c r="F53" s="199"/>
      <c r="G53" s="243">
        <f>D53/E53</f>
        <v>14.418604651162791</v>
      </c>
    </row>
    <row r="54" spans="1:7" ht="27.75" customHeight="1">
      <c r="B54" s="145" t="s">
        <v>51</v>
      </c>
      <c r="C54" s="197" t="s">
        <v>52</v>
      </c>
      <c r="D54" s="147">
        <v>66</v>
      </c>
      <c r="E54" s="200">
        <v>4.3</v>
      </c>
      <c r="F54" s="200"/>
      <c r="G54" s="251">
        <f t="shared" ref="G54:G55" si="1">D54/E54</f>
        <v>15.348837209302326</v>
      </c>
    </row>
    <row r="55" spans="1:7" ht="27.75" customHeight="1">
      <c r="B55" s="145" t="s">
        <v>53</v>
      </c>
      <c r="C55" s="198" t="s">
        <v>54</v>
      </c>
      <c r="D55" s="148">
        <v>63</v>
      </c>
      <c r="E55" s="201">
        <v>5.5</v>
      </c>
      <c r="F55" s="201"/>
      <c r="G55" s="243">
        <f t="shared" si="1"/>
        <v>11.454545454545455</v>
      </c>
    </row>
    <row r="56" spans="1:7" ht="27.75" customHeight="1" thickBot="1">
      <c r="B56" s="50"/>
      <c r="C56" s="149"/>
      <c r="D56" s="50"/>
      <c r="E56" s="50"/>
      <c r="F56" s="50"/>
      <c r="G56" s="150"/>
    </row>
    <row r="57" spans="1:7" ht="27.75" customHeight="1">
      <c r="A57" s="1">
        <v>8</v>
      </c>
      <c r="B57" s="151" t="s">
        <v>43</v>
      </c>
      <c r="C57" s="151" t="s">
        <v>44</v>
      </c>
      <c r="D57" s="151" t="s">
        <v>45</v>
      </c>
      <c r="E57" s="151" t="s">
        <v>46</v>
      </c>
      <c r="F57" s="151" t="s">
        <v>47</v>
      </c>
      <c r="G57" s="152" t="s">
        <v>48</v>
      </c>
    </row>
    <row r="58" spans="1:7" ht="27.75" customHeight="1">
      <c r="B58" s="153" t="s">
        <v>55</v>
      </c>
      <c r="C58" s="154" t="s">
        <v>56</v>
      </c>
      <c r="D58" s="223">
        <v>49</v>
      </c>
      <c r="E58" s="191">
        <v>4.9000000000000004</v>
      </c>
      <c r="F58" s="191"/>
      <c r="G58" s="191">
        <f>D58/E58</f>
        <v>10</v>
      </c>
    </row>
    <row r="59" spans="1:7" ht="27.75" customHeight="1">
      <c r="B59" s="155" t="s">
        <v>57</v>
      </c>
      <c r="C59" s="156" t="s">
        <v>58</v>
      </c>
      <c r="D59" s="193">
        <v>64</v>
      </c>
      <c r="E59" s="194">
        <v>6.4</v>
      </c>
      <c r="F59" s="194"/>
      <c r="G59" s="192">
        <f>D59/E59</f>
        <v>10</v>
      </c>
    </row>
    <row r="60" spans="1:7" ht="27.75" customHeight="1">
      <c r="B60" s="50"/>
      <c r="C60" s="149"/>
      <c r="D60" s="157"/>
      <c r="E60" s="157"/>
      <c r="F60" s="157"/>
      <c r="G60" s="157"/>
    </row>
    <row r="61" spans="1:7" ht="27.75" customHeight="1">
      <c r="A61" s="1">
        <v>9</v>
      </c>
      <c r="B61" s="158" t="s">
        <v>43</v>
      </c>
      <c r="C61" s="159" t="s">
        <v>44</v>
      </c>
      <c r="D61" s="160" t="s">
        <v>45</v>
      </c>
      <c r="E61" s="160" t="s">
        <v>46</v>
      </c>
      <c r="F61" s="159" t="s">
        <v>47</v>
      </c>
      <c r="G61" s="161" t="s">
        <v>48</v>
      </c>
    </row>
    <row r="62" spans="1:7" ht="30.95">
      <c r="B62" s="162" t="s">
        <v>59</v>
      </c>
      <c r="C62" s="195" t="s">
        <v>60</v>
      </c>
      <c r="D62" s="189">
        <v>27</v>
      </c>
      <c r="E62" s="190">
        <v>5.375</v>
      </c>
      <c r="F62" s="202" t="s">
        <v>61</v>
      </c>
      <c r="G62" s="227">
        <f>D62/E62</f>
        <v>5.0232558139534884</v>
      </c>
    </row>
    <row r="63" spans="1:7" ht="33" customHeight="1">
      <c r="B63" s="175" t="s">
        <v>62</v>
      </c>
    </row>
    <row r="66" spans="1:7" ht="15.6">
      <c r="B66" s="2" t="s">
        <v>63</v>
      </c>
    </row>
    <row r="68" spans="1:7" ht="30.95" customHeight="1">
      <c r="A68" s="1">
        <v>10</v>
      </c>
      <c r="B68" s="26" t="s">
        <v>43</v>
      </c>
      <c r="C68" s="27" t="s">
        <v>44</v>
      </c>
      <c r="D68" s="27" t="s">
        <v>64</v>
      </c>
      <c r="E68" s="79" t="s">
        <v>65</v>
      </c>
      <c r="F68" s="27" t="s">
        <v>66</v>
      </c>
      <c r="G68" s="28" t="s">
        <v>47</v>
      </c>
    </row>
    <row r="69" spans="1:7" ht="22.5" customHeight="1">
      <c r="B69" s="29" t="s">
        <v>49</v>
      </c>
      <c r="C69" s="203" t="s">
        <v>50</v>
      </c>
      <c r="D69" s="204">
        <v>0</v>
      </c>
      <c r="E69" s="205">
        <v>0</v>
      </c>
      <c r="F69" s="206"/>
      <c r="G69" s="206"/>
    </row>
    <row r="70" spans="1:7" ht="38.450000000000003" customHeight="1">
      <c r="B70" s="29" t="s">
        <v>51</v>
      </c>
      <c r="C70" s="207" t="s">
        <v>52</v>
      </c>
      <c r="D70" s="208">
        <v>1</v>
      </c>
      <c r="E70" s="209">
        <v>1</v>
      </c>
      <c r="F70" s="213" t="s">
        <v>67</v>
      </c>
      <c r="G70" s="211"/>
    </row>
    <row r="71" spans="1:7" ht="30.6" customHeight="1" thickBot="1">
      <c r="B71" s="29" t="s">
        <v>53</v>
      </c>
      <c r="C71" s="203" t="s">
        <v>54</v>
      </c>
      <c r="D71" s="212">
        <v>4</v>
      </c>
      <c r="E71" s="213">
        <v>4</v>
      </c>
      <c r="F71" s="213" t="s">
        <v>67</v>
      </c>
      <c r="G71" s="210"/>
    </row>
    <row r="72" spans="1:7" ht="18.75" customHeight="1">
      <c r="C72" s="1"/>
      <c r="E72" s="214"/>
      <c r="F72" s="1"/>
      <c r="G72" s="1"/>
    </row>
    <row r="73" spans="1:7" ht="15" thickBot="1"/>
    <row r="74" spans="1:7" ht="30.6" customHeight="1" thickBot="1">
      <c r="A74" s="1">
        <v>11</v>
      </c>
      <c r="B74" s="31" t="s">
        <v>43</v>
      </c>
      <c r="C74" s="32" t="s">
        <v>44</v>
      </c>
      <c r="D74" s="32" t="s">
        <v>64</v>
      </c>
      <c r="E74" s="32" t="s">
        <v>68</v>
      </c>
      <c r="F74" s="32" t="s">
        <v>69</v>
      </c>
      <c r="G74" s="33" t="s">
        <v>47</v>
      </c>
    </row>
    <row r="75" spans="1:7" ht="24.75" customHeight="1">
      <c r="B75" s="34" t="s">
        <v>55</v>
      </c>
      <c r="C75" s="35" t="s">
        <v>56</v>
      </c>
      <c r="D75" s="215">
        <v>49</v>
      </c>
      <c r="E75" s="216">
        <v>49</v>
      </c>
      <c r="F75" s="36"/>
      <c r="G75" s="36"/>
    </row>
    <row r="76" spans="1:7" ht="24.75" customHeight="1">
      <c r="B76" s="34" t="s">
        <v>57</v>
      </c>
      <c r="C76" s="37" t="s">
        <v>70</v>
      </c>
      <c r="D76" s="217">
        <v>64</v>
      </c>
      <c r="E76" s="218">
        <v>64</v>
      </c>
      <c r="F76" s="38"/>
      <c r="G76" s="38"/>
    </row>
    <row r="77" spans="1:7" ht="24.75" customHeight="1">
      <c r="D77" s="69"/>
      <c r="E77" s="69"/>
    </row>
    <row r="79" spans="1:7" ht="32.450000000000003" customHeight="1">
      <c r="A79" s="1">
        <v>12</v>
      </c>
      <c r="B79" s="39" t="s">
        <v>43</v>
      </c>
      <c r="C79" s="30" t="s">
        <v>44</v>
      </c>
      <c r="D79" s="30" t="s">
        <v>64</v>
      </c>
      <c r="E79" s="30" t="s">
        <v>68</v>
      </c>
      <c r="F79" s="30" t="s">
        <v>71</v>
      </c>
      <c r="G79" s="40" t="s">
        <v>47</v>
      </c>
    </row>
    <row r="80" spans="1:7" ht="33" customHeight="1">
      <c r="B80" s="41" t="s">
        <v>59</v>
      </c>
      <c r="C80" s="42" t="s">
        <v>72</v>
      </c>
      <c r="D80" s="43">
        <v>27</v>
      </c>
      <c r="E80" s="43">
        <v>27</v>
      </c>
      <c r="F80" s="70"/>
      <c r="G80" s="44"/>
    </row>
    <row r="82" spans="2:7" ht="15.6">
      <c r="B82" s="54"/>
      <c r="C82" s="54"/>
      <c r="D82" s="54"/>
      <c r="E82" s="54"/>
      <c r="F82" s="54"/>
      <c r="G82" s="54"/>
    </row>
    <row r="83" spans="2:7" ht="21.95" customHeight="1">
      <c r="B83" s="248" t="s">
        <v>73</v>
      </c>
      <c r="C83" s="244" t="s">
        <v>74</v>
      </c>
      <c r="D83" s="124"/>
      <c r="E83" s="124"/>
      <c r="F83" s="124"/>
      <c r="G83" s="125"/>
    </row>
    <row r="84" spans="2:7" ht="15.6">
      <c r="B84" s="245" t="s">
        <v>75</v>
      </c>
      <c r="C84" s="246">
        <v>63</v>
      </c>
      <c r="D84" s="124"/>
      <c r="E84" s="124"/>
      <c r="F84" s="124"/>
      <c r="G84" s="125"/>
    </row>
    <row r="85" spans="2:7" ht="18.600000000000001">
      <c r="B85" s="247" t="s">
        <v>76</v>
      </c>
      <c r="C85" s="246">
        <v>10</v>
      </c>
      <c r="D85" s="126"/>
      <c r="E85" s="127"/>
      <c r="F85" s="128"/>
      <c r="G85" s="116"/>
    </row>
    <row r="86" spans="2:7" ht="18.600000000000001">
      <c r="B86" s="247" t="s">
        <v>77</v>
      </c>
      <c r="C86" s="246">
        <v>8</v>
      </c>
      <c r="D86" s="126"/>
      <c r="E86" s="127"/>
      <c r="F86" s="128"/>
      <c r="G86" s="116"/>
    </row>
    <row r="87" spans="2:7" ht="18.600000000000001">
      <c r="B87" s="247" t="s">
        <v>78</v>
      </c>
      <c r="C87" s="246">
        <v>11</v>
      </c>
      <c r="D87" s="126"/>
      <c r="E87" s="127"/>
      <c r="F87" s="128"/>
      <c r="G87" s="116"/>
    </row>
    <row r="88" spans="2:7" ht="18.600000000000001">
      <c r="B88" s="247" t="s">
        <v>79</v>
      </c>
      <c r="C88" s="246">
        <v>9</v>
      </c>
      <c r="D88" s="126"/>
      <c r="E88" s="127"/>
      <c r="F88" s="128"/>
      <c r="G88" s="116"/>
    </row>
    <row r="89" spans="2:7" ht="18.600000000000001">
      <c r="B89" s="247" t="s">
        <v>80</v>
      </c>
      <c r="C89" s="246">
        <v>12</v>
      </c>
      <c r="D89" s="129"/>
      <c r="E89" s="127"/>
      <c r="F89" s="128"/>
      <c r="G89" s="116"/>
    </row>
    <row r="90" spans="2:7" ht="18.600000000000001">
      <c r="B90" s="247" t="s">
        <v>81</v>
      </c>
      <c r="C90" s="246">
        <v>5</v>
      </c>
      <c r="D90" s="126"/>
      <c r="E90" s="127"/>
      <c r="F90" s="128"/>
      <c r="G90" s="116"/>
    </row>
    <row r="91" spans="2:7" ht="18.600000000000001">
      <c r="B91" s="247" t="s">
        <v>82</v>
      </c>
      <c r="C91" s="246">
        <v>8</v>
      </c>
      <c r="D91" s="126"/>
      <c r="E91" s="127"/>
      <c r="F91" s="128"/>
      <c r="G91" s="116"/>
    </row>
    <row r="92" spans="2:7" ht="18.600000000000001">
      <c r="B92" s="245" t="s">
        <v>83</v>
      </c>
      <c r="C92" s="246">
        <v>66</v>
      </c>
      <c r="D92" s="126"/>
      <c r="E92" s="127"/>
      <c r="F92" s="128"/>
      <c r="G92" s="116"/>
    </row>
    <row r="93" spans="2:7" ht="15.6">
      <c r="B93" s="247" t="s">
        <v>84</v>
      </c>
      <c r="C93" s="246">
        <v>17</v>
      </c>
      <c r="D93" s="124"/>
      <c r="E93" s="124"/>
      <c r="F93" s="124"/>
      <c r="G93" s="125"/>
    </row>
    <row r="94" spans="2:7" ht="18.600000000000001">
      <c r="B94" s="247" t="s">
        <v>85</v>
      </c>
      <c r="C94" s="246">
        <v>11</v>
      </c>
      <c r="D94" s="126"/>
      <c r="E94" s="127"/>
      <c r="F94" s="128"/>
      <c r="G94" s="116"/>
    </row>
    <row r="95" spans="2:7" ht="18.600000000000001">
      <c r="B95" s="247" t="s">
        <v>86</v>
      </c>
      <c r="C95" s="246">
        <v>9</v>
      </c>
      <c r="D95" s="126"/>
      <c r="E95" s="127"/>
      <c r="F95" s="128"/>
      <c r="G95" s="116"/>
    </row>
    <row r="96" spans="2:7" ht="18.600000000000001">
      <c r="B96" s="247" t="s">
        <v>87</v>
      </c>
      <c r="C96" s="246">
        <v>17</v>
      </c>
      <c r="D96" s="129"/>
      <c r="E96" s="127"/>
      <c r="F96" s="128"/>
      <c r="G96" s="116"/>
    </row>
    <row r="97" spans="2:7" ht="18.600000000000001">
      <c r="B97" s="247" t="s">
        <v>88</v>
      </c>
      <c r="C97" s="246">
        <v>12</v>
      </c>
      <c r="D97" s="126"/>
      <c r="E97" s="127"/>
      <c r="F97" s="128"/>
      <c r="G97" s="116"/>
    </row>
    <row r="98" spans="2:7" ht="18.600000000000001">
      <c r="B98" s="245" t="s">
        <v>89</v>
      </c>
      <c r="C98" s="246">
        <v>62</v>
      </c>
      <c r="D98" s="126"/>
      <c r="E98" s="127"/>
      <c r="F98" s="128"/>
      <c r="G98" s="116"/>
    </row>
    <row r="99" spans="2:7" ht="18.600000000000001">
      <c r="B99" s="247" t="s">
        <v>90</v>
      </c>
      <c r="C99" s="246">
        <v>13</v>
      </c>
      <c r="D99" s="129"/>
      <c r="E99" s="127"/>
      <c r="F99" s="128"/>
      <c r="G99" s="116"/>
    </row>
    <row r="100" spans="2:7" ht="15.6">
      <c r="B100" s="247" t="s">
        <v>91</v>
      </c>
      <c r="C100" s="246">
        <v>13</v>
      </c>
      <c r="D100" s="124"/>
      <c r="E100" s="124"/>
      <c r="F100" s="124"/>
      <c r="G100" s="125"/>
    </row>
    <row r="101" spans="2:7" ht="18.600000000000001">
      <c r="B101" s="247" t="s">
        <v>92</v>
      </c>
      <c r="C101" s="246">
        <v>11</v>
      </c>
      <c r="D101" s="126"/>
      <c r="E101" s="127"/>
      <c r="F101" s="128"/>
      <c r="G101" s="116"/>
    </row>
    <row r="102" spans="2:7" ht="18.600000000000001">
      <c r="B102" s="247" t="s">
        <v>93</v>
      </c>
      <c r="C102" s="246">
        <v>6</v>
      </c>
      <c r="D102" s="126"/>
      <c r="E102" s="127"/>
      <c r="F102" s="128"/>
      <c r="G102" s="116"/>
    </row>
    <row r="103" spans="2:7" ht="18.600000000000001">
      <c r="B103" s="247" t="s">
        <v>94</v>
      </c>
      <c r="C103" s="246">
        <v>10</v>
      </c>
      <c r="D103" s="129"/>
      <c r="E103" s="127"/>
      <c r="F103" s="128"/>
      <c r="G103" s="116"/>
    </row>
    <row r="104" spans="2:7" ht="18.600000000000001">
      <c r="B104" s="247" t="s">
        <v>95</v>
      </c>
      <c r="C104" s="246">
        <v>9</v>
      </c>
      <c r="D104" s="126"/>
      <c r="E104" s="127"/>
      <c r="F104" s="128"/>
      <c r="G104" s="116"/>
    </row>
    <row r="105" spans="2:7" ht="18.600000000000001">
      <c r="B105" s="245" t="s">
        <v>96</v>
      </c>
      <c r="C105" s="246">
        <v>191</v>
      </c>
      <c r="D105" s="129"/>
      <c r="E105" s="127"/>
      <c r="F105" s="128"/>
      <c r="G105" s="116"/>
    </row>
    <row r="106" spans="2:7" ht="18.600000000000001">
      <c r="B106"/>
      <c r="C106"/>
      <c r="D106" s="129"/>
      <c r="E106" s="127"/>
      <c r="F106" s="128"/>
      <c r="G106" s="116"/>
    </row>
    <row r="107" spans="2:7" ht="18.600000000000001" hidden="1">
      <c r="B107" s="126"/>
      <c r="C107" s="126"/>
      <c r="D107" s="126"/>
      <c r="E107" s="127"/>
      <c r="F107" s="130"/>
      <c r="G107" s="123"/>
    </row>
    <row r="108" spans="2:7" ht="21.75" hidden="1" customHeight="1">
      <c r="B108" s="131"/>
      <c r="C108" s="132"/>
      <c r="D108" s="133"/>
      <c r="E108" s="134"/>
      <c r="F108" s="101"/>
      <c r="G108" s="102"/>
    </row>
    <row r="109" spans="2:7" ht="46.5">
      <c r="B109" s="219" t="s">
        <v>97</v>
      </c>
      <c r="C109" s="103" t="s">
        <v>98</v>
      </c>
      <c r="D109" s="104" t="s">
        <v>99</v>
      </c>
      <c r="E109" s="105" t="s">
        <v>100</v>
      </c>
      <c r="F109" s="106" t="s">
        <v>101</v>
      </c>
      <c r="G109" s="167"/>
    </row>
    <row r="110" spans="2:7" ht="18.600000000000001">
      <c r="B110" s="219"/>
      <c r="C110" s="107" t="s">
        <v>55</v>
      </c>
      <c r="D110" s="96" t="s">
        <v>102</v>
      </c>
      <c r="E110" s="94" t="s">
        <v>103</v>
      </c>
      <c r="F110" s="95" t="s">
        <v>104</v>
      </c>
      <c r="G110" s="168">
        <v>8</v>
      </c>
    </row>
    <row r="111" spans="2:7" ht="18.600000000000001">
      <c r="B111" s="219"/>
      <c r="C111" s="107" t="s">
        <v>55</v>
      </c>
      <c r="D111" s="96" t="s">
        <v>105</v>
      </c>
      <c r="E111" s="94" t="s">
        <v>106</v>
      </c>
      <c r="F111" s="95" t="s">
        <v>104</v>
      </c>
      <c r="G111" s="168">
        <v>8</v>
      </c>
    </row>
    <row r="112" spans="2:7" ht="18.600000000000001">
      <c r="B112" s="219"/>
      <c r="C112" s="107" t="s">
        <v>55</v>
      </c>
      <c r="D112" s="96" t="s">
        <v>107</v>
      </c>
      <c r="E112" s="94" t="s">
        <v>108</v>
      </c>
      <c r="F112" s="95" t="s">
        <v>109</v>
      </c>
      <c r="G112" s="168">
        <v>8</v>
      </c>
    </row>
    <row r="113" spans="2:8" ht="18.600000000000001">
      <c r="B113" s="219"/>
      <c r="C113" s="107" t="s">
        <v>55</v>
      </c>
      <c r="D113" s="96" t="s">
        <v>110</v>
      </c>
      <c r="E113" s="94" t="s">
        <v>111</v>
      </c>
      <c r="F113" s="95" t="s">
        <v>112</v>
      </c>
      <c r="G113" s="168">
        <v>9</v>
      </c>
    </row>
    <row r="114" spans="2:8" ht="18.600000000000001">
      <c r="B114" s="219"/>
      <c r="C114" s="107" t="s">
        <v>55</v>
      </c>
      <c r="D114" s="96" t="s">
        <v>113</v>
      </c>
      <c r="E114" s="94" t="s">
        <v>114</v>
      </c>
      <c r="F114" s="95" t="s">
        <v>112</v>
      </c>
      <c r="G114" s="169">
        <v>6</v>
      </c>
    </row>
    <row r="115" spans="2:8" ht="18.600000000000001">
      <c r="B115" s="219"/>
      <c r="C115" s="107" t="s">
        <v>55</v>
      </c>
      <c r="D115" s="96" t="s">
        <v>115</v>
      </c>
      <c r="E115" s="94" t="s">
        <v>116</v>
      </c>
      <c r="F115" s="95" t="s">
        <v>104</v>
      </c>
      <c r="G115" s="169">
        <v>10</v>
      </c>
    </row>
    <row r="116" spans="2:8" ht="18.600000000000001">
      <c r="B116" s="219"/>
      <c r="C116" s="90" t="s">
        <v>57</v>
      </c>
      <c r="D116" s="91" t="s">
        <v>117</v>
      </c>
      <c r="E116" s="92" t="s">
        <v>118</v>
      </c>
      <c r="F116" s="93" t="s">
        <v>101</v>
      </c>
      <c r="G116" s="170"/>
    </row>
    <row r="117" spans="2:8" ht="18.600000000000001">
      <c r="B117" s="219"/>
      <c r="C117" s="107" t="s">
        <v>57</v>
      </c>
      <c r="D117" s="96" t="s">
        <v>119</v>
      </c>
      <c r="E117" s="94" t="s">
        <v>120</v>
      </c>
      <c r="F117" s="95" t="s">
        <v>121</v>
      </c>
      <c r="G117" s="168">
        <v>12</v>
      </c>
    </row>
    <row r="118" spans="2:8" ht="18.600000000000001">
      <c r="B118" s="219"/>
      <c r="C118" s="107" t="s">
        <v>57</v>
      </c>
      <c r="D118" s="96" t="s">
        <v>122</v>
      </c>
      <c r="E118" s="94" t="s">
        <v>123</v>
      </c>
      <c r="F118" s="95" t="s">
        <v>104</v>
      </c>
      <c r="G118" s="168">
        <v>11</v>
      </c>
    </row>
    <row r="119" spans="2:8" ht="18.600000000000001">
      <c r="B119" s="219"/>
      <c r="C119" s="107" t="s">
        <v>57</v>
      </c>
      <c r="D119" s="96" t="s">
        <v>124</v>
      </c>
      <c r="E119" s="94" t="s">
        <v>125</v>
      </c>
      <c r="F119" s="95" t="s">
        <v>109</v>
      </c>
      <c r="G119" s="168">
        <v>10</v>
      </c>
    </row>
    <row r="120" spans="2:8" ht="18.600000000000001">
      <c r="B120" s="219"/>
      <c r="C120" s="107" t="s">
        <v>57</v>
      </c>
      <c r="D120" s="96" t="s">
        <v>126</v>
      </c>
      <c r="E120" s="94" t="s">
        <v>127</v>
      </c>
      <c r="F120" s="95" t="s">
        <v>104</v>
      </c>
      <c r="G120" s="168">
        <v>10</v>
      </c>
    </row>
    <row r="121" spans="2:8" ht="18.600000000000001">
      <c r="B121" s="219"/>
      <c r="C121" s="107" t="s">
        <v>57</v>
      </c>
      <c r="D121" s="96" t="s">
        <v>128</v>
      </c>
      <c r="E121" s="94" t="s">
        <v>129</v>
      </c>
      <c r="F121" s="95" t="s">
        <v>104</v>
      </c>
      <c r="G121" s="168">
        <v>6</v>
      </c>
    </row>
    <row r="122" spans="2:8" ht="18.600000000000001">
      <c r="B122" s="219"/>
      <c r="C122" s="107" t="s">
        <v>57</v>
      </c>
      <c r="D122" s="96" t="s">
        <v>130</v>
      </c>
      <c r="E122" s="94" t="s">
        <v>131</v>
      </c>
      <c r="F122" s="95" t="s">
        <v>132</v>
      </c>
      <c r="G122" s="168">
        <v>8</v>
      </c>
    </row>
    <row r="123" spans="2:8" ht="18.600000000000001">
      <c r="B123" s="219"/>
      <c r="C123" s="107" t="s">
        <v>55</v>
      </c>
      <c r="D123" s="96" t="s">
        <v>133</v>
      </c>
      <c r="E123" s="94" t="s">
        <v>134</v>
      </c>
      <c r="F123" s="95" t="s">
        <v>104</v>
      </c>
      <c r="G123" s="168">
        <v>7</v>
      </c>
    </row>
    <row r="124" spans="2:8" ht="15" customHeight="1">
      <c r="B124" s="220" t="s">
        <v>135</v>
      </c>
      <c r="C124" s="108"/>
      <c r="D124" s="99"/>
      <c r="E124" s="100"/>
      <c r="F124" s="101"/>
      <c r="G124" s="181">
        <f>SUM(G110:G123)</f>
        <v>113</v>
      </c>
    </row>
    <row r="125" spans="2:8" ht="65.25" customHeight="1">
      <c r="B125" s="221" t="s">
        <v>136</v>
      </c>
      <c r="C125" s="103" t="s">
        <v>137</v>
      </c>
      <c r="D125" s="104" t="s">
        <v>138</v>
      </c>
      <c r="E125" s="105" t="s">
        <v>139</v>
      </c>
      <c r="F125" s="177" t="s">
        <v>140</v>
      </c>
      <c r="G125" s="183"/>
      <c r="H125" s="69"/>
    </row>
    <row r="126" spans="2:8" ht="26.25" customHeight="1">
      <c r="B126" s="221"/>
      <c r="C126" s="107" t="s">
        <v>59</v>
      </c>
      <c r="D126" s="96" t="s">
        <v>141</v>
      </c>
      <c r="E126" s="94" t="s">
        <v>142</v>
      </c>
      <c r="F126" s="178" t="s">
        <v>132</v>
      </c>
      <c r="G126" s="182">
        <v>8</v>
      </c>
    </row>
    <row r="127" spans="2:8" ht="18.600000000000001">
      <c r="B127" s="221"/>
      <c r="C127" s="107" t="s">
        <v>59</v>
      </c>
      <c r="D127" s="96" t="s">
        <v>143</v>
      </c>
      <c r="E127" s="94" t="s">
        <v>144</v>
      </c>
      <c r="F127" s="178" t="s">
        <v>121</v>
      </c>
      <c r="G127" s="182">
        <v>2</v>
      </c>
    </row>
    <row r="128" spans="2:8" ht="18.600000000000001">
      <c r="B128" s="221"/>
      <c r="C128" s="107" t="s">
        <v>59</v>
      </c>
      <c r="D128" s="96" t="s">
        <v>145</v>
      </c>
      <c r="E128" s="94" t="s">
        <v>146</v>
      </c>
      <c r="F128" s="178" t="s">
        <v>132</v>
      </c>
      <c r="G128" s="182">
        <v>2</v>
      </c>
    </row>
    <row r="129" spans="2:8" ht="18.600000000000001">
      <c r="B129" s="221"/>
      <c r="C129" s="107" t="s">
        <v>59</v>
      </c>
      <c r="D129" s="96" t="s">
        <v>147</v>
      </c>
      <c r="E129" s="94" t="s">
        <v>148</v>
      </c>
      <c r="F129" s="178" t="s">
        <v>112</v>
      </c>
      <c r="G129" s="182">
        <v>3</v>
      </c>
    </row>
    <row r="130" spans="2:8" ht="18.600000000000001">
      <c r="B130" s="221"/>
      <c r="C130" s="107" t="s">
        <v>59</v>
      </c>
      <c r="D130" s="96" t="s">
        <v>149</v>
      </c>
      <c r="E130" s="94" t="s">
        <v>150</v>
      </c>
      <c r="F130" s="178" t="s">
        <v>121</v>
      </c>
      <c r="G130" s="182">
        <v>3</v>
      </c>
    </row>
    <row r="131" spans="2:8" ht="18.600000000000001">
      <c r="B131" s="221"/>
      <c r="C131" s="107" t="s">
        <v>59</v>
      </c>
      <c r="D131" s="98" t="s">
        <v>151</v>
      </c>
      <c r="E131" s="94" t="s">
        <v>152</v>
      </c>
      <c r="F131" s="178" t="s">
        <v>132</v>
      </c>
      <c r="G131" s="182">
        <v>4</v>
      </c>
    </row>
    <row r="132" spans="2:8" ht="18.600000000000001">
      <c r="B132" s="221"/>
      <c r="C132" s="96" t="s">
        <v>59</v>
      </c>
      <c r="D132" s="96" t="s">
        <v>153</v>
      </c>
      <c r="E132" s="97" t="s">
        <v>154</v>
      </c>
      <c r="F132" s="179" t="s">
        <v>121</v>
      </c>
      <c r="G132" s="182">
        <v>5</v>
      </c>
    </row>
    <row r="133" spans="2:8" ht="18.600000000000001">
      <c r="B133" s="222" t="s">
        <v>135</v>
      </c>
      <c r="C133" s="109"/>
      <c r="D133" s="109"/>
      <c r="E133" s="110"/>
      <c r="F133" s="180"/>
      <c r="G133" s="176">
        <f>SUM(G126:G132)</f>
        <v>27</v>
      </c>
      <c r="H133" s="54"/>
    </row>
    <row r="134" spans="2:8">
      <c r="B134" s="175"/>
    </row>
    <row r="136" spans="2:8" ht="15.6">
      <c r="B136" s="2"/>
      <c r="H136" s="2"/>
    </row>
    <row r="137" spans="2:8" ht="15.6">
      <c r="B137" s="2" t="s">
        <v>155</v>
      </c>
    </row>
    <row r="138" spans="2:8" ht="27" customHeight="1">
      <c r="H138" s="2"/>
    </row>
    <row r="139" spans="2:8" ht="27" customHeight="1">
      <c r="B139" s="45"/>
      <c r="C139" s="55" t="s">
        <v>156</v>
      </c>
      <c r="D139" s="55"/>
      <c r="H139" s="2"/>
    </row>
    <row r="140" spans="2:8" ht="36" customHeight="1" thickBot="1">
      <c r="B140" s="46"/>
      <c r="C140" s="47" t="s">
        <v>157</v>
      </c>
      <c r="D140" s="47" t="s">
        <v>158</v>
      </c>
      <c r="H140" s="2"/>
    </row>
    <row r="141" spans="2:8" ht="36" customHeight="1">
      <c r="B141" s="62" t="s">
        <v>2</v>
      </c>
      <c r="C141" s="78"/>
      <c r="D141" s="78"/>
      <c r="H141" s="2"/>
    </row>
    <row r="142" spans="2:8" ht="87" customHeight="1">
      <c r="B142" s="77" t="s">
        <v>3</v>
      </c>
      <c r="C142" s="56"/>
      <c r="D142" s="60"/>
      <c r="H142" s="2"/>
    </row>
    <row r="143" spans="2:8" ht="15.6">
      <c r="B143" s="48" t="s">
        <v>4</v>
      </c>
      <c r="C143" s="71"/>
      <c r="D143" s="60"/>
      <c r="H143" s="2"/>
    </row>
    <row r="144" spans="2:8" ht="28.5" customHeight="1">
      <c r="B144" s="49" t="s">
        <v>9</v>
      </c>
      <c r="C144" s="49"/>
      <c r="D144" s="49"/>
    </row>
    <row r="145" spans="2:11" ht="17.25" customHeight="1">
      <c r="B145" s="72"/>
      <c r="C145" s="72"/>
      <c r="D145" s="72"/>
    </row>
    <row r="146" spans="2:11" ht="17.25" customHeight="1">
      <c r="B146" s="72"/>
      <c r="C146" s="72"/>
      <c r="D146" s="72"/>
    </row>
    <row r="148" spans="2:11">
      <c r="B148" s="51" t="s">
        <v>159</v>
      </c>
      <c r="E148" s="51" t="s">
        <v>159</v>
      </c>
      <c r="H148" s="51"/>
      <c r="J148" s="80"/>
      <c r="K148" s="80"/>
    </row>
    <row r="149" spans="2:11">
      <c r="K149" s="80"/>
    </row>
    <row r="150" spans="2:11" ht="18.600000000000001">
      <c r="B150" s="81" t="s">
        <v>160</v>
      </c>
      <c r="C150" s="82" t="s">
        <v>2</v>
      </c>
      <c r="D150" s="82" t="s">
        <v>3</v>
      </c>
      <c r="E150" s="83" t="s">
        <v>4</v>
      </c>
      <c r="K150" s="80"/>
    </row>
    <row r="151" spans="2:11" ht="18.600000000000001">
      <c r="B151" s="84" t="s">
        <v>161</v>
      </c>
      <c r="C151" s="85">
        <v>173</v>
      </c>
      <c r="D151" s="171">
        <v>95</v>
      </c>
      <c r="E151" s="86">
        <v>25</v>
      </c>
      <c r="K151" s="80"/>
    </row>
    <row r="152" spans="2:11" ht="18.600000000000001">
      <c r="B152" s="84" t="s">
        <v>162</v>
      </c>
      <c r="C152" s="85">
        <v>8</v>
      </c>
      <c r="D152" s="171">
        <v>7</v>
      </c>
      <c r="E152" s="86">
        <v>1</v>
      </c>
      <c r="K152" s="80"/>
    </row>
    <row r="153" spans="2:11" ht="18.75">
      <c r="B153" s="84" t="s">
        <v>163</v>
      </c>
      <c r="C153" s="85">
        <v>10</v>
      </c>
      <c r="D153" s="171">
        <v>11</v>
      </c>
      <c r="E153" s="86">
        <v>1</v>
      </c>
    </row>
    <row r="154" spans="2:11" ht="18.75">
      <c r="B154" s="87" t="s">
        <v>164</v>
      </c>
      <c r="C154" s="88">
        <f ca="1">SUM(C151:C154)</f>
        <v>191</v>
      </c>
      <c r="D154" s="172">
        <v>113</v>
      </c>
      <c r="E154" s="89">
        <v>27</v>
      </c>
    </row>
    <row r="155" spans="2:11" ht="18.75">
      <c r="B155" s="252"/>
      <c r="C155" s="253"/>
      <c r="D155" s="253"/>
      <c r="E155" s="253"/>
      <c r="F155" s="13" t="s">
        <v>6</v>
      </c>
    </row>
    <row r="156" spans="2:11" ht="18.75">
      <c r="B156" s="121"/>
      <c r="C156" s="122"/>
      <c r="D156" s="122"/>
      <c r="E156" s="122"/>
    </row>
    <row r="157" spans="2:11" ht="18.75">
      <c r="B157" s="117" t="s">
        <v>165</v>
      </c>
      <c r="C157" s="184"/>
      <c r="D157" s="122"/>
      <c r="E157" s="122"/>
    </row>
    <row r="158" spans="2:11" ht="57" customHeight="1">
      <c r="B158" s="228" t="s">
        <v>62</v>
      </c>
      <c r="C158" s="122"/>
      <c r="D158" s="122"/>
      <c r="E158" s="122"/>
    </row>
  </sheetData>
  <conditionalFormatting sqref="A61 A6 A14 A21 A31 A37 A45 A52 A57 A68 A74 A79">
    <cfRule type="iconSet" priority="5">
      <iconSet iconSet="3Symbols2" showValue="0">
        <cfvo type="percent" val="0"/>
        <cfvo type="num" val="0"/>
        <cfvo type="num" val="0"/>
      </iconSet>
    </cfRule>
  </conditionalFormatting>
  <pageMargins left="0.7" right="0.7" top="0.75" bottom="0.75" header="0.3" footer="0.3"/>
  <pageSetup paperSize="9" orientation="portrait" r:id="rId2"/>
  <tableParts count="2">
    <tablePart r:id="rId3"/>
    <tablePart r:id="rId4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63A6AE8B7E4A2449C903AFD2456BD74" ma:contentTypeVersion="9" ma:contentTypeDescription="Crear nuevo documento." ma:contentTypeScope="" ma:versionID="9a16e059ade068e5420ebfe45b37d9e3">
  <xsd:schema xmlns:xsd="http://www.w3.org/2001/XMLSchema" xmlns:xs="http://www.w3.org/2001/XMLSchema" xmlns:p="http://schemas.microsoft.com/office/2006/metadata/properties" xmlns:ns2="c4795172-acc8-41fc-abdb-af5ed44f61af" targetNamespace="http://schemas.microsoft.com/office/2006/metadata/properties" ma:root="true" ma:fieldsID="ba29c0a8573117fd5582f7bc3b7130b7" ns2:_="">
    <xsd:import namespace="c4795172-acc8-41fc-abdb-af5ed44f61a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Acargo" minOccurs="0"/>
                <xsd:element ref="ns2:Fecha" minOccurs="0"/>
                <xsd:element ref="ns2:Tema" minOccurs="0"/>
                <xsd:element ref="ns2:Ponente" minOccurs="0"/>
                <xsd:element ref="ns2:Areadestino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795172-acc8-41fc-abdb-af5ed44f61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Acargo" ma:index="12" nillable="true" ma:displayName="INI" ma:format="Dropdown" ma:internalName="Acargo">
      <xsd:simpleType>
        <xsd:restriction base="dms:Choice">
          <xsd:enumeration value="DCCI"/>
          <xsd:enumeration value="DCCII"/>
          <xsd:enumeration value="DCP"/>
        </xsd:restriction>
      </xsd:simpleType>
    </xsd:element>
    <xsd:element name="Fecha" ma:index="13" nillable="true" ma:displayName="Fecha " ma:format="DateOnly" ma:internalName="Fecha">
      <xsd:simpleType>
        <xsd:restriction base="dms:DateTime"/>
      </xsd:simpleType>
    </xsd:element>
    <xsd:element name="Tema" ma:index="14" nillable="true" ma:displayName="Tema" ma:format="Dropdown" ma:internalName="Tema">
      <xsd:simpleType>
        <xsd:restriction base="dms:Text">
          <xsd:maxLength value="255"/>
        </xsd:restriction>
      </xsd:simpleType>
    </xsd:element>
    <xsd:element name="Ponente" ma:index="15" nillable="true" ma:displayName="Ponente" ma:format="Dropdown" ma:internalName="Ponente">
      <xsd:simpleType>
        <xsd:restriction base="dms:Text">
          <xsd:maxLength value="255"/>
        </xsd:restriction>
      </xsd:simpleType>
    </xsd:element>
    <xsd:element name="Areadestino" ma:index="16" nillable="true" ma:displayName="Area destino" ma:format="Dropdown" ma:internalName="Areadestino">
      <xsd:simpleType>
        <xsd:restriction base="dms:Text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ema xmlns="c4795172-acc8-41fc-abdb-af5ed44f61af" xsi:nil="true"/>
    <Areadestino xmlns="c4795172-acc8-41fc-abdb-af5ed44f61af" xsi:nil="true"/>
    <Fecha xmlns="c4795172-acc8-41fc-abdb-af5ed44f61af" xsi:nil="true"/>
    <Ponente xmlns="c4795172-acc8-41fc-abdb-af5ed44f61af" xsi:nil="true"/>
    <Acargo xmlns="c4795172-acc8-41fc-abdb-af5ed44f61af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9F57ECF-DA27-48A1-9C32-0CE9542DB55A}"/>
</file>

<file path=customXml/itemProps2.xml><?xml version="1.0" encoding="utf-8"?>
<ds:datastoreItem xmlns:ds="http://schemas.openxmlformats.org/officeDocument/2006/customXml" ds:itemID="{2A858AEC-F1AD-4D26-86F9-F9C1A74AAE7E}"/>
</file>

<file path=customXml/itemProps3.xml><?xml version="1.0" encoding="utf-8"?>
<ds:datastoreItem xmlns:ds="http://schemas.openxmlformats.org/officeDocument/2006/customXml" ds:itemID="{D5B830D8-62A0-47CE-8C06-2E280D1114D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Gonzales Estrada Sara Stephany</dc:creator>
  <cp:keywords/>
  <dc:description/>
  <cp:lastModifiedBy>Chavez Silva Vanesa Genoveva</cp:lastModifiedBy>
  <cp:revision/>
  <dcterms:created xsi:type="dcterms:W3CDTF">2024-01-03T15:06:50Z</dcterms:created>
  <dcterms:modified xsi:type="dcterms:W3CDTF">2026-01-07T21:26:22Z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0x010100863A6AE8B7E4A2449C903AFD2456BD74</vt:lpwstr>
  </property>
</Properties>
</file>