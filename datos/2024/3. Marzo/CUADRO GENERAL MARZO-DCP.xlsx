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4\MARZO\"/>
    </mc:Choice>
  </mc:AlternateContent>
  <xr:revisionPtr revIDLastSave="0" documentId="13_ncr:1_{E852B270-C6A2-4868-BE6D-F0D7579C24FD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" l="1"/>
  <c r="G76" i="1"/>
  <c r="C24" i="1"/>
  <c r="C9" i="1"/>
</calcChain>
</file>

<file path=xl/sharedStrings.xml><?xml version="1.0" encoding="utf-8"?>
<sst xmlns="http://schemas.openxmlformats.org/spreadsheetml/2006/main" count="367" uniqueCount="211">
  <si>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</si>
  <si>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</si>
  <si>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</si>
  <si>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</si>
  <si>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</si>
  <si>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</si>
  <si>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</si>
  <si>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</si>
  <si>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ENERO</t>
  </si>
  <si>
    <t>Reclamos resueltos</t>
  </si>
  <si>
    <t>Resolutor</t>
  </si>
  <si>
    <t>Producción Promedio</t>
  </si>
  <si>
    <t>DIVISIÓN DE CONTROL CONCURRENTE-II</t>
  </si>
  <si>
    <t>DIVISIÓN DE CONTROL POSTERIOR</t>
  </si>
  <si>
    <t>(*)</t>
  </si>
  <si>
    <t>(*) Incluye 1 informe para demanda; se resolvió 20 reclamos por monto S/ 13.9 millones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</si>
  <si>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</si>
  <si>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</si>
  <si>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</si>
  <si>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</si>
  <si>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</si>
  <si>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</si>
  <si>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</si>
  <si>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</si>
  <si>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</si>
  <si>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</si>
  <si>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</si>
  <si>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>PRODUCTO RESUELTO (EJEMPLO)</t>
  </si>
  <si>
    <t>RTF 2022 2015</t>
  </si>
  <si>
    <t>70 LC actualización (68 manuales y 02 ITOP)</t>
  </si>
  <si>
    <t>Registros manual notificaciones (40)</t>
  </si>
  <si>
    <t>RTF 2023</t>
  </si>
  <si>
    <t>130 revisión</t>
  </si>
  <si>
    <t>2266 </t>
  </si>
  <si>
    <t>(Ene-Mar) 2023</t>
  </si>
  <si>
    <t xml:space="preserve">Remisión de documentación física IAPuno (04) </t>
  </si>
  <si>
    <t>Remisión de documentación física IAPaita (11)</t>
  </si>
  <si>
    <t>RESOLUTOR (EJEMPLO)</t>
  </si>
  <si>
    <t>19/18</t>
  </si>
  <si>
    <t>2  </t>
  </si>
  <si>
    <t>PRODUCCIÓN PROMEDIO (EJEMPLO)</t>
  </si>
  <si>
    <t>106/134</t>
  </si>
  <si>
    <t> 0</t>
  </si>
  <si>
    <t>100 </t>
  </si>
  <si>
    <t>PROGRAMACIÓN-ABRIL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</si>
  <si>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</si>
  <si>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</si>
  <si>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</si>
  <si>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</si>
  <si>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</si>
  <si>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</si>
  <si>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</si>
  <si>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</si>
  <si>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</si>
  <si>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</si>
  <si>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</si>
  <si>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</si>
  <si>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</si>
  <si>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</si>
  <si>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</si>
  <si>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</si>
  <si>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</si>
  <si>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</si>
  <si>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</si>
  <si>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</si>
  <si>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</si>
  <si>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</si>
  <si>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</si>
  <si>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</si>
  <si>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</si>
  <si>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</si>
  <si>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</si>
  <si>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>10 Alta</t>
  </si>
  <si>
    <t xml:space="preserve"> 10 Media</t>
  </si>
  <si>
    <t>(*) Incluye inorme de demanda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</si>
  <si>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</si>
  <si>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</si>
  <si>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</si>
  <si>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</si>
  <si>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No</t>
  </si>
  <si>
    <t xml:space="preserve">1 ITOP (registro garantía 160) </t>
  </si>
  <si>
    <t>CM</t>
  </si>
  <si>
    <t xml:space="preserve">No </t>
  </si>
  <si>
    <t>-</t>
  </si>
  <si>
    <t>1 TLC, 2 valores en evaluación</t>
  </si>
  <si>
    <t>1 ALTA, 2 CM</t>
  </si>
  <si>
    <t xml:space="preserve">      Motivo</t>
  </si>
  <si>
    <t>Caso nuevo</t>
  </si>
  <si>
    <t>Consulta al sector competente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</si>
  <si>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</si>
  <si>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</si>
  <si>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</si>
  <si>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</si>
  <si>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</si>
  <si>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</si>
  <si>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</si>
  <si>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</si>
  <si>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</si>
  <si>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</si>
  <si>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</si>
  <si>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</si>
  <si>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</si>
  <si>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</si>
  <si>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</si>
  <si>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</si>
  <si>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</si>
  <si>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</si>
  <si>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</si>
  <si>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</si>
  <si>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</si>
  <si>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</si>
  <si>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</si>
  <si>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</si>
  <si>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</si>
  <si>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</si>
  <si>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</si>
  <si>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</si>
  <si>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</si>
  <si>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</si>
  <si>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</si>
  <si>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</si>
  <si>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</si>
  <si>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</si>
  <si>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</si>
  <si>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</si>
  <si>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</si>
  <si>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</si>
  <si>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</si>
  <si>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</si>
  <si>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</si>
  <si>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</si>
  <si>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</si>
  <si>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</si>
  <si>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</si>
  <si>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</si>
  <si>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</si>
  <si>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</si>
  <si>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</si>
  <si>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</si>
  <si>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</si>
  <si>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</si>
  <si>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</si>
  <si>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</si>
  <si>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</si>
  <si>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</si>
  <si>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</si>
  <si>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</si>
  <si>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</si>
  <si>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</si>
  <si>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</si>
  <si>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</si>
  <si>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</si>
  <si>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</si>
  <si>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</si>
  <si>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</si>
  <si>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</si>
  <si>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</si>
  <si>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</si>
  <si>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</si>
  <si>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</si>
  <si>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</si>
  <si>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</si>
  <si>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</si>
  <si>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</si>
  <si>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</si>
  <si>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</si>
  <si>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</si>
  <si>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</si>
  <si>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</si>
  <si>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</si>
  <si>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</si>
  <si>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</si>
  <si>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</si>
  <si>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</si>
  <si>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</si>
  <si>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</si>
  <si>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</si>
  <si>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</si>
  <si>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</si>
  <si>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</si>
  <si>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</si>
  <si>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</si>
  <si>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</si>
  <si>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</si>
  <si>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</si>
  <si>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</si>
  <si>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</si>
  <si>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</si>
  <si>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</si>
  <si>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</si>
  <si>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</si>
  <si>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Supervisor 1</t>
  </si>
  <si>
    <t>2694</t>
  </si>
  <si>
    <t>Gustavo Bernuy Nuñez</t>
  </si>
  <si>
    <t>4700</t>
  </si>
  <si>
    <t>Carlos Mauro Sampen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</si>
  <si>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</si>
  <si>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</si>
  <si>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</si>
  <si>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</si>
  <si>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</si>
  <si>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</si>
  <si>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</si>
  <si>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</si>
  <si>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REPORTADOS-MARZO 2024</t>
  </si>
  <si>
    <t>DICIEMBRE</t>
  </si>
  <si>
    <t>N° ITOP</t>
  </si>
  <si>
    <t> ASUNTO</t>
  </si>
  <si>
    <t xml:space="preserve"> </t>
  </si>
  <si>
    <t>I-868280
I-833175</t>
  </si>
  <si>
    <t>No generó 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</si>
</sst>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49" fontId="5" fillId="20" borderId="48" xfId="0" applyNumberFormat="1" applyFont="1" applyFill="1" applyBorder="1" applyAlignment="1">
      <alignment vertical="center"/>
    </xf>
    <xf numFmtId="49" fontId="5" fillId="21" borderId="48" xfId="0" applyNumberFormat="1" applyFont="1" applyFill="1" applyBorder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4" fillId="15" borderId="14" xfId="0" applyFont="1" applyFill="1" applyBorder="1" applyAlignment="1">
      <alignment vertical="center" wrapText="1" readingOrder="1"/>
    </xf>
    <xf numFmtId="0" fontId="4" fillId="15" borderId="15" xfId="0" applyFont="1" applyFill="1" applyBorder="1" applyAlignment="1">
      <alignment vertical="center" wrapText="1" readingOrder="1"/>
    </xf>
    <xf numFmtId="0" fontId="4" fillId="15" borderId="16" xfId="0" applyFont="1" applyFill="1" applyBorder="1" applyAlignment="1">
      <alignment vertical="center" wrapText="1" readingOrder="1"/>
    </xf>
    <xf numFmtId="0" fontId="5" fillId="22" borderId="48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top" wrapText="1"/>
    </xf>
    <xf numFmtId="49" fontId="5" fillId="0" borderId="48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 wrapText="1"/>
    </xf>
    <xf numFmtId="1" fontId="4" fillId="9" borderId="22" xfId="0" applyNumberFormat="1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18" borderId="44" xfId="0" applyFont="1" applyFill="1" applyBorder="1" applyAlignment="1">
      <alignment horizontal="center" vertical="center" wrapText="1" readingOrder="1"/>
    </xf>
    <xf numFmtId="0" fontId="4" fillId="18" borderId="44" xfId="0" applyFont="1" applyFill="1" applyBorder="1" applyAlignment="1">
      <alignment horizontal="center" vertical="center" wrapText="1" readingOrder="1"/>
    </xf>
    <xf numFmtId="0" fontId="13" fillId="0" borderId="0" xfId="0" applyFont="1"/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center" vertical="center" wrapText="1" readingOrder="1"/>
    </xf>
    <xf numFmtId="2" fontId="4" fillId="15" borderId="14" xfId="0" applyNumberFormat="1" applyFont="1" applyFill="1" applyBorder="1" applyAlignment="1">
      <alignment horizontal="center" vertical="center" wrapText="1" readingOrder="1"/>
    </xf>
    <xf numFmtId="2" fontId="4" fillId="15" borderId="15" xfId="0" applyNumberFormat="1" applyFont="1" applyFill="1" applyBorder="1" applyAlignment="1">
      <alignment horizontal="center" vertical="center" wrapText="1" readingOrder="1"/>
    </xf>
    <xf numFmtId="2" fontId="4" fillId="15" borderId="16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63"/>
  <sheetViews>
    <sheetView tabSelected="1" zoomScale="89" zoomScaleNormal="89" workbookViewId="0">
      <selection activeCell="B26" sqref="B26"/>
    </sheetView>
  </sheetViews>
  <sheetFormatPr defaultColWidth="10.85546875" defaultRowHeight="14.45"/>
  <cols>
    <col min="1" max="1" width="10.85546875" style="1"/>
    <col min="2" max="2" width="22.28515625" style="39" customWidth="1"/>
    <col min="3" max="3" width="12.85546875" style="39" customWidth="1"/>
    <col min="4" max="4" width="10.85546875" style="39"/>
    <col min="5" max="5" width="17.42578125" style="39" customWidth="1"/>
    <col min="6" max="6" width="10.85546875" style="39"/>
    <col min="7" max="7" width="12.140625" style="39" customWidth="1"/>
    <col min="8" max="8" width="13.28515625" style="39" customWidth="1"/>
    <col min="9" max="16384" width="10.85546875" style="39"/>
  </cols>
  <sheetData>
    <row r="2" spans="1:9">
      <c r="B2" s="168" t="s">
        <v>0</v>
      </c>
      <c r="C2" s="168"/>
      <c r="D2" s="168"/>
      <c r="E2" s="168"/>
      <c r="F2" s="168"/>
      <c r="G2" s="168"/>
      <c r="H2" s="168"/>
      <c r="I2" s="168"/>
    </row>
    <row r="4" spans="1:9" ht="15.6">
      <c r="B4" s="175" t="s">
        <v>1</v>
      </c>
      <c r="C4" s="175"/>
    </row>
    <row r="5" spans="1:9" ht="15" thickBot="1"/>
    <row r="6" spans="1:9" ht="15" thickBot="1">
      <c r="A6" s="1">
        <v>1</v>
      </c>
      <c r="B6" s="160" t="s">
        <v>2</v>
      </c>
      <c r="C6" s="161"/>
    </row>
    <row r="7" spans="1:9" ht="15" thickBot="1">
      <c r="B7" s="41" t="s">
        <v>3</v>
      </c>
      <c r="C7" s="42">
        <v>26</v>
      </c>
    </row>
    <row r="8" spans="1:9" ht="15" thickBot="1">
      <c r="B8" s="43" t="s">
        <v>4</v>
      </c>
      <c r="C8" s="44">
        <v>10</v>
      </c>
    </row>
    <row r="9" spans="1:9" ht="15" thickBot="1">
      <c r="B9" s="45" t="s">
        <v>5</v>
      </c>
      <c r="C9" s="46">
        <f>SUM(C7:C8)</f>
        <v>36</v>
      </c>
    </row>
    <row r="11" spans="1:9" ht="15.6">
      <c r="B11" s="175" t="s">
        <v>6</v>
      </c>
      <c r="C11" s="175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  <c r="C14" s="50"/>
    </row>
    <row r="15" spans="1:9" ht="15" thickBot="1">
      <c r="B15" s="51" t="s">
        <v>10</v>
      </c>
      <c r="C15" s="52"/>
    </row>
    <row r="16" spans="1:9" ht="15" thickBot="1">
      <c r="B16" s="49" t="s">
        <v>11</v>
      </c>
      <c r="C16" s="53"/>
    </row>
    <row r="17" spans="1:11" ht="26.45" thickBot="1">
      <c r="B17" s="47" t="s">
        <v>12</v>
      </c>
      <c r="C17" s="48" t="s">
        <v>8</v>
      </c>
    </row>
    <row r="18" spans="1:11" ht="15" thickBot="1">
      <c r="B18" s="49" t="s">
        <v>9</v>
      </c>
      <c r="C18" s="54"/>
    </row>
    <row r="19" spans="1:11" ht="15" thickBot="1">
      <c r="B19" s="51" t="s">
        <v>10</v>
      </c>
      <c r="C19" s="55"/>
    </row>
    <row r="20" spans="1:11" ht="15" thickBot="1">
      <c r="B20" s="49" t="s">
        <v>11</v>
      </c>
      <c r="C20" s="56"/>
    </row>
    <row r="21" spans="1:11" ht="26.45" thickBot="1">
      <c r="B21" s="47" t="s">
        <v>13</v>
      </c>
      <c r="C21" s="48" t="s">
        <v>8</v>
      </c>
    </row>
    <row r="22" spans="1:11" ht="15" thickBot="1">
      <c r="B22" s="49" t="s">
        <v>9</v>
      </c>
      <c r="C22" s="54">
        <v>21</v>
      </c>
      <c r="D22" s="39" t="s">
        <v>14</v>
      </c>
    </row>
    <row r="23" spans="1:11" ht="15" thickBot="1">
      <c r="B23" s="51" t="s">
        <v>10</v>
      </c>
      <c r="C23" s="55">
        <v>4.8899999999999997</v>
      </c>
    </row>
    <row r="24" spans="1:11" ht="15" thickBot="1">
      <c r="B24" s="49" t="s">
        <v>11</v>
      </c>
      <c r="C24" s="56">
        <f>C22/C23</f>
        <v>4.294478527607362</v>
      </c>
    </row>
    <row r="25" spans="1:11">
      <c r="B25" s="129" t="s">
        <v>15</v>
      </c>
    </row>
    <row r="27" spans="1:11" ht="15.6">
      <c r="B27" s="2" t="s">
        <v>16</v>
      </c>
      <c r="C27" s="115"/>
    </row>
    <row r="28" spans="1:11" ht="15" thickBot="1"/>
    <row r="29" spans="1:11" ht="15" thickBot="1">
      <c r="A29" s="1">
        <v>3</v>
      </c>
      <c r="B29" s="176" t="s">
        <v>17</v>
      </c>
      <c r="C29" s="177"/>
      <c r="D29" s="177"/>
      <c r="E29" s="177"/>
      <c r="F29" s="177"/>
      <c r="G29" s="177"/>
      <c r="H29" s="177"/>
      <c r="I29" s="177"/>
      <c r="J29" s="177"/>
      <c r="K29" s="178"/>
    </row>
    <row r="30" spans="1:11" ht="15" thickBot="1">
      <c r="B30" s="3" t="s">
        <v>18</v>
      </c>
      <c r="C30" s="179" t="s">
        <v>19</v>
      </c>
      <c r="D30" s="180"/>
      <c r="E30" s="181"/>
      <c r="F30" s="182" t="s">
        <v>20</v>
      </c>
      <c r="G30" s="183"/>
      <c r="H30" s="184"/>
      <c r="I30" s="185" t="s">
        <v>21</v>
      </c>
      <c r="J30" s="186"/>
      <c r="K30" s="187"/>
    </row>
    <row r="31" spans="1:11" ht="39.6" thickBot="1">
      <c r="B31" s="3" t="s">
        <v>22</v>
      </c>
      <c r="C31" s="4" t="s">
        <v>3</v>
      </c>
      <c r="D31" s="4" t="s">
        <v>23</v>
      </c>
      <c r="E31" s="4" t="s">
        <v>4</v>
      </c>
      <c r="F31" s="5" t="s">
        <v>3</v>
      </c>
      <c r="G31" s="5" t="s">
        <v>24</v>
      </c>
      <c r="H31" s="5" t="s">
        <v>4</v>
      </c>
      <c r="I31" s="6" t="s">
        <v>3</v>
      </c>
      <c r="J31" s="6" t="s">
        <v>25</v>
      </c>
      <c r="K31" s="7" t="s">
        <v>26</v>
      </c>
    </row>
    <row r="32" spans="1:11" ht="51.95">
      <c r="B32" s="197" t="s">
        <v>27</v>
      </c>
      <c r="C32" s="154">
        <v>188</v>
      </c>
      <c r="D32" s="8" t="s">
        <v>28</v>
      </c>
      <c r="E32" s="154">
        <v>0</v>
      </c>
      <c r="F32" s="157">
        <v>83</v>
      </c>
      <c r="G32" s="9" t="s">
        <v>29</v>
      </c>
      <c r="H32" s="10" t="s">
        <v>30</v>
      </c>
      <c r="I32" s="130"/>
      <c r="J32" s="130"/>
      <c r="K32" s="194"/>
    </row>
    <row r="33" spans="1:11">
      <c r="B33" s="198"/>
      <c r="C33" s="155"/>
      <c r="D33" s="11" t="s">
        <v>31</v>
      </c>
      <c r="E33" s="155"/>
      <c r="F33" s="158"/>
      <c r="G33" s="12" t="s">
        <v>32</v>
      </c>
      <c r="H33" s="13"/>
      <c r="I33" s="131"/>
      <c r="J33" s="131"/>
      <c r="K33" s="195"/>
    </row>
    <row r="34" spans="1:11" ht="51.95">
      <c r="B34" s="198"/>
      <c r="C34" s="155"/>
      <c r="D34" s="11" t="s">
        <v>33</v>
      </c>
      <c r="E34" s="155"/>
      <c r="F34" s="158"/>
      <c r="G34" s="12" t="s">
        <v>34</v>
      </c>
      <c r="H34" s="13" t="s">
        <v>35</v>
      </c>
      <c r="I34" s="131"/>
      <c r="J34" s="131"/>
      <c r="K34" s="195"/>
    </row>
    <row r="35" spans="1:11">
      <c r="B35" s="198"/>
      <c r="C35" s="155"/>
      <c r="D35" s="14"/>
      <c r="E35" s="155"/>
      <c r="F35" s="158"/>
      <c r="G35" s="15"/>
      <c r="H35" s="13"/>
      <c r="I35" s="131"/>
      <c r="J35" s="131"/>
      <c r="K35" s="195"/>
    </row>
    <row r="36" spans="1:11" ht="39.6" thickBot="1">
      <c r="B36" s="199"/>
      <c r="C36" s="156"/>
      <c r="D36" s="16"/>
      <c r="E36" s="156"/>
      <c r="F36" s="159"/>
      <c r="G36" s="17"/>
      <c r="H36" s="18" t="s">
        <v>36</v>
      </c>
      <c r="I36" s="132"/>
      <c r="J36" s="132"/>
      <c r="K36" s="196"/>
    </row>
    <row r="37" spans="1:11" ht="15" thickBot="1">
      <c r="B37" s="3" t="s">
        <v>37</v>
      </c>
      <c r="C37" s="19">
        <v>10</v>
      </c>
      <c r="D37" s="19" t="s">
        <v>38</v>
      </c>
      <c r="E37" s="19">
        <v>0</v>
      </c>
      <c r="F37" s="20">
        <v>8.6</v>
      </c>
      <c r="G37" s="20" t="s">
        <v>39</v>
      </c>
      <c r="H37" s="20">
        <v>2</v>
      </c>
      <c r="I37" s="21"/>
      <c r="J37" s="21"/>
      <c r="K37" s="124"/>
    </row>
    <row r="38" spans="1:11" ht="26.45" thickBot="1">
      <c r="B38" s="22" t="s">
        <v>40</v>
      </c>
      <c r="C38" s="23">
        <v>19.38</v>
      </c>
      <c r="D38" s="23" t="s">
        <v>41</v>
      </c>
      <c r="E38" s="23" t="s">
        <v>42</v>
      </c>
      <c r="F38" s="24">
        <v>9.65</v>
      </c>
      <c r="G38" s="24" t="s">
        <v>43</v>
      </c>
      <c r="H38" s="24">
        <v>10.5</v>
      </c>
      <c r="I38" s="25"/>
      <c r="J38" s="25"/>
      <c r="K38" s="26"/>
    </row>
    <row r="41" spans="1:11" ht="15.6">
      <c r="B41" s="2" t="s">
        <v>44</v>
      </c>
    </row>
    <row r="42" spans="1:11" ht="15" thickBot="1"/>
    <row r="43" spans="1:11" ht="15" thickBot="1">
      <c r="A43" s="1">
        <v>4</v>
      </c>
      <c r="B43" s="57" t="s">
        <v>19</v>
      </c>
      <c r="C43" s="58"/>
    </row>
    <row r="44" spans="1:11" ht="15" thickBot="1">
      <c r="B44" s="59" t="s">
        <v>20</v>
      </c>
      <c r="C44" s="60"/>
    </row>
    <row r="45" spans="1:11" ht="15" thickBot="1">
      <c r="B45" s="61" t="s">
        <v>21</v>
      </c>
      <c r="C45" s="62">
        <v>18</v>
      </c>
    </row>
    <row r="48" spans="1:11" ht="15.6">
      <c r="B48" s="2" t="s">
        <v>45</v>
      </c>
    </row>
    <row r="49" spans="1:6" ht="15" thickBot="1"/>
    <row r="50" spans="1:6" ht="26.45" thickBot="1">
      <c r="A50" s="1">
        <v>5</v>
      </c>
      <c r="B50" s="27" t="s">
        <v>18</v>
      </c>
      <c r="C50" s="27" t="s">
        <v>46</v>
      </c>
      <c r="D50" s="27" t="s">
        <v>47</v>
      </c>
      <c r="E50" s="27" t="s">
        <v>48</v>
      </c>
      <c r="F50" s="27" t="s">
        <v>49</v>
      </c>
    </row>
    <row r="51" spans="1:6" ht="15" thickBot="1">
      <c r="B51" s="27" t="s">
        <v>19</v>
      </c>
      <c r="C51" s="28"/>
      <c r="D51" s="28"/>
      <c r="E51" s="28"/>
      <c r="F51" s="28"/>
    </row>
    <row r="52" spans="1:6" ht="15" thickBot="1">
      <c r="B52" s="27" t="s">
        <v>20</v>
      </c>
      <c r="C52" s="29"/>
      <c r="D52" s="29"/>
      <c r="E52" s="29"/>
      <c r="F52" s="29"/>
    </row>
    <row r="53" spans="1:6" ht="15" thickBot="1">
      <c r="B53" s="27" t="s">
        <v>21</v>
      </c>
      <c r="C53" s="30">
        <v>0</v>
      </c>
      <c r="D53" s="30">
        <v>0</v>
      </c>
      <c r="E53" s="30">
        <v>0</v>
      </c>
      <c r="F53" s="30">
        <v>0</v>
      </c>
    </row>
    <row r="56" spans="1:6" ht="15.6">
      <c r="B56" s="2" t="s">
        <v>50</v>
      </c>
    </row>
    <row r="57" spans="1:6" ht="15" thickBot="1"/>
    <row r="58" spans="1:6" ht="15" thickBot="1">
      <c r="A58" s="1">
        <v>6</v>
      </c>
      <c r="B58" s="160" t="s">
        <v>2</v>
      </c>
      <c r="C58" s="161"/>
    </row>
    <row r="59" spans="1:6" ht="15" thickBot="1">
      <c r="B59" s="63" t="s">
        <v>51</v>
      </c>
      <c r="C59" s="42">
        <v>0</v>
      </c>
    </row>
    <row r="60" spans="1:6" ht="15" thickBot="1">
      <c r="B60" s="64" t="s">
        <v>4</v>
      </c>
      <c r="C60" s="44">
        <v>0</v>
      </c>
    </row>
    <row r="61" spans="1:6" ht="15" thickBot="1">
      <c r="B61" s="65" t="s">
        <v>52</v>
      </c>
      <c r="C61" s="46">
        <v>1</v>
      </c>
    </row>
    <row r="63" spans="1:6" ht="15.6">
      <c r="B63" s="2" t="s">
        <v>53</v>
      </c>
    </row>
    <row r="64" spans="1:6" ht="15" thickBot="1"/>
    <row r="65" spans="1:7" ht="26.45" thickBot="1">
      <c r="A65" s="1">
        <v>7</v>
      </c>
      <c r="B65" s="66" t="s">
        <v>54</v>
      </c>
      <c r="C65" s="67" t="s">
        <v>55</v>
      </c>
      <c r="D65" s="67" t="s">
        <v>56</v>
      </c>
      <c r="E65" s="67" t="s">
        <v>57</v>
      </c>
      <c r="F65" s="67" t="s">
        <v>58</v>
      </c>
      <c r="G65" s="68" t="s">
        <v>59</v>
      </c>
    </row>
    <row r="66" spans="1:7" ht="26.45" thickBot="1">
      <c r="B66" s="69" t="s">
        <v>60</v>
      </c>
      <c r="C66" s="70" t="s">
        <v>61</v>
      </c>
      <c r="D66" s="71"/>
      <c r="E66" s="71"/>
      <c r="F66" s="71"/>
      <c r="G66" s="71"/>
    </row>
    <row r="67" spans="1:7" ht="15" thickBot="1">
      <c r="B67" s="69" t="s">
        <v>62</v>
      </c>
      <c r="C67" s="72" t="s">
        <v>63</v>
      </c>
      <c r="D67" s="73"/>
      <c r="E67" s="73"/>
      <c r="F67" s="73"/>
      <c r="G67" s="73"/>
    </row>
    <row r="68" spans="1:7" ht="26.45" thickBot="1">
      <c r="B68" s="69" t="s">
        <v>64</v>
      </c>
      <c r="C68" s="70" t="s">
        <v>65</v>
      </c>
      <c r="D68" s="71"/>
      <c r="E68" s="71"/>
      <c r="F68" s="71"/>
      <c r="G68" s="71"/>
    </row>
    <row r="69" spans="1:7" ht="15" thickBot="1"/>
    <row r="70" spans="1:7" ht="26.45" thickBot="1">
      <c r="A70" s="1">
        <v>8</v>
      </c>
      <c r="B70" s="74" t="s">
        <v>54</v>
      </c>
      <c r="C70" s="75" t="s">
        <v>55</v>
      </c>
      <c r="D70" s="75" t="s">
        <v>56</v>
      </c>
      <c r="E70" s="75" t="s">
        <v>57</v>
      </c>
      <c r="F70" s="74" t="s">
        <v>58</v>
      </c>
      <c r="G70" s="75" t="s">
        <v>59</v>
      </c>
    </row>
    <row r="71" spans="1:7" ht="27" thickTop="1" thickBot="1">
      <c r="B71" s="76" t="s">
        <v>66</v>
      </c>
      <c r="C71" s="77" t="s">
        <v>67</v>
      </c>
      <c r="D71" s="78"/>
      <c r="E71" s="78"/>
      <c r="F71" s="78"/>
      <c r="G71" s="78"/>
    </row>
    <row r="72" spans="1:7" ht="32.1" customHeight="1">
      <c r="B72" s="162" t="s">
        <v>68</v>
      </c>
      <c r="C72" s="164" t="s">
        <v>69</v>
      </c>
      <c r="D72" s="166"/>
      <c r="E72" s="166"/>
      <c r="F72" s="79"/>
      <c r="G72" s="166"/>
    </row>
    <row r="73" spans="1:7" ht="15" thickBot="1">
      <c r="B73" s="163"/>
      <c r="C73" s="165"/>
      <c r="D73" s="167"/>
      <c r="E73" s="167"/>
      <c r="F73" s="80"/>
      <c r="G73" s="167"/>
    </row>
    <row r="74" spans="1:7" ht="15" thickBot="1"/>
    <row r="75" spans="1:7" ht="26.45" thickBot="1">
      <c r="A75" s="1">
        <v>9</v>
      </c>
      <c r="B75" s="81" t="s">
        <v>54</v>
      </c>
      <c r="C75" s="82" t="s">
        <v>55</v>
      </c>
      <c r="D75" s="82" t="s">
        <v>56</v>
      </c>
      <c r="E75" s="82" t="s">
        <v>57</v>
      </c>
      <c r="F75" s="83" t="s">
        <v>58</v>
      </c>
      <c r="G75" s="84" t="s">
        <v>59</v>
      </c>
    </row>
    <row r="76" spans="1:7">
      <c r="B76" s="188" t="s">
        <v>70</v>
      </c>
      <c r="C76" s="191" t="s">
        <v>71</v>
      </c>
      <c r="D76" s="169">
        <v>21</v>
      </c>
      <c r="E76" s="169">
        <v>4.8899999999999997</v>
      </c>
      <c r="F76" s="116" t="s">
        <v>72</v>
      </c>
      <c r="G76" s="172">
        <f>D76/E76</f>
        <v>4.294478527607362</v>
      </c>
    </row>
    <row r="77" spans="1:7">
      <c r="B77" s="189"/>
      <c r="C77" s="192"/>
      <c r="D77" s="170"/>
      <c r="E77" s="170"/>
      <c r="F77" s="117" t="s">
        <v>73</v>
      </c>
      <c r="G77" s="173"/>
    </row>
    <row r="78" spans="1:7">
      <c r="B78" s="189"/>
      <c r="C78" s="192"/>
      <c r="D78" s="170"/>
      <c r="E78" s="170"/>
      <c r="F78" s="117"/>
      <c r="G78" s="173"/>
    </row>
    <row r="79" spans="1:7" ht="15" thickBot="1">
      <c r="B79" s="190"/>
      <c r="C79" s="193"/>
      <c r="D79" s="171"/>
      <c r="E79" s="171"/>
      <c r="F79" s="118"/>
      <c r="G79" s="174"/>
    </row>
    <row r="80" spans="1:7">
      <c r="B80" s="39" t="s">
        <v>74</v>
      </c>
    </row>
    <row r="81" spans="1:8" ht="15.6">
      <c r="B81" s="2" t="s">
        <v>75</v>
      </c>
    </row>
    <row r="82" spans="1:8" ht="15" thickBot="1"/>
    <row r="83" spans="1:8" ht="26.45" thickBot="1">
      <c r="A83" s="1">
        <v>10</v>
      </c>
      <c r="B83" s="66" t="s">
        <v>54</v>
      </c>
      <c r="C83" s="67" t="s">
        <v>55</v>
      </c>
      <c r="D83" s="67" t="s">
        <v>76</v>
      </c>
      <c r="E83" s="67" t="s">
        <v>77</v>
      </c>
      <c r="F83" s="67" t="s">
        <v>78</v>
      </c>
      <c r="G83" s="68" t="s">
        <v>58</v>
      </c>
    </row>
    <row r="84" spans="1:8" ht="39.6" thickBot="1">
      <c r="B84" s="69" t="s">
        <v>60</v>
      </c>
      <c r="C84" s="70" t="s">
        <v>61</v>
      </c>
      <c r="D84" s="71">
        <v>1</v>
      </c>
      <c r="E84" s="71" t="s">
        <v>79</v>
      </c>
      <c r="F84" s="71" t="s">
        <v>80</v>
      </c>
      <c r="G84" s="71" t="s">
        <v>81</v>
      </c>
    </row>
    <row r="85" spans="1:8" ht="15" thickBot="1">
      <c r="B85" s="69" t="s">
        <v>62</v>
      </c>
      <c r="C85" s="72" t="s">
        <v>63</v>
      </c>
      <c r="D85" s="73">
        <v>0</v>
      </c>
      <c r="E85" s="73" t="s">
        <v>82</v>
      </c>
      <c r="F85" s="73" t="s">
        <v>83</v>
      </c>
      <c r="G85" s="73" t="s">
        <v>83</v>
      </c>
    </row>
    <row r="86" spans="1:8" ht="39.6" thickBot="1">
      <c r="B86" s="69" t="s">
        <v>64</v>
      </c>
      <c r="C86" s="70" t="s">
        <v>65</v>
      </c>
      <c r="D86" s="71">
        <v>3</v>
      </c>
      <c r="E86" s="71" t="s">
        <v>82</v>
      </c>
      <c r="F86" s="71" t="s">
        <v>84</v>
      </c>
      <c r="G86" s="71" t="s">
        <v>85</v>
      </c>
    </row>
    <row r="87" spans="1:8" ht="15" thickBot="1"/>
    <row r="88" spans="1:8" ht="26.45" thickBot="1">
      <c r="A88" s="1">
        <v>11</v>
      </c>
      <c r="B88" s="85" t="s">
        <v>54</v>
      </c>
      <c r="C88" s="86" t="s">
        <v>55</v>
      </c>
      <c r="D88" s="86" t="s">
        <v>76</v>
      </c>
      <c r="E88" s="86" t="s">
        <v>77</v>
      </c>
      <c r="F88" s="86" t="s">
        <v>86</v>
      </c>
      <c r="G88" s="87" t="s">
        <v>58</v>
      </c>
    </row>
    <row r="89" spans="1:8" ht="26.45" thickBot="1">
      <c r="B89" s="88" t="s">
        <v>66</v>
      </c>
      <c r="C89" s="89" t="s">
        <v>67</v>
      </c>
      <c r="D89" s="90">
        <v>1</v>
      </c>
      <c r="E89" s="90" t="s">
        <v>82</v>
      </c>
      <c r="F89" s="90" t="s">
        <v>87</v>
      </c>
      <c r="G89" s="90" t="s">
        <v>81</v>
      </c>
    </row>
    <row r="90" spans="1:8" ht="39.6" thickBot="1">
      <c r="B90" s="88" t="s">
        <v>68</v>
      </c>
      <c r="C90" s="91" t="s">
        <v>69</v>
      </c>
      <c r="D90" s="92">
        <v>1</v>
      </c>
      <c r="E90" s="92" t="s">
        <v>82</v>
      </c>
      <c r="F90" s="92" t="s">
        <v>88</v>
      </c>
      <c r="G90" s="92" t="s">
        <v>81</v>
      </c>
    </row>
    <row r="91" spans="1:8" ht="15" thickBot="1"/>
    <row r="92" spans="1:8" ht="26.45" thickBot="1">
      <c r="A92" s="1">
        <v>12</v>
      </c>
      <c r="B92" s="93" t="s">
        <v>54</v>
      </c>
      <c r="C92" s="83" t="s">
        <v>55</v>
      </c>
      <c r="D92" s="83" t="s">
        <v>76</v>
      </c>
      <c r="E92" s="83" t="s">
        <v>77</v>
      </c>
      <c r="F92" s="83" t="s">
        <v>89</v>
      </c>
      <c r="G92" s="94" t="s">
        <v>58</v>
      </c>
    </row>
    <row r="93" spans="1:8" ht="30" customHeight="1" thickBot="1">
      <c r="B93" s="95" t="s">
        <v>70</v>
      </c>
      <c r="C93" s="96" t="s">
        <v>71</v>
      </c>
      <c r="D93" s="96">
        <v>0</v>
      </c>
      <c r="E93" s="96" t="s">
        <v>82</v>
      </c>
      <c r="F93" s="125">
        <v>0</v>
      </c>
      <c r="G93" s="125" t="s">
        <v>83</v>
      </c>
    </row>
    <row r="96" spans="1:8">
      <c r="B96" s="139" t="s">
        <v>90</v>
      </c>
      <c r="C96" s="139"/>
      <c r="D96" s="139"/>
      <c r="E96" s="139"/>
      <c r="F96" s="139"/>
      <c r="G96" s="139"/>
      <c r="H96" s="139"/>
    </row>
    <row r="97" spans="1:8" ht="15.6">
      <c r="B97" s="140" t="s">
        <v>91</v>
      </c>
      <c r="C97" s="140"/>
      <c r="D97" s="140"/>
      <c r="E97" s="140"/>
      <c r="F97" s="140"/>
      <c r="G97" s="140"/>
      <c r="H97" s="140"/>
    </row>
    <row r="98" spans="1:8" ht="15" thickBot="1">
      <c r="A98" s="1">
        <v>12</v>
      </c>
      <c r="B98" s="97" t="s">
        <v>18</v>
      </c>
      <c r="C98" s="98" t="s">
        <v>92</v>
      </c>
      <c r="D98" s="98" t="s">
        <v>93</v>
      </c>
      <c r="E98" s="98" t="s">
        <v>94</v>
      </c>
      <c r="F98" s="98" t="s">
        <v>95</v>
      </c>
      <c r="G98" s="99" t="s">
        <v>96</v>
      </c>
    </row>
    <row r="99" spans="1:8">
      <c r="B99" s="141" t="s">
        <v>97</v>
      </c>
      <c r="C99" s="100" t="s">
        <v>60</v>
      </c>
      <c r="D99" s="101" t="s">
        <v>98</v>
      </c>
      <c r="E99" s="31" t="s">
        <v>99</v>
      </c>
      <c r="F99" s="32" t="s">
        <v>100</v>
      </c>
      <c r="G99" s="33"/>
    </row>
    <row r="100" spans="1:8">
      <c r="B100" s="142"/>
      <c r="C100" s="102" t="s">
        <v>60</v>
      </c>
      <c r="D100" s="103" t="s">
        <v>101</v>
      </c>
      <c r="E100" s="34" t="s">
        <v>102</v>
      </c>
      <c r="F100" s="35" t="s">
        <v>103</v>
      </c>
      <c r="G100" s="36"/>
    </row>
    <row r="101" spans="1:8">
      <c r="B101" s="142"/>
      <c r="C101" s="102" t="s">
        <v>60</v>
      </c>
      <c r="D101" s="103" t="s">
        <v>104</v>
      </c>
      <c r="E101" s="34" t="s">
        <v>105</v>
      </c>
      <c r="F101" s="35" t="s">
        <v>106</v>
      </c>
      <c r="G101" s="36"/>
    </row>
    <row r="102" spans="1:8">
      <c r="B102" s="142"/>
      <c r="C102" s="102" t="s">
        <v>60</v>
      </c>
      <c r="D102" s="103" t="s">
        <v>107</v>
      </c>
      <c r="E102" s="34" t="s">
        <v>108</v>
      </c>
      <c r="F102" s="35" t="s">
        <v>106</v>
      </c>
      <c r="G102" s="36"/>
    </row>
    <row r="103" spans="1:8">
      <c r="B103" s="142"/>
      <c r="C103" s="102" t="s">
        <v>60</v>
      </c>
      <c r="D103" s="103" t="s">
        <v>109</v>
      </c>
      <c r="E103" s="34" t="s">
        <v>110</v>
      </c>
      <c r="F103" s="35" t="s">
        <v>111</v>
      </c>
      <c r="G103" s="36"/>
    </row>
    <row r="104" spans="1:8">
      <c r="B104" s="142"/>
      <c r="C104" s="102" t="s">
        <v>60</v>
      </c>
      <c r="D104" s="103" t="s">
        <v>112</v>
      </c>
      <c r="E104" s="34" t="s">
        <v>113</v>
      </c>
      <c r="F104" s="35" t="s">
        <v>106</v>
      </c>
      <c r="G104" s="36"/>
    </row>
    <row r="105" spans="1:8">
      <c r="B105" s="142"/>
      <c r="C105" s="102" t="s">
        <v>60</v>
      </c>
      <c r="D105" s="103" t="s">
        <v>114</v>
      </c>
      <c r="E105" s="34" t="s">
        <v>115</v>
      </c>
      <c r="F105" s="35" t="s">
        <v>111</v>
      </c>
      <c r="G105" s="36"/>
    </row>
    <row r="106" spans="1:8">
      <c r="B106" s="142"/>
      <c r="C106" s="102" t="s">
        <v>60</v>
      </c>
      <c r="D106" s="103" t="s">
        <v>116</v>
      </c>
      <c r="E106" s="34" t="s">
        <v>117</v>
      </c>
      <c r="F106" s="35" t="s">
        <v>106</v>
      </c>
      <c r="G106" s="36"/>
    </row>
    <row r="107" spans="1:8">
      <c r="B107" s="142"/>
      <c r="C107" s="102" t="s">
        <v>60</v>
      </c>
      <c r="D107" s="104" t="s">
        <v>118</v>
      </c>
      <c r="E107" s="37" t="s">
        <v>119</v>
      </c>
      <c r="F107" s="35" t="s">
        <v>120</v>
      </c>
      <c r="G107" s="36"/>
    </row>
    <row r="108" spans="1:8">
      <c r="B108" s="142"/>
      <c r="C108" s="100" t="s">
        <v>62</v>
      </c>
      <c r="D108" s="101" t="s">
        <v>121</v>
      </c>
      <c r="E108" s="31" t="s">
        <v>122</v>
      </c>
      <c r="F108" s="32" t="s">
        <v>100</v>
      </c>
      <c r="G108" s="33"/>
    </row>
    <row r="109" spans="1:8">
      <c r="B109" s="142"/>
      <c r="C109" s="102" t="s">
        <v>62</v>
      </c>
      <c r="D109" s="103" t="s">
        <v>123</v>
      </c>
      <c r="E109" s="34" t="s">
        <v>124</v>
      </c>
      <c r="F109" s="35" t="s">
        <v>120</v>
      </c>
      <c r="G109" s="36"/>
    </row>
    <row r="110" spans="1:8">
      <c r="B110" s="142"/>
      <c r="C110" s="102" t="s">
        <v>62</v>
      </c>
      <c r="D110" s="103" t="s">
        <v>125</v>
      </c>
      <c r="E110" s="34" t="s">
        <v>126</v>
      </c>
      <c r="F110" s="35" t="s">
        <v>103</v>
      </c>
      <c r="G110" s="36"/>
    </row>
    <row r="111" spans="1:8">
      <c r="B111" s="142"/>
      <c r="C111" s="102" t="s">
        <v>62</v>
      </c>
      <c r="D111" s="104" t="s">
        <v>127</v>
      </c>
      <c r="E111" s="37" t="s">
        <v>128</v>
      </c>
      <c r="F111" s="35" t="s">
        <v>103</v>
      </c>
      <c r="G111" s="36"/>
    </row>
    <row r="112" spans="1:8">
      <c r="B112" s="142"/>
      <c r="C112" s="102" t="s">
        <v>62</v>
      </c>
      <c r="D112" s="104" t="s">
        <v>129</v>
      </c>
      <c r="E112" s="37" t="s">
        <v>130</v>
      </c>
      <c r="F112" s="35" t="s">
        <v>131</v>
      </c>
      <c r="G112" s="36"/>
    </row>
    <row r="113" spans="2:7">
      <c r="B113" s="142"/>
      <c r="C113" s="102" t="s">
        <v>62</v>
      </c>
      <c r="D113" s="103" t="s">
        <v>132</v>
      </c>
      <c r="E113" s="34" t="s">
        <v>133</v>
      </c>
      <c r="F113" s="35" t="s">
        <v>103</v>
      </c>
      <c r="G113" s="36"/>
    </row>
    <row r="114" spans="2:7">
      <c r="B114" s="142"/>
      <c r="C114" s="102" t="s">
        <v>62</v>
      </c>
      <c r="D114" s="103" t="s">
        <v>134</v>
      </c>
      <c r="E114" s="38" t="s">
        <v>135</v>
      </c>
      <c r="F114" s="35" t="s">
        <v>111</v>
      </c>
      <c r="G114" s="36"/>
    </row>
    <row r="115" spans="2:7">
      <c r="B115" s="142"/>
      <c r="C115" s="100" t="s">
        <v>64</v>
      </c>
      <c r="D115" s="101" t="s">
        <v>136</v>
      </c>
      <c r="E115" s="31" t="s">
        <v>137</v>
      </c>
      <c r="F115" s="32" t="s">
        <v>138</v>
      </c>
      <c r="G115" s="33"/>
    </row>
    <row r="116" spans="2:7">
      <c r="B116" s="142"/>
      <c r="C116" s="102" t="s">
        <v>64</v>
      </c>
      <c r="D116" s="103" t="s">
        <v>139</v>
      </c>
      <c r="E116" s="34" t="s">
        <v>140</v>
      </c>
      <c r="F116" s="35" t="s">
        <v>111</v>
      </c>
      <c r="G116" s="36"/>
    </row>
    <row r="117" spans="2:7">
      <c r="B117" s="142"/>
      <c r="C117" s="102" t="s">
        <v>64</v>
      </c>
      <c r="D117" s="103" t="s">
        <v>141</v>
      </c>
      <c r="E117" s="34" t="s">
        <v>142</v>
      </c>
      <c r="F117" s="35" t="s">
        <v>120</v>
      </c>
      <c r="G117" s="36"/>
    </row>
    <row r="118" spans="2:7">
      <c r="B118" s="142"/>
      <c r="C118" s="102" t="s">
        <v>64</v>
      </c>
      <c r="D118" s="103" t="s">
        <v>143</v>
      </c>
      <c r="E118" s="34" t="s">
        <v>144</v>
      </c>
      <c r="F118" s="35" t="s">
        <v>120</v>
      </c>
      <c r="G118" s="36"/>
    </row>
    <row r="119" spans="2:7">
      <c r="B119" s="142"/>
      <c r="C119" s="102" t="s">
        <v>64</v>
      </c>
      <c r="D119" s="103" t="s">
        <v>145</v>
      </c>
      <c r="E119" s="34" t="s">
        <v>146</v>
      </c>
      <c r="F119" s="35" t="s">
        <v>103</v>
      </c>
      <c r="G119" s="36"/>
    </row>
    <row r="120" spans="2:7">
      <c r="B120" s="142"/>
      <c r="C120" s="102" t="s">
        <v>64</v>
      </c>
      <c r="D120" s="105" t="s">
        <v>147</v>
      </c>
      <c r="E120" s="37" t="s">
        <v>148</v>
      </c>
      <c r="F120" s="35" t="s">
        <v>111</v>
      </c>
      <c r="G120" s="36"/>
    </row>
    <row r="121" spans="2:7">
      <c r="B121" s="142"/>
      <c r="C121" s="102" t="s">
        <v>64</v>
      </c>
      <c r="D121" s="105" t="s">
        <v>149</v>
      </c>
      <c r="E121" s="37" t="s">
        <v>150</v>
      </c>
      <c r="F121" s="35" t="s">
        <v>111</v>
      </c>
      <c r="G121" s="36"/>
    </row>
    <row r="122" spans="2:7">
      <c r="B122" s="142"/>
      <c r="C122" s="102" t="s">
        <v>64</v>
      </c>
      <c r="D122" s="103" t="s">
        <v>151</v>
      </c>
      <c r="E122" s="34" t="s">
        <v>152</v>
      </c>
      <c r="F122" s="35" t="s">
        <v>111</v>
      </c>
      <c r="G122" s="36"/>
    </row>
    <row r="123" spans="2:7" ht="15" thickBot="1">
      <c r="B123" s="143"/>
      <c r="C123" s="102" t="s">
        <v>64</v>
      </c>
      <c r="D123" s="105" t="s">
        <v>153</v>
      </c>
      <c r="E123" s="37" t="s">
        <v>154</v>
      </c>
      <c r="F123" s="35" t="s">
        <v>106</v>
      </c>
      <c r="G123" s="36"/>
    </row>
    <row r="124" spans="2:7">
      <c r="B124" s="141" t="s">
        <v>155</v>
      </c>
      <c r="C124" s="100" t="s">
        <v>156</v>
      </c>
      <c r="D124" s="101" t="s">
        <v>157</v>
      </c>
      <c r="E124" s="31" t="s">
        <v>158</v>
      </c>
      <c r="F124" s="32" t="s">
        <v>100</v>
      </c>
      <c r="G124" s="33"/>
    </row>
    <row r="125" spans="2:7">
      <c r="B125" s="142"/>
      <c r="C125" s="106" t="s">
        <v>66</v>
      </c>
      <c r="D125" s="104" t="s">
        <v>159</v>
      </c>
      <c r="E125" s="34" t="s">
        <v>160</v>
      </c>
      <c r="F125" s="35" t="s">
        <v>120</v>
      </c>
      <c r="G125" s="36"/>
    </row>
    <row r="126" spans="2:7">
      <c r="B126" s="142"/>
      <c r="C126" s="106" t="s">
        <v>66</v>
      </c>
      <c r="D126" s="104" t="s">
        <v>118</v>
      </c>
      <c r="E126" s="34" t="s">
        <v>161</v>
      </c>
      <c r="F126" s="35" t="s">
        <v>120</v>
      </c>
      <c r="G126" s="36"/>
    </row>
    <row r="127" spans="2:7">
      <c r="B127" s="142"/>
      <c r="C127" s="106" t="s">
        <v>66</v>
      </c>
      <c r="D127" s="104" t="s">
        <v>162</v>
      </c>
      <c r="E127" s="34" t="s">
        <v>163</v>
      </c>
      <c r="F127" s="35" t="s">
        <v>120</v>
      </c>
      <c r="G127" s="36"/>
    </row>
    <row r="128" spans="2:7">
      <c r="B128" s="142"/>
      <c r="C128" s="106" t="s">
        <v>66</v>
      </c>
      <c r="D128" s="104" t="s">
        <v>164</v>
      </c>
      <c r="E128" s="34" t="s">
        <v>165</v>
      </c>
      <c r="F128" s="35" t="s">
        <v>166</v>
      </c>
      <c r="G128" s="36"/>
    </row>
    <row r="129" spans="2:7">
      <c r="B129" s="142"/>
      <c r="C129" s="106" t="s">
        <v>66</v>
      </c>
      <c r="D129" s="104" t="s">
        <v>167</v>
      </c>
      <c r="E129" s="34" t="s">
        <v>168</v>
      </c>
      <c r="F129" s="35" t="s">
        <v>111</v>
      </c>
      <c r="G129" s="36"/>
    </row>
    <row r="130" spans="2:7">
      <c r="B130" s="142"/>
      <c r="C130" s="106" t="s">
        <v>66</v>
      </c>
      <c r="D130" s="104" t="s">
        <v>169</v>
      </c>
      <c r="E130" s="34" t="s">
        <v>170</v>
      </c>
      <c r="F130" s="35" t="s">
        <v>111</v>
      </c>
      <c r="G130" s="36"/>
    </row>
    <row r="131" spans="2:7">
      <c r="B131" s="142"/>
      <c r="C131" s="106" t="s">
        <v>66</v>
      </c>
      <c r="D131" s="104" t="s">
        <v>171</v>
      </c>
      <c r="E131" s="34" t="s">
        <v>172</v>
      </c>
      <c r="F131" s="35" t="s">
        <v>120</v>
      </c>
      <c r="G131" s="36"/>
    </row>
    <row r="132" spans="2:7">
      <c r="B132" s="142"/>
      <c r="C132" s="100" t="s">
        <v>68</v>
      </c>
      <c r="D132" s="101" t="s">
        <v>173</v>
      </c>
      <c r="E132" s="31" t="s">
        <v>174</v>
      </c>
      <c r="F132" s="32" t="s">
        <v>100</v>
      </c>
      <c r="G132" s="33"/>
    </row>
    <row r="133" spans="2:7">
      <c r="B133" s="142"/>
      <c r="C133" s="106" t="s">
        <v>68</v>
      </c>
      <c r="D133" s="104" t="s">
        <v>175</v>
      </c>
      <c r="E133" s="34" t="s">
        <v>176</v>
      </c>
      <c r="F133" s="35" t="s">
        <v>103</v>
      </c>
      <c r="G133" s="36"/>
    </row>
    <row r="134" spans="2:7">
      <c r="B134" s="142"/>
      <c r="C134" s="106" t="s">
        <v>68</v>
      </c>
      <c r="D134" s="104" t="s">
        <v>177</v>
      </c>
      <c r="E134" s="34" t="s">
        <v>178</v>
      </c>
      <c r="F134" s="35" t="s">
        <v>120</v>
      </c>
      <c r="G134" s="36"/>
    </row>
    <row r="135" spans="2:7">
      <c r="B135" s="142"/>
      <c r="C135" s="106" t="s">
        <v>68</v>
      </c>
      <c r="D135" s="104" t="s">
        <v>179</v>
      </c>
      <c r="E135" s="34" t="s">
        <v>180</v>
      </c>
      <c r="F135" s="35" t="s">
        <v>166</v>
      </c>
      <c r="G135" s="36"/>
    </row>
    <row r="136" spans="2:7">
      <c r="B136" s="142"/>
      <c r="C136" s="106" t="s">
        <v>68</v>
      </c>
      <c r="D136" s="104" t="s">
        <v>181</v>
      </c>
      <c r="E136" s="34" t="s">
        <v>182</v>
      </c>
      <c r="F136" s="35" t="s">
        <v>120</v>
      </c>
      <c r="G136" s="36"/>
    </row>
    <row r="137" spans="2:7">
      <c r="B137" s="142"/>
      <c r="C137" s="106" t="s">
        <v>68</v>
      </c>
      <c r="D137" s="104" t="s">
        <v>183</v>
      </c>
      <c r="E137" s="34" t="s">
        <v>184</v>
      </c>
      <c r="F137" s="35" t="s">
        <v>106</v>
      </c>
      <c r="G137" s="36"/>
    </row>
    <row r="138" spans="2:7" ht="15" thickBot="1">
      <c r="B138" s="143"/>
      <c r="C138" s="106" t="s">
        <v>68</v>
      </c>
      <c r="D138" s="104" t="s">
        <v>185</v>
      </c>
      <c r="E138" s="34" t="s">
        <v>186</v>
      </c>
      <c r="F138" s="35" t="s">
        <v>166</v>
      </c>
      <c r="G138" s="36"/>
    </row>
    <row r="139" spans="2:7" ht="14.45" customHeight="1">
      <c r="B139" s="141" t="s">
        <v>187</v>
      </c>
      <c r="C139" s="100" t="s">
        <v>188</v>
      </c>
      <c r="D139" s="101" t="s">
        <v>189</v>
      </c>
      <c r="E139" s="31" t="s">
        <v>190</v>
      </c>
      <c r="F139" s="32" t="s">
        <v>191</v>
      </c>
      <c r="G139" s="119"/>
    </row>
    <row r="140" spans="2:7">
      <c r="B140" s="142"/>
      <c r="C140" s="122" t="s">
        <v>70</v>
      </c>
      <c r="D140" s="105" t="s">
        <v>192</v>
      </c>
      <c r="E140" s="121" t="s">
        <v>193</v>
      </c>
      <c r="F140" s="121" t="s">
        <v>106</v>
      </c>
      <c r="G140" s="36">
        <v>4</v>
      </c>
    </row>
    <row r="141" spans="2:7">
      <c r="B141" s="142"/>
      <c r="C141" s="122" t="s">
        <v>70</v>
      </c>
      <c r="D141" s="105" t="s">
        <v>194</v>
      </c>
      <c r="E141" s="121" t="s">
        <v>195</v>
      </c>
      <c r="F141" s="121" t="s">
        <v>103</v>
      </c>
      <c r="G141" s="36">
        <v>5</v>
      </c>
    </row>
    <row r="142" spans="2:7">
      <c r="B142" s="142"/>
      <c r="C142" s="122" t="s">
        <v>70</v>
      </c>
      <c r="D142" s="105" t="s">
        <v>196</v>
      </c>
      <c r="E142" s="121" t="s">
        <v>197</v>
      </c>
      <c r="F142" s="121" t="s">
        <v>103</v>
      </c>
      <c r="G142" s="36">
        <v>6</v>
      </c>
    </row>
    <row r="143" spans="2:7">
      <c r="B143" s="142"/>
      <c r="C143" s="122" t="s">
        <v>70</v>
      </c>
      <c r="D143" s="105" t="s">
        <v>198</v>
      </c>
      <c r="E143" s="121" t="s">
        <v>199</v>
      </c>
      <c r="F143" s="121" t="s">
        <v>111</v>
      </c>
      <c r="G143" s="36">
        <v>3</v>
      </c>
    </row>
    <row r="144" spans="2:7">
      <c r="B144" s="142"/>
      <c r="C144" s="122" t="s">
        <v>70</v>
      </c>
      <c r="D144" s="105" t="s">
        <v>200</v>
      </c>
      <c r="E144" s="35" t="s">
        <v>201</v>
      </c>
      <c r="F144" s="121" t="s">
        <v>106</v>
      </c>
      <c r="G144" s="36">
        <v>1</v>
      </c>
    </row>
    <row r="145" spans="1:9" ht="26.1">
      <c r="B145" s="142"/>
      <c r="C145" s="122" t="s">
        <v>70</v>
      </c>
      <c r="D145" s="105" t="s">
        <v>202</v>
      </c>
      <c r="E145" s="123" t="s">
        <v>203</v>
      </c>
      <c r="F145" s="121" t="s">
        <v>103</v>
      </c>
      <c r="G145" s="36">
        <v>2</v>
      </c>
    </row>
    <row r="146" spans="1:9">
      <c r="B146" s="120"/>
      <c r="C146" s="120"/>
      <c r="D146" s="120"/>
      <c r="E146" s="120"/>
      <c r="F146" s="120"/>
      <c r="G146" s="126">
        <f>SUM(G140:G145)</f>
        <v>21</v>
      </c>
      <c r="H146" s="120"/>
      <c r="I146" s="120"/>
    </row>
    <row r="147" spans="1:9" ht="15.6">
      <c r="B147" s="2" t="s">
        <v>204</v>
      </c>
    </row>
    <row r="149" spans="1:9">
      <c r="A149" s="1">
        <v>14</v>
      </c>
      <c r="B149" s="107"/>
      <c r="C149" s="153" t="s">
        <v>205</v>
      </c>
      <c r="D149" s="153"/>
    </row>
    <row r="150" spans="1:9">
      <c r="B150" s="108"/>
      <c r="C150" s="109" t="s">
        <v>206</v>
      </c>
      <c r="D150" s="109" t="s">
        <v>207</v>
      </c>
    </row>
    <row r="151" spans="1:9">
      <c r="B151" s="144" t="s">
        <v>19</v>
      </c>
      <c r="C151" s="147"/>
      <c r="D151" s="110"/>
    </row>
    <row r="152" spans="1:9">
      <c r="B152" s="145"/>
      <c r="C152" s="148"/>
      <c r="D152" s="111"/>
    </row>
    <row r="153" spans="1:9">
      <c r="B153" s="145"/>
      <c r="C153" s="148"/>
      <c r="D153" s="111"/>
    </row>
    <row r="154" spans="1:9">
      <c r="B154" s="145"/>
      <c r="C154" s="148"/>
      <c r="D154" s="111"/>
    </row>
    <row r="155" spans="1:9">
      <c r="B155" s="146"/>
      <c r="C155" s="149"/>
      <c r="D155" s="112" t="s">
        <v>208</v>
      </c>
    </row>
    <row r="156" spans="1:9">
      <c r="B156" s="150" t="s">
        <v>20</v>
      </c>
      <c r="C156" s="133"/>
      <c r="D156" s="136"/>
    </row>
    <row r="157" spans="1:9">
      <c r="B157" s="151"/>
      <c r="C157" s="134"/>
      <c r="D157" s="137"/>
    </row>
    <row r="158" spans="1:9">
      <c r="B158" s="151"/>
      <c r="C158" s="134"/>
      <c r="D158" s="137"/>
    </row>
    <row r="159" spans="1:9">
      <c r="B159" s="151"/>
      <c r="C159" s="134"/>
      <c r="D159" s="137"/>
    </row>
    <row r="160" spans="1:9">
      <c r="B160" s="151"/>
      <c r="C160" s="134"/>
      <c r="D160" s="137"/>
    </row>
    <row r="161" spans="2:4" ht="15" thickBot="1">
      <c r="B161" s="152"/>
      <c r="C161" s="135"/>
      <c r="D161" s="138"/>
    </row>
    <row r="162" spans="2:4" ht="26.45" thickBot="1">
      <c r="B162" s="113" t="s">
        <v>21</v>
      </c>
      <c r="C162" s="127" t="s">
        <v>209</v>
      </c>
      <c r="D162" s="128" t="s">
        <v>210</v>
      </c>
    </row>
    <row r="163" spans="2:4" ht="15" thickBot="1">
      <c r="B163" s="114" t="s">
        <v>5</v>
      </c>
      <c r="C163" s="114"/>
      <c r="D163" s="114"/>
    </row>
  </sheetData>
  <mergeCells count="37">
    <mergeCell ref="B2:I2"/>
    <mergeCell ref="D76:D79"/>
    <mergeCell ref="E76:E79"/>
    <mergeCell ref="G76:G79"/>
    <mergeCell ref="B6:C6"/>
    <mergeCell ref="B4:C4"/>
    <mergeCell ref="B11:C11"/>
    <mergeCell ref="B29:K29"/>
    <mergeCell ref="C30:E30"/>
    <mergeCell ref="F30:H30"/>
    <mergeCell ref="I30:K30"/>
    <mergeCell ref="B76:B79"/>
    <mergeCell ref="C76:C79"/>
    <mergeCell ref="K32:K36"/>
    <mergeCell ref="G72:G73"/>
    <mergeCell ref="B32:B36"/>
    <mergeCell ref="B58:C58"/>
    <mergeCell ref="B72:B73"/>
    <mergeCell ref="C72:C73"/>
    <mergeCell ref="D72:D73"/>
    <mergeCell ref="E72:E73"/>
    <mergeCell ref="I32:I36"/>
    <mergeCell ref="J32:J36"/>
    <mergeCell ref="C156:C161"/>
    <mergeCell ref="D156:D161"/>
    <mergeCell ref="B96:H96"/>
    <mergeCell ref="B97:H97"/>
    <mergeCell ref="B99:B123"/>
    <mergeCell ref="B124:B138"/>
    <mergeCell ref="B151:B155"/>
    <mergeCell ref="C151:C155"/>
    <mergeCell ref="B156:B161"/>
    <mergeCell ref="C149:D149"/>
    <mergeCell ref="B139:B145"/>
    <mergeCell ref="C32:C36"/>
    <mergeCell ref="E32:E36"/>
    <mergeCell ref="F32:F36"/>
  </mergeCells>
  <conditionalFormatting sqref="A149 A6 A13 A29 A43 A50 A58 A65 A70 A75 A83 A88 A92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9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1C3030-7245-4DC8-8C2F-D2A9C66F2CFF}"/>
</file>

<file path=customXml/itemProps2.xml><?xml version="1.0" encoding="utf-8"?>
<ds:datastoreItem xmlns:ds="http://schemas.openxmlformats.org/officeDocument/2006/customXml" ds:itemID="{8EA4F6F4-54D9-4E00-9026-F5CFF552E73B}"/>
</file>

<file path=customXml/itemProps3.xml><?xml version="1.0" encoding="utf-8"?>
<ds:datastoreItem xmlns:ds="http://schemas.openxmlformats.org/officeDocument/2006/customXml" ds:itemID="{2A9F9EAC-A05A-47A0-AA94-812E910CD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