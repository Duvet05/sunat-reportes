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E4CA73EB-566C-4B07-90F3-7D559A4E474A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169" i="1"/>
  <c r="G63" i="1"/>
  <c r="G62" i="1"/>
  <c r="G61" i="1"/>
  <c r="C16" i="1"/>
</calcChain>
</file>

<file path=xl/sharedStrings.xml><?xml version="1.0" encoding="utf-8"?>
<sst xmlns="http://schemas.openxmlformats.org/spreadsheetml/2006/main" count="352" uniqueCount="197">
  <si>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</si>
  <si>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</si>
  <si>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</si>
  <si>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</si>
  <si>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</si>
  <si>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</si>
  <si>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</si>
  <si>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</si>
  <si>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DICIEMBRE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</si>
  <si>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</si>
  <si>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</si>
  <si>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</si>
  <si>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</si>
  <si>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</si>
  <si>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</si>
  <si>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</si>
  <si>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</si>
  <si>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</si>
  <si>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</si>
  <si>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</si>
  <si>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</si>
  <si>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</si>
  <si>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</si>
  <si>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</si>
  <si>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</si>
  <si>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</si>
  <si>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</si>
  <si>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</si>
  <si>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PROGRAMACIÓN-MARZO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</si>
  <si>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</si>
  <si>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</si>
  <si>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</si>
  <si>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</si>
  <si>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</si>
  <si>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</si>
  <si>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</si>
  <si>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</si>
  <si>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</si>
  <si>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</si>
  <si>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</si>
  <si>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</si>
  <si>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</si>
  <si>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</si>
  <si>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</si>
  <si>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</si>
  <si>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</si>
  <si>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</si>
  <si>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</si>
  <si>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</si>
  <si>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</si>
  <si>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</si>
  <si>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</si>
  <si>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</si>
  <si>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</si>
  <si>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</si>
  <si>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</si>
  <si>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</si>
  <si>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</si>
  <si>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</si>
  <si>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</si>
  <si>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</si>
  <si>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Sine ingreso tarde. Se quedo en bandeja de Jefatura</t>
  </si>
  <si>
    <t xml:space="preserve">      Motivo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</si>
  <si>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</si>
  <si>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</si>
  <si>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</si>
  <si>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</si>
  <si>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</si>
  <si>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</si>
  <si>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</si>
  <si>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</si>
  <si>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</si>
  <si>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</si>
  <si>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</si>
  <si>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</si>
  <si>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4644</t>
  </si>
  <si>
    <t>Cesar Linares Alcantara</t>
  </si>
  <si>
    <t>Especialista 3</t>
  </si>
  <si>
    <t>3284</t>
  </si>
  <si>
    <t>Ana Diaz Jurado</t>
  </si>
  <si>
    <t>Especialista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</si>
  <si>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</si>
  <si>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</si>
  <si>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</si>
  <si>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</si>
  <si>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</si>
  <si>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</si>
  <si>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</si>
  <si>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</si>
  <si>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5565</t>
  </si>
  <si>
    <t>Victoria Santa Cruz Martinez</t>
  </si>
  <si>
    <t>8351</t>
  </si>
  <si>
    <t>Debra Araoz Laines</t>
  </si>
  <si>
    <t>3085</t>
  </si>
  <si>
    <t>Edgar Cosio Jara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</si>
  <si>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</si>
  <si>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</si>
  <si>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</si>
  <si>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</si>
  <si>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</si>
  <si>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</si>
  <si>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</si>
  <si>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</si>
  <si>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</si>
  <si>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</si>
  <si>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</si>
  <si>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</si>
  <si>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</si>
  <si>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</si>
  <si>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</si>
  <si>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</si>
  <si>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</si>
  <si>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</si>
  <si>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</si>
  <si>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</si>
  <si>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</si>
  <si>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</si>
  <si>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</si>
  <si>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</si>
  <si>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</si>
  <si>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</si>
  <si>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</si>
  <si>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</si>
  <si>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</si>
  <si>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</si>
  <si>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</si>
  <si>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</si>
  <si>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</si>
  <si>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</si>
  <si>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</si>
  <si>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</si>
  <si>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</si>
  <si>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</si>
  <si>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</si>
  <si>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</si>
  <si>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</si>
  <si>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</si>
  <si>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</si>
  <si>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</si>
  <si>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</si>
  <si>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</si>
  <si>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</si>
  <si>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</si>
  <si>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</si>
  <si>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</si>
  <si>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</si>
  <si>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</si>
  <si>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</si>
  <si>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</si>
  <si>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</si>
  <si>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</si>
  <si>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</si>
  <si>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</si>
  <si>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</si>
  <si>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</si>
  <si>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</si>
  <si>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</si>
  <si>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</si>
  <si>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</si>
  <si>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</si>
  <si>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</si>
  <si>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</si>
  <si>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</si>
  <si>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</si>
  <si>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</si>
  <si>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</si>
  <si>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</si>
  <si>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</si>
  <si>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</si>
  <si>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</si>
  <si>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</si>
  <si>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</si>
  <si>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</si>
  <si>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</si>
  <si>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</si>
  <si>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</si>
  <si>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</si>
  <si>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</si>
  <si>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</si>
  <si>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</si>
  <si>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</si>
  <si>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REPORTADOS-FEBRERO 2024</t>
  </si>
  <si>
    <t>FEBRERO</t>
  </si>
  <si>
    <t>N° ITOP</t>
  </si>
  <si>
    <t> ASUNTO</t>
  </si>
  <si>
    <t>I-850522
I-843163</t>
  </si>
  <si>
    <t>Mensaje que emite SINE: "No existe documento a publicar" 4090140006912 4090340006598</t>
  </si>
  <si>
    <t>Resolución de error material 4090210000013 no genera SINE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</si>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</sst>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4" fillId="7" borderId="26" xfId="0" applyFont="1" applyFill="1" applyBorder="1" applyAlignment="1">
      <alignment horizontal="center" vertical="center" wrapText="1" readingOrder="1"/>
    </xf>
    <xf numFmtId="0" fontId="4" fillId="8" borderId="26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7" xfId="0" applyFont="1" applyFill="1" applyBorder="1" applyAlignment="1">
      <alignment horizontal="center" vertical="center" wrapText="1" readingOrder="1"/>
    </xf>
    <xf numFmtId="0" fontId="6" fillId="2" borderId="34" xfId="0" applyFont="1" applyFill="1" applyBorder="1" applyAlignment="1">
      <alignment horizontal="center" vertical="center" wrapText="1" readingOrder="1"/>
    </xf>
    <xf numFmtId="0" fontId="3" fillId="3" borderId="35" xfId="0" applyFont="1" applyFill="1" applyBorder="1" applyAlignment="1">
      <alignment horizontal="center" vertical="center" wrapText="1" readingOrder="1"/>
    </xf>
    <xf numFmtId="0" fontId="3" fillId="3" borderId="37" xfId="0" applyFont="1" applyFill="1" applyBorder="1" applyAlignment="1">
      <alignment horizontal="center" vertical="center" wrapText="1" readingOrder="1"/>
    </xf>
    <xf numFmtId="0" fontId="3" fillId="0" borderId="36" xfId="0" applyFont="1" applyBorder="1" applyAlignment="1">
      <alignment horizontal="center" vertical="center" wrapText="1" readingOrder="1"/>
    </xf>
    <xf numFmtId="49" fontId="7" fillId="19" borderId="44" xfId="0" applyNumberFormat="1" applyFont="1" applyFill="1" applyBorder="1" applyAlignment="1">
      <alignment vertical="center"/>
    </xf>
    <xf numFmtId="49" fontId="7" fillId="19" borderId="44" xfId="0" applyNumberFormat="1" applyFont="1" applyFill="1" applyBorder="1" applyAlignment="1">
      <alignment horizontal="left" vertical="center"/>
    </xf>
    <xf numFmtId="0" fontId="5" fillId="19" borderId="44" xfId="0" applyFont="1" applyFill="1" applyBorder="1" applyAlignment="1">
      <alignment horizontal="center" vertical="center"/>
    </xf>
    <xf numFmtId="49" fontId="5" fillId="0" borderId="44" xfId="0" applyNumberFormat="1" applyFont="1" applyBorder="1" applyAlignment="1">
      <alignment vertical="center"/>
    </xf>
    <xf numFmtId="49" fontId="5" fillId="0" borderId="44" xfId="0" applyNumberFormat="1" applyFont="1" applyBorder="1" applyAlignment="1">
      <alignment horizontal="left" vertical="center"/>
    </xf>
    <xf numFmtId="0" fontId="5" fillId="0" borderId="44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 readingOrder="1"/>
    </xf>
    <xf numFmtId="0" fontId="9" fillId="2" borderId="28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 readingOrder="1"/>
    </xf>
    <xf numFmtId="0" fontId="9" fillId="2" borderId="29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38" xfId="0" applyFont="1" applyFill="1" applyBorder="1" applyAlignment="1">
      <alignment horizontal="center" vertical="center" wrapText="1" readingOrder="1"/>
    </xf>
    <xf numFmtId="0" fontId="6" fillId="11" borderId="38" xfId="0" applyFont="1" applyFill="1" applyBorder="1" applyAlignment="1">
      <alignment horizontal="left" vertical="center" wrapText="1" readingOrder="1"/>
    </xf>
    <xf numFmtId="0" fontId="6" fillId="11" borderId="39" xfId="0" applyFont="1" applyFill="1" applyBorder="1" applyAlignment="1">
      <alignment horizontal="center" vertical="center" wrapText="1" readingOrder="1"/>
    </xf>
    <xf numFmtId="0" fontId="4" fillId="12" borderId="39" xfId="0" applyFont="1" applyFill="1" applyBorder="1" applyAlignment="1">
      <alignment horizontal="left" vertical="center" wrapText="1" readingOrder="1"/>
    </xf>
    <xf numFmtId="0" fontId="4" fillId="12" borderId="39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19" borderId="44" xfId="0" applyNumberFormat="1" applyFont="1" applyFill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46" xfId="0" applyNumberFormat="1" applyFont="1" applyBorder="1" applyAlignment="1">
      <alignment horizontal="center" vertical="center" wrapText="1"/>
    </xf>
    <xf numFmtId="49" fontId="7" fillId="0" borderId="46" xfId="0" applyNumberFormat="1" applyFont="1" applyBorder="1" applyAlignment="1">
      <alignment horizontal="center" vertical="center"/>
    </xf>
    <xf numFmtId="49" fontId="7" fillId="0" borderId="44" xfId="0" applyNumberFormat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3" xfId="0" applyFont="1" applyBorder="1" applyAlignment="1">
      <alignment horizontal="left" vertical="center" wrapText="1" readingOrder="1"/>
    </xf>
    <xf numFmtId="0" fontId="3" fillId="0" borderId="43" xfId="0" applyFont="1" applyBorder="1" applyAlignment="1">
      <alignment horizontal="center" vertical="center" wrapText="1" readingOrder="1"/>
    </xf>
    <xf numFmtId="0" fontId="3" fillId="18" borderId="40" xfId="0" applyFont="1" applyFill="1" applyBorder="1" applyAlignment="1">
      <alignment horizontal="left" vertical="center" wrapText="1" readingOrder="1"/>
    </xf>
    <xf numFmtId="0" fontId="3" fillId="18" borderId="40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4" xfId="0" applyFont="1" applyFill="1" applyBorder="1" applyAlignment="1">
      <alignment horizontal="left" vertical="center"/>
    </xf>
    <xf numFmtId="0" fontId="15" fillId="3" borderId="55" xfId="0" applyFont="1" applyFill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 wrapText="1" readingOrder="1"/>
    </xf>
    <xf numFmtId="0" fontId="17" fillId="0" borderId="0" xfId="0" applyFont="1"/>
    <xf numFmtId="164" fontId="4" fillId="10" borderId="12" xfId="0" applyNumberFormat="1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top" wrapText="1"/>
    </xf>
    <xf numFmtId="0" fontId="4" fillId="7" borderId="14" xfId="0" applyFont="1" applyFill="1" applyBorder="1" applyAlignment="1">
      <alignment vertical="center" wrapText="1" readingOrder="1"/>
    </xf>
    <xf numFmtId="0" fontId="4" fillId="9" borderId="24" xfId="0" applyFont="1" applyFill="1" applyBorder="1" applyAlignment="1">
      <alignment vertical="center" wrapText="1" readingOrder="1"/>
    </xf>
    <xf numFmtId="0" fontId="4" fillId="8" borderId="14" xfId="0" applyFont="1" applyFill="1" applyBorder="1" applyAlignment="1">
      <alignment vertical="center" wrapText="1" readingOrder="1"/>
    </xf>
    <xf numFmtId="0" fontId="4" fillId="9" borderId="14" xfId="0" applyFont="1" applyFill="1" applyBorder="1" applyAlignment="1">
      <alignment vertical="center" wrapText="1" readingOrder="1"/>
    </xf>
    <xf numFmtId="0" fontId="3" fillId="7" borderId="14" xfId="0" applyFont="1" applyFill="1" applyBorder="1" applyAlignment="1">
      <alignment horizontal="center" vertical="center" wrapText="1" readingOrder="1"/>
    </xf>
    <xf numFmtId="2" fontId="3" fillId="7" borderId="26" xfId="0" applyNumberFormat="1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4" fillId="18" borderId="41" xfId="0" applyFont="1" applyFill="1" applyBorder="1" applyAlignment="1">
      <alignment horizontal="left" vertical="top" wrapText="1" readingOrder="1"/>
    </xf>
    <xf numFmtId="0" fontId="4" fillId="18" borderId="42" xfId="0" applyFont="1" applyFill="1" applyBorder="1" applyAlignment="1">
      <alignment horizontal="left" vertical="top" wrapText="1" readingOrder="1"/>
    </xf>
    <xf numFmtId="0" fontId="4" fillId="18" borderId="41" xfId="0" applyFont="1" applyFill="1" applyBorder="1" applyAlignment="1">
      <alignment horizontal="left" wrapText="1" readingOrder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 readingOrder="1"/>
    </xf>
    <xf numFmtId="0" fontId="9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3" fillId="0" borderId="41" xfId="0" applyFont="1" applyBorder="1" applyAlignment="1">
      <alignment horizontal="center" vertical="center" wrapText="1" readingOrder="1"/>
    </xf>
    <xf numFmtId="0" fontId="3" fillId="0" borderId="42" xfId="0" applyFont="1" applyBorder="1" applyAlignment="1">
      <alignment horizontal="center" vertical="center" wrapText="1" readingOrder="1"/>
    </xf>
    <xf numFmtId="0" fontId="3" fillId="0" borderId="43" xfId="0" applyFont="1" applyBorder="1" applyAlignment="1">
      <alignment horizontal="center" vertical="center" wrapText="1" readingOrder="1"/>
    </xf>
    <xf numFmtId="0" fontId="4" fillId="0" borderId="41" xfId="0" applyFont="1" applyBorder="1" applyAlignment="1">
      <alignment horizontal="center" vertical="center" wrapText="1" readingOrder="1"/>
    </xf>
    <xf numFmtId="0" fontId="4" fillId="0" borderId="42" xfId="0" applyFont="1" applyBorder="1" applyAlignment="1">
      <alignment horizontal="center" vertical="center" wrapText="1" readingOrder="1"/>
    </xf>
    <xf numFmtId="0" fontId="4" fillId="0" borderId="43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5" xfId="0" applyFont="1" applyBorder="1" applyAlignment="1">
      <alignment horizontal="center"/>
    </xf>
    <xf numFmtId="49" fontId="7" fillId="0" borderId="47" xfId="0" applyNumberFormat="1" applyFont="1" applyBorder="1" applyAlignment="1">
      <alignment horizontal="center" vertical="center" wrapText="1"/>
    </xf>
    <xf numFmtId="49" fontId="7" fillId="0" borderId="49" xfId="0" applyNumberFormat="1" applyFont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0" fontId="3" fillId="18" borderId="41" xfId="0" applyFont="1" applyFill="1" applyBorder="1" applyAlignment="1">
      <alignment horizontal="left" vertical="center" wrapText="1" readingOrder="1"/>
    </xf>
    <xf numFmtId="0" fontId="3" fillId="18" borderId="42" xfId="0" applyFont="1" applyFill="1" applyBorder="1" applyAlignment="1">
      <alignment horizontal="left" vertical="center" wrapText="1" readingOrder="1"/>
    </xf>
    <xf numFmtId="0" fontId="3" fillId="0" borderId="41" xfId="0" applyFont="1" applyBorder="1" applyAlignment="1">
      <alignment horizontal="left" vertical="center" wrapText="1" readingOrder="1"/>
    </xf>
    <xf numFmtId="0" fontId="3" fillId="0" borderId="42" xfId="0" applyFont="1" applyBorder="1" applyAlignment="1">
      <alignment horizontal="left" vertical="center" wrapText="1" readingOrder="1"/>
    </xf>
    <xf numFmtId="0" fontId="3" fillId="0" borderId="43" xfId="0" applyFont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69"/>
  <sheetViews>
    <sheetView tabSelected="1" topLeftCell="A153" workbookViewId="0">
      <selection activeCell="D164" sqref="D164"/>
    </sheetView>
  </sheetViews>
  <sheetFormatPr defaultColWidth="10.85546875" defaultRowHeight="14.45"/>
  <cols>
    <col min="1" max="1" width="10.85546875" style="1"/>
    <col min="2" max="2" width="15.140625" style="31" customWidth="1"/>
    <col min="3" max="3" width="12.85546875" style="31" customWidth="1"/>
    <col min="4" max="4" width="14.28515625" style="31" customWidth="1"/>
    <col min="5" max="5" width="17.42578125" style="31" customWidth="1"/>
    <col min="6" max="6" width="10.85546875" style="31"/>
    <col min="7" max="7" width="12.140625" style="31" customWidth="1"/>
    <col min="8" max="8" width="13.28515625" style="31" customWidth="1"/>
    <col min="9" max="16384" width="10.85546875" style="31"/>
  </cols>
  <sheetData>
    <row r="2" spans="1:9">
      <c r="B2" s="158" t="s">
        <v>0</v>
      </c>
      <c r="C2" s="158"/>
      <c r="D2" s="158"/>
      <c r="E2" s="158"/>
      <c r="F2" s="158"/>
      <c r="G2" s="158"/>
      <c r="H2" s="158"/>
      <c r="I2" s="158"/>
    </row>
    <row r="4" spans="1:9" ht="15.6">
      <c r="B4" s="134" t="s">
        <v>1</v>
      </c>
      <c r="C4" s="134"/>
    </row>
    <row r="5" spans="1:9" ht="15" thickBot="1"/>
    <row r="6" spans="1:9" ht="15" thickBot="1">
      <c r="A6" s="1">
        <v>1</v>
      </c>
      <c r="B6" s="132" t="s">
        <v>2</v>
      </c>
      <c r="C6" s="133"/>
    </row>
    <row r="7" spans="1:9" ht="15" thickBot="1">
      <c r="B7" s="33" t="s">
        <v>3</v>
      </c>
      <c r="C7" s="34">
        <v>353</v>
      </c>
    </row>
    <row r="8" spans="1:9" ht="15" thickBot="1">
      <c r="B8" s="35" t="s">
        <v>4</v>
      </c>
      <c r="C8" s="36"/>
    </row>
    <row r="9" spans="1:9" ht="15" thickBot="1">
      <c r="B9" s="37" t="s">
        <v>5</v>
      </c>
      <c r="C9" s="38"/>
    </row>
    <row r="11" spans="1:9" ht="15.6">
      <c r="B11" s="134" t="s">
        <v>6</v>
      </c>
      <c r="C11" s="134"/>
    </row>
    <row r="12" spans="1:9" ht="15" thickBot="1">
      <c r="B12" s="32"/>
      <c r="C12" s="32"/>
    </row>
    <row r="13" spans="1:9" ht="39.6" thickBot="1">
      <c r="A13" s="1">
        <v>2</v>
      </c>
      <c r="B13" s="118" t="s">
        <v>7</v>
      </c>
      <c r="C13" s="40" t="s">
        <v>8</v>
      </c>
    </row>
    <row r="14" spans="1:9" ht="24.6" customHeight="1" thickBot="1">
      <c r="B14" s="41" t="s">
        <v>9</v>
      </c>
      <c r="C14" s="125">
        <v>264</v>
      </c>
    </row>
    <row r="15" spans="1:9" ht="24.6" customHeight="1" thickBot="1">
      <c r="B15" s="42" t="s">
        <v>10</v>
      </c>
      <c r="C15" s="126">
        <v>17.600000000000001</v>
      </c>
    </row>
    <row r="16" spans="1:9" ht="24.6" customHeight="1" thickBot="1">
      <c r="B16" s="41" t="s">
        <v>11</v>
      </c>
      <c r="C16" s="43">
        <f>C14/C15</f>
        <v>14.999999999999998</v>
      </c>
    </row>
    <row r="17" spans="1:11" ht="39.6" thickBot="1">
      <c r="B17" s="39" t="s">
        <v>12</v>
      </c>
      <c r="C17" s="40" t="s">
        <v>8</v>
      </c>
    </row>
    <row r="18" spans="1:11" ht="15" thickBot="1">
      <c r="B18" s="41" t="s">
        <v>9</v>
      </c>
      <c r="C18" s="44"/>
    </row>
    <row r="19" spans="1:11" ht="15" thickBot="1">
      <c r="B19" s="42" t="s">
        <v>10</v>
      </c>
      <c r="C19" s="45"/>
    </row>
    <row r="20" spans="1:11" ht="26.45" thickBot="1">
      <c r="B20" s="41" t="s">
        <v>11</v>
      </c>
      <c r="C20" s="46"/>
    </row>
    <row r="21" spans="1:11" ht="39.6" thickBot="1">
      <c r="B21" s="39" t="s">
        <v>13</v>
      </c>
      <c r="C21" s="40" t="s">
        <v>8</v>
      </c>
    </row>
    <row r="22" spans="1:11" ht="15" thickBot="1">
      <c r="B22" s="41" t="s">
        <v>9</v>
      </c>
      <c r="C22" s="44"/>
    </row>
    <row r="23" spans="1:11" ht="15" thickBot="1">
      <c r="B23" s="42" t="s">
        <v>10</v>
      </c>
      <c r="C23" s="45"/>
    </row>
    <row r="24" spans="1:11" ht="26.45" thickBot="1">
      <c r="B24" s="41" t="s">
        <v>11</v>
      </c>
      <c r="C24" s="46"/>
    </row>
    <row r="26" spans="1:11" ht="15.6">
      <c r="B26" s="2" t="s">
        <v>14</v>
      </c>
      <c r="C26" s="111"/>
    </row>
    <row r="27" spans="1:11" ht="15" thickBot="1"/>
    <row r="28" spans="1:11" ht="15" thickBot="1">
      <c r="A28" s="1">
        <v>3</v>
      </c>
      <c r="B28" s="135" t="s">
        <v>15</v>
      </c>
      <c r="C28" s="136"/>
      <c r="D28" s="136"/>
      <c r="E28" s="136"/>
      <c r="F28" s="136"/>
      <c r="G28" s="136"/>
      <c r="H28" s="136"/>
      <c r="I28" s="136"/>
      <c r="J28" s="136"/>
      <c r="K28" s="137"/>
    </row>
    <row r="29" spans="1:11" ht="15" thickBot="1">
      <c r="B29" s="3" t="s">
        <v>16</v>
      </c>
      <c r="C29" s="138" t="s">
        <v>17</v>
      </c>
      <c r="D29" s="139"/>
      <c r="E29" s="140"/>
      <c r="F29" s="141" t="s">
        <v>18</v>
      </c>
      <c r="G29" s="142"/>
      <c r="H29" s="143"/>
      <c r="I29" s="144" t="s">
        <v>19</v>
      </c>
      <c r="J29" s="145"/>
      <c r="K29" s="146"/>
    </row>
    <row r="30" spans="1:11" ht="39.6" thickBot="1">
      <c r="B30" s="3" t="s">
        <v>20</v>
      </c>
      <c r="C30" s="4" t="s">
        <v>3</v>
      </c>
      <c r="D30" s="4" t="s">
        <v>21</v>
      </c>
      <c r="E30" s="4" t="s">
        <v>4</v>
      </c>
      <c r="F30" s="5" t="s">
        <v>3</v>
      </c>
      <c r="G30" s="5" t="s">
        <v>22</v>
      </c>
      <c r="H30" s="5" t="s">
        <v>4</v>
      </c>
      <c r="I30" s="6" t="s">
        <v>3</v>
      </c>
      <c r="J30" s="6" t="s">
        <v>23</v>
      </c>
      <c r="K30" s="7" t="s">
        <v>24</v>
      </c>
    </row>
    <row r="31" spans="1:11" ht="26.45" thickBot="1">
      <c r="B31" s="115" t="s">
        <v>25</v>
      </c>
      <c r="C31" s="123">
        <v>264</v>
      </c>
      <c r="D31" s="8"/>
      <c r="E31" s="119"/>
      <c r="F31" s="121"/>
      <c r="G31" s="9"/>
      <c r="H31" s="10"/>
      <c r="I31" s="122"/>
      <c r="J31" s="122"/>
      <c r="K31" s="120"/>
    </row>
    <row r="32" spans="1:11" ht="26.45" thickBot="1">
      <c r="B32" s="3" t="s">
        <v>26</v>
      </c>
      <c r="C32" s="4">
        <v>17.600000000000001</v>
      </c>
      <c r="D32" s="11"/>
      <c r="E32" s="11"/>
      <c r="F32" s="12"/>
      <c r="G32" s="12"/>
      <c r="H32" s="12"/>
      <c r="I32" s="13"/>
      <c r="J32" s="13"/>
      <c r="K32" s="14"/>
    </row>
    <row r="33" spans="1:11" ht="39.6" thickBot="1">
      <c r="B33" s="15" t="s">
        <v>27</v>
      </c>
      <c r="C33" s="124">
        <f>C31/C32</f>
        <v>14.999999999999998</v>
      </c>
      <c r="D33" s="16"/>
      <c r="E33" s="16"/>
      <c r="F33" s="17"/>
      <c r="G33" s="17"/>
      <c r="H33" s="17"/>
      <c r="I33" s="18"/>
      <c r="J33" s="18"/>
      <c r="K33" s="19"/>
    </row>
    <row r="36" spans="1:11" ht="15.6">
      <c r="B36" s="2" t="s">
        <v>28</v>
      </c>
    </row>
    <row r="37" spans="1:11" ht="15" thickBot="1"/>
    <row r="38" spans="1:11" ht="15" thickBot="1">
      <c r="A38" s="1">
        <v>4</v>
      </c>
      <c r="B38" s="47" t="s">
        <v>17</v>
      </c>
      <c r="C38" s="48">
        <v>250</v>
      </c>
    </row>
    <row r="39" spans="1:11" ht="15" thickBot="1">
      <c r="B39" s="49" t="s">
        <v>18</v>
      </c>
      <c r="C39" s="50"/>
    </row>
    <row r="40" spans="1:11" ht="15" thickBot="1">
      <c r="B40" s="51" t="s">
        <v>19</v>
      </c>
      <c r="C40" s="52"/>
    </row>
    <row r="43" spans="1:11" ht="15.6">
      <c r="B43" s="2" t="s">
        <v>29</v>
      </c>
    </row>
    <row r="44" spans="1:11" ht="15" thickBot="1"/>
    <row r="45" spans="1:11" ht="26.45" thickBot="1">
      <c r="A45" s="1">
        <v>5</v>
      </c>
      <c r="B45" s="20" t="s">
        <v>16</v>
      </c>
      <c r="C45" s="20" t="s">
        <v>30</v>
      </c>
      <c r="D45" s="20" t="s">
        <v>31</v>
      </c>
      <c r="E45" s="20" t="s">
        <v>32</v>
      </c>
      <c r="F45" s="20" t="s">
        <v>33</v>
      </c>
    </row>
    <row r="46" spans="1:11" ht="15" thickBot="1">
      <c r="B46" s="20" t="s">
        <v>17</v>
      </c>
      <c r="C46" s="21">
        <v>4</v>
      </c>
      <c r="D46" s="21">
        <v>3</v>
      </c>
      <c r="E46" s="21">
        <v>2</v>
      </c>
      <c r="F46" s="21">
        <v>0</v>
      </c>
    </row>
    <row r="47" spans="1:11" ht="15" thickBot="1">
      <c r="B47" s="20" t="s">
        <v>18</v>
      </c>
      <c r="C47" s="22"/>
      <c r="D47" s="22"/>
      <c r="E47" s="22"/>
      <c r="F47" s="22"/>
    </row>
    <row r="48" spans="1:11" ht="15" thickBot="1">
      <c r="B48" s="20" t="s">
        <v>19</v>
      </c>
      <c r="C48" s="23"/>
      <c r="D48" s="23"/>
      <c r="E48" s="23"/>
      <c r="F48" s="23"/>
    </row>
    <row r="51" spans="1:7" ht="15.6">
      <c r="B51" s="2" t="s">
        <v>34</v>
      </c>
    </row>
    <row r="52" spans="1:7" ht="15" thickBot="1"/>
    <row r="53" spans="1:7" ht="15" thickBot="1">
      <c r="A53" s="1">
        <v>6</v>
      </c>
      <c r="B53" s="154" t="s">
        <v>2</v>
      </c>
      <c r="C53" s="155"/>
    </row>
    <row r="54" spans="1:7" ht="15" thickBot="1">
      <c r="B54" s="53" t="s">
        <v>35</v>
      </c>
      <c r="C54" s="34">
        <v>1</v>
      </c>
    </row>
    <row r="55" spans="1:7" ht="15" thickBot="1">
      <c r="B55" s="54" t="s">
        <v>4</v>
      </c>
      <c r="C55" s="36"/>
    </row>
    <row r="56" spans="1:7" ht="15" thickBot="1">
      <c r="B56" s="55" t="s">
        <v>36</v>
      </c>
      <c r="C56" s="38"/>
    </row>
    <row r="58" spans="1:7" ht="15.6">
      <c r="B58" s="2" t="s">
        <v>37</v>
      </c>
    </row>
    <row r="59" spans="1:7" ht="15" thickBot="1"/>
    <row r="60" spans="1:7" ht="26.45" thickBot="1">
      <c r="A60" s="1">
        <v>7</v>
      </c>
      <c r="B60" s="56" t="s">
        <v>38</v>
      </c>
      <c r="C60" s="57" t="s">
        <v>39</v>
      </c>
      <c r="D60" s="57" t="s">
        <v>40</v>
      </c>
      <c r="E60" s="57" t="s">
        <v>41</v>
      </c>
      <c r="F60" s="57" t="s">
        <v>42</v>
      </c>
      <c r="G60" s="58" t="s">
        <v>43</v>
      </c>
    </row>
    <row r="61" spans="1:7" ht="26.45" thickBot="1">
      <c r="B61" s="59" t="s">
        <v>44</v>
      </c>
      <c r="C61" s="60" t="s">
        <v>45</v>
      </c>
      <c r="D61" s="61">
        <v>99</v>
      </c>
      <c r="E61" s="61">
        <v>6.7</v>
      </c>
      <c r="F61" s="61"/>
      <c r="G61" s="117">
        <f>D61/E61</f>
        <v>14.776119402985074</v>
      </c>
    </row>
    <row r="62" spans="1:7" ht="15" thickBot="1">
      <c r="B62" s="59" t="s">
        <v>46</v>
      </c>
      <c r="C62" s="62" t="s">
        <v>47</v>
      </c>
      <c r="D62" s="63">
        <v>83</v>
      </c>
      <c r="E62" s="63">
        <v>5</v>
      </c>
      <c r="F62" s="63"/>
      <c r="G62" s="117">
        <f t="shared" ref="G62:G63" si="0">D62/E62</f>
        <v>16.600000000000001</v>
      </c>
    </row>
    <row r="63" spans="1:7" ht="26.45" thickBot="1">
      <c r="B63" s="59" t="s">
        <v>48</v>
      </c>
      <c r="C63" s="60" t="s">
        <v>49</v>
      </c>
      <c r="D63" s="61">
        <v>82</v>
      </c>
      <c r="E63" s="61">
        <v>5.9</v>
      </c>
      <c r="F63" s="61"/>
      <c r="G63" s="117">
        <f t="shared" si="0"/>
        <v>13.898305084745761</v>
      </c>
    </row>
    <row r="64" spans="1:7" ht="15" thickBot="1"/>
    <row r="65" spans="1:7" ht="26.45" thickBot="1">
      <c r="A65" s="1">
        <v>8</v>
      </c>
      <c r="B65" s="64" t="s">
        <v>38</v>
      </c>
      <c r="C65" s="65" t="s">
        <v>39</v>
      </c>
      <c r="D65" s="65" t="s">
        <v>40</v>
      </c>
      <c r="E65" s="65" t="s">
        <v>41</v>
      </c>
      <c r="F65" s="64" t="s">
        <v>42</v>
      </c>
      <c r="G65" s="65" t="s">
        <v>43</v>
      </c>
    </row>
    <row r="66" spans="1:7" ht="27" thickTop="1" thickBot="1">
      <c r="B66" s="66" t="s">
        <v>50</v>
      </c>
      <c r="C66" s="67" t="s">
        <v>51</v>
      </c>
      <c r="D66" s="68"/>
      <c r="E66" s="68"/>
      <c r="F66" s="68"/>
      <c r="G66" s="68"/>
    </row>
    <row r="67" spans="1:7" ht="32.1" customHeight="1">
      <c r="B67" s="156" t="s">
        <v>52</v>
      </c>
      <c r="C67" s="176" t="s">
        <v>53</v>
      </c>
      <c r="D67" s="178"/>
      <c r="E67" s="178"/>
      <c r="F67" s="69"/>
      <c r="G67" s="178"/>
    </row>
    <row r="68" spans="1:7" ht="15" thickBot="1">
      <c r="B68" s="157"/>
      <c r="C68" s="177"/>
      <c r="D68" s="179"/>
      <c r="E68" s="179"/>
      <c r="F68" s="70"/>
      <c r="G68" s="179"/>
    </row>
    <row r="69" spans="1:7" ht="15" thickBot="1"/>
    <row r="70" spans="1:7" ht="26.45" thickBot="1">
      <c r="A70" s="1">
        <v>9</v>
      </c>
      <c r="B70" s="71" t="s">
        <v>38</v>
      </c>
      <c r="C70" s="72" t="s">
        <v>39</v>
      </c>
      <c r="D70" s="72" t="s">
        <v>40</v>
      </c>
      <c r="E70" s="72" t="s">
        <v>41</v>
      </c>
      <c r="F70" s="73" t="s">
        <v>42</v>
      </c>
      <c r="G70" s="74" t="s">
        <v>43</v>
      </c>
    </row>
    <row r="71" spans="1:7">
      <c r="B71" s="147" t="s">
        <v>54</v>
      </c>
      <c r="C71" s="150" t="s">
        <v>55</v>
      </c>
      <c r="D71" s="75"/>
      <c r="E71" s="76"/>
      <c r="F71" s="76"/>
      <c r="G71" s="76"/>
    </row>
    <row r="72" spans="1:7">
      <c r="B72" s="148"/>
      <c r="C72" s="151"/>
      <c r="D72" s="77"/>
      <c r="E72" s="78"/>
      <c r="F72" s="78"/>
      <c r="G72" s="78"/>
    </row>
    <row r="73" spans="1:7">
      <c r="B73" s="148"/>
      <c r="C73" s="151"/>
      <c r="D73" s="77"/>
      <c r="E73" s="78"/>
      <c r="F73" s="78"/>
      <c r="G73" s="78"/>
    </row>
    <row r="74" spans="1:7" ht="15" thickBot="1">
      <c r="B74" s="149"/>
      <c r="C74" s="152"/>
      <c r="D74" s="79" t="s">
        <v>56</v>
      </c>
      <c r="E74" s="80"/>
      <c r="F74" s="80"/>
      <c r="G74" s="80"/>
    </row>
    <row r="76" spans="1:7" ht="15.6">
      <c r="B76" s="2" t="s">
        <v>57</v>
      </c>
    </row>
    <row r="77" spans="1:7" ht="15" thickBot="1"/>
    <row r="78" spans="1:7" ht="26.45" thickBot="1">
      <c r="A78" s="1">
        <v>10</v>
      </c>
      <c r="B78" s="56" t="s">
        <v>38</v>
      </c>
      <c r="C78" s="57" t="s">
        <v>39</v>
      </c>
      <c r="D78" s="57" t="s">
        <v>58</v>
      </c>
      <c r="E78" s="57" t="s">
        <v>59</v>
      </c>
      <c r="F78" s="57" t="s">
        <v>60</v>
      </c>
      <c r="G78" s="58" t="s">
        <v>42</v>
      </c>
    </row>
    <row r="79" spans="1:7" ht="65.45" thickBot="1">
      <c r="B79" s="59" t="s">
        <v>44</v>
      </c>
      <c r="C79" s="60" t="s">
        <v>45</v>
      </c>
      <c r="D79" s="61">
        <v>101</v>
      </c>
      <c r="E79" s="61">
        <v>99</v>
      </c>
      <c r="F79" s="61" t="s">
        <v>61</v>
      </c>
      <c r="G79" s="61"/>
    </row>
    <row r="80" spans="1:7" ht="15" thickBot="1">
      <c r="B80" s="59" t="s">
        <v>46</v>
      </c>
      <c r="C80" s="62" t="s">
        <v>47</v>
      </c>
      <c r="D80" s="63">
        <v>83</v>
      </c>
      <c r="E80" s="63">
        <v>83</v>
      </c>
      <c r="F80" s="63"/>
      <c r="G80" s="63"/>
    </row>
    <row r="81" spans="1:8" ht="65.45" thickBot="1">
      <c r="B81" s="59" t="s">
        <v>48</v>
      </c>
      <c r="C81" s="60" t="s">
        <v>49</v>
      </c>
      <c r="D81" s="61">
        <v>86</v>
      </c>
      <c r="E81" s="61">
        <v>82</v>
      </c>
      <c r="F81" s="61" t="s">
        <v>61</v>
      </c>
      <c r="G81" s="61"/>
    </row>
    <row r="82" spans="1:8" ht="15" thickBot="1"/>
    <row r="83" spans="1:8" ht="26.45" thickBot="1">
      <c r="A83" s="1">
        <v>11</v>
      </c>
      <c r="B83" s="81" t="s">
        <v>38</v>
      </c>
      <c r="C83" s="82" t="s">
        <v>39</v>
      </c>
      <c r="D83" s="82" t="s">
        <v>58</v>
      </c>
      <c r="E83" s="82" t="s">
        <v>59</v>
      </c>
      <c r="F83" s="82" t="s">
        <v>62</v>
      </c>
      <c r="G83" s="83" t="s">
        <v>42</v>
      </c>
    </row>
    <row r="84" spans="1:8" ht="26.45" thickBot="1">
      <c r="B84" s="84" t="s">
        <v>50</v>
      </c>
      <c r="C84" s="85" t="s">
        <v>51</v>
      </c>
      <c r="D84" s="86"/>
      <c r="E84" s="86"/>
      <c r="F84" s="86"/>
      <c r="G84" s="86"/>
    </row>
    <row r="85" spans="1:8" ht="15" thickBot="1">
      <c r="B85" s="84" t="s">
        <v>52</v>
      </c>
      <c r="C85" s="87" t="s">
        <v>53</v>
      </c>
      <c r="D85" s="88"/>
      <c r="E85" s="88"/>
      <c r="F85" s="88"/>
      <c r="G85" s="88"/>
    </row>
    <row r="86" spans="1:8" ht="15" thickBot="1"/>
    <row r="87" spans="1:8" ht="26.45" thickBot="1">
      <c r="A87" s="1">
        <v>12</v>
      </c>
      <c r="B87" s="89" t="s">
        <v>38</v>
      </c>
      <c r="C87" s="73" t="s">
        <v>39</v>
      </c>
      <c r="D87" s="73" t="s">
        <v>58</v>
      </c>
      <c r="E87" s="73" t="s">
        <v>59</v>
      </c>
      <c r="F87" s="73" t="s">
        <v>63</v>
      </c>
      <c r="G87" s="90" t="s">
        <v>42</v>
      </c>
    </row>
    <row r="88" spans="1:8" ht="15" thickBot="1">
      <c r="B88" s="91" t="s">
        <v>54</v>
      </c>
      <c r="C88" s="92" t="s">
        <v>55</v>
      </c>
      <c r="D88" s="93"/>
      <c r="E88" s="93"/>
      <c r="F88" s="94"/>
      <c r="G88" s="94"/>
    </row>
    <row r="91" spans="1:8">
      <c r="B91" s="165" t="s">
        <v>64</v>
      </c>
      <c r="C91" s="165"/>
      <c r="D91" s="165"/>
      <c r="E91" s="165"/>
      <c r="F91" s="165"/>
      <c r="G91" s="165"/>
      <c r="H91" s="165"/>
    </row>
    <row r="92" spans="1:8" ht="15.6">
      <c r="B92" s="166" t="s">
        <v>65</v>
      </c>
      <c r="C92" s="166"/>
      <c r="D92" s="166"/>
      <c r="E92" s="166"/>
      <c r="F92" s="166"/>
      <c r="G92" s="166"/>
      <c r="H92" s="166"/>
    </row>
    <row r="93" spans="1:8" ht="26.45" thickBot="1">
      <c r="A93" s="1">
        <v>12</v>
      </c>
      <c r="B93" s="95" t="s">
        <v>16</v>
      </c>
      <c r="C93" s="96" t="s">
        <v>66</v>
      </c>
      <c r="D93" s="96" t="s">
        <v>67</v>
      </c>
      <c r="E93" s="96" t="s">
        <v>68</v>
      </c>
      <c r="F93" s="96" t="s">
        <v>69</v>
      </c>
      <c r="G93" s="97" t="s">
        <v>70</v>
      </c>
    </row>
    <row r="94" spans="1:8">
      <c r="B94" s="167" t="s">
        <v>71</v>
      </c>
      <c r="C94" s="98" t="s">
        <v>44</v>
      </c>
      <c r="D94" s="99" t="s">
        <v>72</v>
      </c>
      <c r="E94" s="24" t="s">
        <v>73</v>
      </c>
      <c r="F94" s="25" t="s">
        <v>74</v>
      </c>
      <c r="G94" s="26"/>
    </row>
    <row r="95" spans="1:8">
      <c r="B95" s="168"/>
      <c r="C95" s="100" t="s">
        <v>44</v>
      </c>
      <c r="D95" s="102" t="s">
        <v>75</v>
      </c>
      <c r="E95" s="27" t="s">
        <v>76</v>
      </c>
      <c r="F95" s="28" t="s">
        <v>77</v>
      </c>
      <c r="G95" s="29">
        <v>16</v>
      </c>
    </row>
    <row r="96" spans="1:8">
      <c r="B96" s="168"/>
      <c r="C96" s="100" t="s">
        <v>44</v>
      </c>
      <c r="D96" s="101" t="s">
        <v>78</v>
      </c>
      <c r="E96" s="27" t="s">
        <v>79</v>
      </c>
      <c r="F96" s="28" t="s">
        <v>80</v>
      </c>
      <c r="G96" s="29">
        <v>15</v>
      </c>
    </row>
    <row r="97" spans="2:7">
      <c r="B97" s="168"/>
      <c r="C97" s="100" t="s">
        <v>44</v>
      </c>
      <c r="D97" s="101" t="s">
        <v>81</v>
      </c>
      <c r="E97" s="27" t="s">
        <v>82</v>
      </c>
      <c r="F97" s="28" t="s">
        <v>83</v>
      </c>
      <c r="G97" s="29">
        <v>13</v>
      </c>
    </row>
    <row r="98" spans="2:7">
      <c r="B98" s="168"/>
      <c r="C98" s="100" t="s">
        <v>44</v>
      </c>
      <c r="D98" s="101" t="s">
        <v>84</v>
      </c>
      <c r="E98" s="27" t="s">
        <v>85</v>
      </c>
      <c r="F98" s="28" t="s">
        <v>86</v>
      </c>
      <c r="G98" s="29">
        <v>13</v>
      </c>
    </row>
    <row r="99" spans="2:7">
      <c r="B99" s="168"/>
      <c r="C99" s="100" t="s">
        <v>44</v>
      </c>
      <c r="D99" s="101" t="s">
        <v>87</v>
      </c>
      <c r="E99" s="27" t="s">
        <v>88</v>
      </c>
      <c r="F99" s="28" t="s">
        <v>86</v>
      </c>
      <c r="G99" s="29">
        <v>11</v>
      </c>
    </row>
    <row r="100" spans="2:7">
      <c r="B100" s="168"/>
      <c r="C100" s="100" t="s">
        <v>44</v>
      </c>
      <c r="D100" s="101" t="s">
        <v>89</v>
      </c>
      <c r="E100" s="27" t="s">
        <v>90</v>
      </c>
      <c r="F100" s="28" t="s">
        <v>86</v>
      </c>
      <c r="G100" s="29">
        <v>12</v>
      </c>
    </row>
    <row r="101" spans="2:7">
      <c r="B101" s="168"/>
      <c r="C101" s="100" t="s">
        <v>44</v>
      </c>
      <c r="D101" s="101" t="s">
        <v>91</v>
      </c>
      <c r="E101" s="27" t="s">
        <v>92</v>
      </c>
      <c r="F101" s="28" t="s">
        <v>80</v>
      </c>
      <c r="G101" s="29">
        <v>10</v>
      </c>
    </row>
    <row r="102" spans="2:7">
      <c r="B102" s="168"/>
      <c r="C102" s="100" t="s">
        <v>44</v>
      </c>
      <c r="D102" s="101" t="s">
        <v>93</v>
      </c>
      <c r="E102" s="27" t="s">
        <v>94</v>
      </c>
      <c r="F102" s="28" t="s">
        <v>86</v>
      </c>
      <c r="G102" s="29">
        <v>9</v>
      </c>
    </row>
    <row r="103" spans="2:7">
      <c r="B103" s="168"/>
      <c r="C103" s="98" t="s">
        <v>46</v>
      </c>
      <c r="D103" s="99" t="s">
        <v>95</v>
      </c>
      <c r="E103" s="24" t="s">
        <v>96</v>
      </c>
      <c r="F103" s="25" t="s">
        <v>74</v>
      </c>
      <c r="G103" s="26"/>
    </row>
    <row r="104" spans="2:7">
      <c r="B104" s="168"/>
      <c r="C104" s="100" t="s">
        <v>46</v>
      </c>
      <c r="D104" s="101" t="s">
        <v>97</v>
      </c>
      <c r="E104" s="27" t="s">
        <v>98</v>
      </c>
      <c r="F104" s="28" t="s">
        <v>77</v>
      </c>
      <c r="G104" s="29">
        <v>16</v>
      </c>
    </row>
    <row r="105" spans="2:7">
      <c r="B105" s="168"/>
      <c r="C105" s="100" t="s">
        <v>46</v>
      </c>
      <c r="D105" s="101" t="s">
        <v>99</v>
      </c>
      <c r="E105" s="27" t="s">
        <v>100</v>
      </c>
      <c r="F105" s="28" t="s">
        <v>83</v>
      </c>
      <c r="G105" s="29">
        <v>19</v>
      </c>
    </row>
    <row r="106" spans="2:7">
      <c r="B106" s="168"/>
      <c r="C106" s="100" t="s">
        <v>46</v>
      </c>
      <c r="D106" s="102" t="s">
        <v>101</v>
      </c>
      <c r="E106" s="27" t="s">
        <v>102</v>
      </c>
      <c r="F106" s="28" t="s">
        <v>83</v>
      </c>
      <c r="G106" s="29">
        <v>11</v>
      </c>
    </row>
    <row r="107" spans="2:7">
      <c r="B107" s="168"/>
      <c r="C107" s="100" t="s">
        <v>46</v>
      </c>
      <c r="D107" s="102" t="s">
        <v>103</v>
      </c>
      <c r="E107" s="27" t="s">
        <v>104</v>
      </c>
      <c r="F107" s="28" t="s">
        <v>105</v>
      </c>
      <c r="G107" s="29">
        <v>18</v>
      </c>
    </row>
    <row r="108" spans="2:7">
      <c r="B108" s="168"/>
      <c r="C108" s="100" t="s">
        <v>46</v>
      </c>
      <c r="D108" s="101" t="s">
        <v>106</v>
      </c>
      <c r="E108" s="27" t="s">
        <v>107</v>
      </c>
      <c r="F108" s="28" t="s">
        <v>83</v>
      </c>
      <c r="G108" s="29">
        <v>4</v>
      </c>
    </row>
    <row r="109" spans="2:7">
      <c r="B109" s="168"/>
      <c r="C109" s="100" t="s">
        <v>46</v>
      </c>
      <c r="D109" s="101" t="s">
        <v>108</v>
      </c>
      <c r="E109" s="27" t="s">
        <v>109</v>
      </c>
      <c r="F109" s="28" t="s">
        <v>80</v>
      </c>
      <c r="G109" s="29">
        <v>17</v>
      </c>
    </row>
    <row r="110" spans="2:7">
      <c r="B110" s="168"/>
      <c r="C110" s="98" t="s">
        <v>48</v>
      </c>
      <c r="D110" s="99" t="s">
        <v>110</v>
      </c>
      <c r="E110" s="24" t="s">
        <v>111</v>
      </c>
      <c r="F110" s="25" t="s">
        <v>112</v>
      </c>
      <c r="G110" s="26"/>
    </row>
    <row r="111" spans="2:7">
      <c r="B111" s="168"/>
      <c r="C111" s="100" t="s">
        <v>48</v>
      </c>
      <c r="D111" s="101" t="s">
        <v>113</v>
      </c>
      <c r="E111" s="27" t="s">
        <v>114</v>
      </c>
      <c r="F111" s="28" t="s">
        <v>80</v>
      </c>
      <c r="G111" s="29">
        <v>12</v>
      </c>
    </row>
    <row r="112" spans="2:7">
      <c r="B112" s="168"/>
      <c r="C112" s="100" t="s">
        <v>48</v>
      </c>
      <c r="D112" s="101" t="s">
        <v>115</v>
      </c>
      <c r="E112" s="27" t="s">
        <v>116</v>
      </c>
      <c r="F112" s="28" t="s">
        <v>77</v>
      </c>
      <c r="G112" s="29">
        <v>15</v>
      </c>
    </row>
    <row r="113" spans="2:7">
      <c r="B113" s="168"/>
      <c r="C113" s="100" t="s">
        <v>48</v>
      </c>
      <c r="D113" s="101" t="s">
        <v>117</v>
      </c>
      <c r="E113" s="27" t="s">
        <v>118</v>
      </c>
      <c r="F113" s="28" t="s">
        <v>77</v>
      </c>
      <c r="G113" s="29">
        <v>8</v>
      </c>
    </row>
    <row r="114" spans="2:7">
      <c r="B114" s="168"/>
      <c r="C114" s="100" t="s">
        <v>48</v>
      </c>
      <c r="D114" s="101" t="s">
        <v>119</v>
      </c>
      <c r="E114" s="27" t="s">
        <v>120</v>
      </c>
      <c r="F114" s="28" t="s">
        <v>83</v>
      </c>
      <c r="G114" s="29">
        <v>9</v>
      </c>
    </row>
    <row r="115" spans="2:7">
      <c r="B115" s="168"/>
      <c r="C115" s="100" t="s">
        <v>48</v>
      </c>
      <c r="D115" s="103" t="s">
        <v>121</v>
      </c>
      <c r="E115" s="27" t="s">
        <v>122</v>
      </c>
      <c r="F115" s="28" t="s">
        <v>80</v>
      </c>
      <c r="G115" s="29">
        <v>8</v>
      </c>
    </row>
    <row r="116" spans="2:7">
      <c r="B116" s="168"/>
      <c r="C116" s="100" t="s">
        <v>48</v>
      </c>
      <c r="D116" s="103" t="s">
        <v>123</v>
      </c>
      <c r="E116" s="27" t="s">
        <v>124</v>
      </c>
      <c r="F116" s="28" t="s">
        <v>80</v>
      </c>
      <c r="G116" s="29">
        <v>7</v>
      </c>
    </row>
    <row r="117" spans="2:7">
      <c r="B117" s="168"/>
      <c r="C117" s="100" t="s">
        <v>48</v>
      </c>
      <c r="D117" s="101" t="s">
        <v>125</v>
      </c>
      <c r="E117" s="27" t="s">
        <v>126</v>
      </c>
      <c r="F117" s="28" t="s">
        <v>80</v>
      </c>
      <c r="G117" s="29">
        <v>11</v>
      </c>
    </row>
    <row r="118" spans="2:7" ht="15" thickBot="1">
      <c r="B118" s="169"/>
      <c r="C118" s="100" t="s">
        <v>48</v>
      </c>
      <c r="D118" s="103" t="s">
        <v>127</v>
      </c>
      <c r="E118" s="27" t="s">
        <v>128</v>
      </c>
      <c r="F118" s="28" t="s">
        <v>86</v>
      </c>
      <c r="G118" s="29">
        <v>12</v>
      </c>
    </row>
    <row r="119" spans="2:7">
      <c r="B119" s="167" t="s">
        <v>129</v>
      </c>
      <c r="C119" s="98" t="s">
        <v>130</v>
      </c>
      <c r="D119" s="99" t="s">
        <v>131</v>
      </c>
      <c r="E119" s="24" t="s">
        <v>132</v>
      </c>
      <c r="F119" s="25" t="s">
        <v>74</v>
      </c>
      <c r="G119" s="26"/>
    </row>
    <row r="120" spans="2:7">
      <c r="B120" s="168"/>
      <c r="C120" s="104" t="s">
        <v>50</v>
      </c>
      <c r="D120" s="102" t="s">
        <v>133</v>
      </c>
      <c r="E120" s="27" t="s">
        <v>134</v>
      </c>
      <c r="F120" s="28" t="s">
        <v>77</v>
      </c>
      <c r="G120" s="29"/>
    </row>
    <row r="121" spans="2:7">
      <c r="B121" s="168"/>
      <c r="C121" s="104" t="s">
        <v>50</v>
      </c>
      <c r="D121" s="102" t="s">
        <v>75</v>
      </c>
      <c r="E121" s="27" t="s">
        <v>135</v>
      </c>
      <c r="F121" s="28" t="s">
        <v>77</v>
      </c>
      <c r="G121" s="29"/>
    </row>
    <row r="122" spans="2:7">
      <c r="B122" s="168"/>
      <c r="C122" s="104" t="s">
        <v>50</v>
      </c>
      <c r="D122" s="102" t="s">
        <v>136</v>
      </c>
      <c r="E122" s="27" t="s">
        <v>137</v>
      </c>
      <c r="F122" s="28" t="s">
        <v>77</v>
      </c>
      <c r="G122" s="29"/>
    </row>
    <row r="123" spans="2:7">
      <c r="B123" s="168"/>
      <c r="C123" s="104" t="s">
        <v>50</v>
      </c>
      <c r="D123" s="102" t="s">
        <v>138</v>
      </c>
      <c r="E123" s="27" t="s">
        <v>139</v>
      </c>
      <c r="F123" s="28" t="s">
        <v>140</v>
      </c>
      <c r="G123" s="29"/>
    </row>
    <row r="124" spans="2:7">
      <c r="B124" s="168"/>
      <c r="C124" s="104" t="s">
        <v>50</v>
      </c>
      <c r="D124" s="102" t="s">
        <v>141</v>
      </c>
      <c r="E124" s="27" t="s">
        <v>142</v>
      </c>
      <c r="F124" s="28" t="s">
        <v>80</v>
      </c>
      <c r="G124" s="29"/>
    </row>
    <row r="125" spans="2:7">
      <c r="B125" s="168"/>
      <c r="C125" s="104" t="s">
        <v>50</v>
      </c>
      <c r="D125" s="102" t="s">
        <v>143</v>
      </c>
      <c r="E125" s="27" t="s">
        <v>144</v>
      </c>
      <c r="F125" s="28" t="s">
        <v>80</v>
      </c>
      <c r="G125" s="30"/>
    </row>
    <row r="126" spans="2:7">
      <c r="B126" s="168"/>
      <c r="C126" s="104" t="s">
        <v>50</v>
      </c>
      <c r="D126" s="102" t="s">
        <v>145</v>
      </c>
      <c r="E126" s="27" t="s">
        <v>146</v>
      </c>
      <c r="F126" s="28" t="s">
        <v>77</v>
      </c>
      <c r="G126" s="30"/>
    </row>
    <row r="127" spans="2:7">
      <c r="B127" s="168"/>
      <c r="C127" s="98" t="s">
        <v>52</v>
      </c>
      <c r="D127" s="99" t="s">
        <v>147</v>
      </c>
      <c r="E127" s="24" t="s">
        <v>148</v>
      </c>
      <c r="F127" s="25" t="s">
        <v>74</v>
      </c>
      <c r="G127" s="26"/>
    </row>
    <row r="128" spans="2:7">
      <c r="B128" s="168"/>
      <c r="C128" s="104" t="s">
        <v>52</v>
      </c>
      <c r="D128" s="102" t="s">
        <v>149</v>
      </c>
      <c r="E128" s="27" t="s">
        <v>150</v>
      </c>
      <c r="F128" s="28" t="s">
        <v>83</v>
      </c>
      <c r="G128" s="29"/>
    </row>
    <row r="129" spans="2:7">
      <c r="B129" s="168"/>
      <c r="C129" s="104" t="s">
        <v>52</v>
      </c>
      <c r="D129" s="102" t="s">
        <v>151</v>
      </c>
      <c r="E129" s="27" t="s">
        <v>152</v>
      </c>
      <c r="F129" s="28" t="s">
        <v>77</v>
      </c>
      <c r="G129" s="29"/>
    </row>
    <row r="130" spans="2:7">
      <c r="B130" s="168"/>
      <c r="C130" s="104" t="s">
        <v>52</v>
      </c>
      <c r="D130" s="102" t="s">
        <v>153</v>
      </c>
      <c r="E130" s="27" t="s">
        <v>154</v>
      </c>
      <c r="F130" s="28" t="s">
        <v>140</v>
      </c>
      <c r="G130" s="29"/>
    </row>
    <row r="131" spans="2:7">
      <c r="B131" s="168"/>
      <c r="C131" s="104" t="s">
        <v>52</v>
      </c>
      <c r="D131" s="102" t="s">
        <v>155</v>
      </c>
      <c r="E131" s="27" t="s">
        <v>156</v>
      </c>
      <c r="F131" s="28" t="s">
        <v>77</v>
      </c>
      <c r="G131" s="29"/>
    </row>
    <row r="132" spans="2:7">
      <c r="B132" s="168"/>
      <c r="C132" s="104" t="s">
        <v>52</v>
      </c>
      <c r="D132" s="102" t="s">
        <v>157</v>
      </c>
      <c r="E132" s="27" t="s">
        <v>158</v>
      </c>
      <c r="F132" s="28" t="s">
        <v>86</v>
      </c>
      <c r="G132" s="29"/>
    </row>
    <row r="133" spans="2:7" ht="15" thickBot="1">
      <c r="B133" s="169"/>
      <c r="C133" s="104" t="s">
        <v>52</v>
      </c>
      <c r="D133" s="102" t="s">
        <v>159</v>
      </c>
      <c r="E133" s="27" t="s">
        <v>160</v>
      </c>
      <c r="F133" s="28" t="s">
        <v>140</v>
      </c>
      <c r="G133" s="29"/>
    </row>
    <row r="134" spans="2:7">
      <c r="B134" s="167" t="s">
        <v>161</v>
      </c>
      <c r="C134" s="98" t="s">
        <v>162</v>
      </c>
      <c r="D134" s="99" t="s">
        <v>163</v>
      </c>
      <c r="E134" s="24" t="s">
        <v>164</v>
      </c>
      <c r="F134" s="25" t="s">
        <v>74</v>
      </c>
      <c r="G134" s="26"/>
    </row>
    <row r="135" spans="2:7">
      <c r="B135" s="168"/>
      <c r="C135" s="104" t="s">
        <v>54</v>
      </c>
      <c r="D135" s="102" t="s">
        <v>165</v>
      </c>
      <c r="E135" s="27" t="s">
        <v>166</v>
      </c>
      <c r="F135" s="28" t="s">
        <v>86</v>
      </c>
      <c r="G135" s="29"/>
    </row>
    <row r="136" spans="2:7">
      <c r="B136" s="168"/>
      <c r="C136" s="104" t="s">
        <v>54</v>
      </c>
      <c r="D136" s="102" t="s">
        <v>167</v>
      </c>
      <c r="E136" s="27" t="s">
        <v>168</v>
      </c>
      <c r="F136" s="28" t="s">
        <v>83</v>
      </c>
      <c r="G136" s="29"/>
    </row>
    <row r="137" spans="2:7">
      <c r="B137" s="168"/>
      <c r="C137" s="104" t="s">
        <v>54</v>
      </c>
      <c r="D137" s="102" t="s">
        <v>169</v>
      </c>
      <c r="E137" s="27" t="s">
        <v>170</v>
      </c>
      <c r="F137" s="28" t="s">
        <v>105</v>
      </c>
      <c r="G137" s="29"/>
    </row>
    <row r="138" spans="2:7">
      <c r="B138" s="168"/>
      <c r="C138" s="104" t="s">
        <v>54</v>
      </c>
      <c r="D138" s="102" t="s">
        <v>171</v>
      </c>
      <c r="E138" s="27" t="s">
        <v>172</v>
      </c>
      <c r="F138" s="28" t="s">
        <v>86</v>
      </c>
      <c r="G138" s="29"/>
    </row>
    <row r="139" spans="2:7">
      <c r="B139" s="168"/>
      <c r="C139" s="104" t="s">
        <v>54</v>
      </c>
      <c r="D139" s="102" t="s">
        <v>173</v>
      </c>
      <c r="E139" s="27" t="s">
        <v>174</v>
      </c>
      <c r="F139" s="28" t="s">
        <v>83</v>
      </c>
      <c r="G139" s="29"/>
    </row>
    <row r="140" spans="2:7">
      <c r="B140" s="168"/>
      <c r="C140" s="104" t="s">
        <v>54</v>
      </c>
      <c r="D140" s="103" t="s">
        <v>175</v>
      </c>
      <c r="E140" s="27" t="s">
        <v>176</v>
      </c>
      <c r="F140" s="28" t="s">
        <v>80</v>
      </c>
      <c r="G140" s="29"/>
    </row>
    <row r="141" spans="2:7">
      <c r="B141" s="168"/>
      <c r="C141" s="104" t="s">
        <v>54</v>
      </c>
      <c r="D141" s="103" t="s">
        <v>177</v>
      </c>
      <c r="E141" s="27" t="s">
        <v>178</v>
      </c>
      <c r="F141" s="28" t="s">
        <v>86</v>
      </c>
      <c r="G141" s="29"/>
    </row>
    <row r="142" spans="2:7" ht="15" thickBot="1">
      <c r="B142" s="170"/>
      <c r="C142" s="103" t="s">
        <v>54</v>
      </c>
      <c r="D142" s="103" t="s">
        <v>179</v>
      </c>
      <c r="E142" s="27" t="s">
        <v>180</v>
      </c>
      <c r="F142" s="28" t="s">
        <v>83</v>
      </c>
      <c r="G142" s="29"/>
    </row>
    <row r="144" spans="2:7" ht="15.6">
      <c r="B144" s="2" t="s">
        <v>181</v>
      </c>
    </row>
    <row r="146" spans="1:7">
      <c r="A146" s="1">
        <v>14</v>
      </c>
      <c r="B146" s="105"/>
      <c r="C146" s="153" t="s">
        <v>182</v>
      </c>
      <c r="D146" s="153"/>
    </row>
    <row r="147" spans="1:7" ht="15" thickBot="1">
      <c r="B147" s="106"/>
      <c r="C147" s="107" t="s">
        <v>183</v>
      </c>
      <c r="D147" s="107" t="s">
        <v>184</v>
      </c>
    </row>
    <row r="148" spans="1:7" ht="117" customHeight="1">
      <c r="B148" s="171" t="s">
        <v>17</v>
      </c>
      <c r="C148" s="129" t="s">
        <v>185</v>
      </c>
      <c r="D148" s="127" t="s">
        <v>186</v>
      </c>
    </row>
    <row r="149" spans="1:7" ht="78.599999999999994" customHeight="1" thickBot="1">
      <c r="B149" s="172"/>
      <c r="C149" s="128"/>
      <c r="D149" s="128" t="s">
        <v>187</v>
      </c>
      <c r="G149"/>
    </row>
    <row r="150" spans="1:7">
      <c r="B150" s="173" t="s">
        <v>18</v>
      </c>
      <c r="C150" s="159"/>
      <c r="D150" s="162"/>
    </row>
    <row r="151" spans="1:7">
      <c r="B151" s="174"/>
      <c r="C151" s="160"/>
      <c r="D151" s="163"/>
    </row>
    <row r="152" spans="1:7">
      <c r="B152" s="174"/>
      <c r="C152" s="160"/>
      <c r="D152" s="163"/>
    </row>
    <row r="153" spans="1:7">
      <c r="B153" s="174"/>
      <c r="C153" s="160"/>
      <c r="D153" s="163"/>
    </row>
    <row r="154" spans="1:7">
      <c r="B154" s="174"/>
      <c r="C154" s="160"/>
      <c r="D154" s="163"/>
    </row>
    <row r="155" spans="1:7" ht="15" thickBot="1">
      <c r="B155" s="175"/>
      <c r="C155" s="161"/>
      <c r="D155" s="164"/>
    </row>
    <row r="156" spans="1:7" ht="15" thickBot="1">
      <c r="B156" s="108" t="s">
        <v>19</v>
      </c>
      <c r="C156" s="109"/>
      <c r="D156" s="108"/>
    </row>
    <row r="157" spans="1:7" ht="15" thickBot="1">
      <c r="B157" s="110" t="s">
        <v>5</v>
      </c>
      <c r="C157" s="110"/>
      <c r="D157" s="110"/>
    </row>
    <row r="159" spans="1:7">
      <c r="B159" s="116" t="s">
        <v>188</v>
      </c>
    </row>
    <row r="161" spans="1:3">
      <c r="A161" s="1">
        <v>14</v>
      </c>
      <c r="B161" s="130" t="s">
        <v>189</v>
      </c>
      <c r="C161" s="131" t="s">
        <v>190</v>
      </c>
    </row>
    <row r="162" spans="1:3">
      <c r="B162" s="130"/>
      <c r="C162" s="130"/>
    </row>
    <row r="163" spans="1:3" ht="18.95" thickBot="1">
      <c r="B163" s="112" t="s">
        <v>191</v>
      </c>
      <c r="C163" s="113">
        <v>236</v>
      </c>
    </row>
    <row r="164" spans="1:3" ht="18.95" thickBot="1">
      <c r="B164" s="112" t="s">
        <v>192</v>
      </c>
      <c r="C164" s="114">
        <v>16</v>
      </c>
    </row>
    <row r="165" spans="1:3" ht="18.95" thickBot="1">
      <c r="B165" s="112" t="s">
        <v>193</v>
      </c>
      <c r="C165" s="113">
        <v>9</v>
      </c>
    </row>
    <row r="166" spans="1:3" ht="18.95" thickBot="1">
      <c r="B166" s="112" t="s">
        <v>194</v>
      </c>
      <c r="C166" s="113">
        <v>0</v>
      </c>
    </row>
    <row r="167" spans="1:3" ht="18.95" thickBot="1">
      <c r="B167" s="112" t="s">
        <v>195</v>
      </c>
      <c r="C167" s="113">
        <v>0</v>
      </c>
    </row>
    <row r="168" spans="1:3" ht="18.95" thickBot="1">
      <c r="B168" s="112" t="s">
        <v>196</v>
      </c>
      <c r="C168" s="113">
        <v>1</v>
      </c>
    </row>
    <row r="169" spans="1:3" ht="18.95" thickBot="1">
      <c r="B169" s="112" t="s">
        <v>190</v>
      </c>
      <c r="C169" s="113">
        <f>SUM(C163:C168)</f>
        <v>262</v>
      </c>
    </row>
  </sheetData>
  <sortState xmlns:xlrd2="http://schemas.microsoft.com/office/spreadsheetml/2017/richdata2" ref="A91:H144">
    <sortCondition descending="1" ref="G95:G102"/>
  </sortState>
  <mergeCells count="28">
    <mergeCell ref="B2:I2"/>
    <mergeCell ref="C150:C155"/>
    <mergeCell ref="D150:D155"/>
    <mergeCell ref="B91:H91"/>
    <mergeCell ref="B92:H92"/>
    <mergeCell ref="B94:B118"/>
    <mergeCell ref="B119:B133"/>
    <mergeCell ref="B134:B142"/>
    <mergeCell ref="B148:B149"/>
    <mergeCell ref="B150:B155"/>
    <mergeCell ref="C67:C68"/>
    <mergeCell ref="D67:D68"/>
    <mergeCell ref="E67:E68"/>
    <mergeCell ref="G67:G68"/>
    <mergeCell ref="B161:B162"/>
    <mergeCell ref="C161:C162"/>
    <mergeCell ref="B6:C6"/>
    <mergeCell ref="B4:C4"/>
    <mergeCell ref="B11:C11"/>
    <mergeCell ref="B28:K28"/>
    <mergeCell ref="C29:E29"/>
    <mergeCell ref="F29:H29"/>
    <mergeCell ref="I29:K29"/>
    <mergeCell ref="B71:B74"/>
    <mergeCell ref="C71:C74"/>
    <mergeCell ref="C146:D146"/>
    <mergeCell ref="B53:C53"/>
    <mergeCell ref="B67:B68"/>
  </mergeCells>
  <conditionalFormatting sqref="A146 A6 A13 A28 A38 A45 A53 A60 A65 A70 A78 A83 A87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3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53983-8F99-40B4-A6C5-044A68C5A751}"/>
</file>

<file path=customXml/itemProps2.xml><?xml version="1.0" encoding="utf-8"?>
<ds:datastoreItem xmlns:ds="http://schemas.openxmlformats.org/officeDocument/2006/customXml" ds:itemID="{BC795548-DD53-4C7B-B224-9B325010DCBB}"/>
</file>

<file path=customXml/itemProps3.xml><?xml version="1.0" encoding="utf-8"?>
<ds:datastoreItem xmlns:ds="http://schemas.openxmlformats.org/officeDocument/2006/customXml" ds:itemID="{14F30B5D-363B-45F1-9E48-D9298F3D68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Araoz Laines Debra Sasha</cp:lastModifiedBy>
  <cp:revision/>
  <dcterms:created xsi:type="dcterms:W3CDTF">2024-01-03T15:06:50Z</dcterms:created>
  <dcterms:modified xsi:type="dcterms:W3CDTF">2025-02-18T20:35:38Z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